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G:\Prod\312 Safety MS\000 Safety monitoring masterlist\Pages\"/>
    </mc:Choice>
  </mc:AlternateContent>
  <xr:revisionPtr revIDLastSave="0" documentId="13_ncr:1_{D2CD3383-9607-4FB9-96CA-5977CF888C5D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afetyCalendar" sheetId="4" r:id="rId1"/>
    <sheet name="Unusual Ky" sheetId="5" r:id="rId2"/>
    <sheet name="SAudit" sheetId="1" r:id="rId3"/>
    <sheet name="KY" sheetId="3" r:id="rId4"/>
  </sheets>
  <definedNames>
    <definedName name="_xlnm._FilterDatabase" localSheetId="0" hidden="1">SafetyCalendar!$A$1:$J$52</definedName>
    <definedName name="_xlnm.Print_Area" localSheetId="3">KY!$A$1:$N$84</definedName>
    <definedName name="_xlnm.Print_Area" localSheetId="0">SafetyCalendar!$A$1:$J$66</definedName>
    <definedName name="_xlnm.Print_Area" localSheetId="2">SAudit!$A$1:$H$84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2" i="1"/>
  <c r="A14" i="1" l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</calcChain>
</file>

<file path=xl/sharedStrings.xml><?xml version="1.0" encoding="utf-8"?>
<sst xmlns="http://schemas.openxmlformats.org/spreadsheetml/2006/main" count="357" uniqueCount="185">
  <si>
    <t>Group</t>
  </si>
  <si>
    <t>No.</t>
  </si>
  <si>
    <t>Audit Type</t>
  </si>
  <si>
    <t>Audit Title</t>
  </si>
  <si>
    <t>Audit Date</t>
  </si>
  <si>
    <t>No. Observation</t>
  </si>
  <si>
    <t>Rectified items</t>
  </si>
  <si>
    <t>% Completion</t>
  </si>
  <si>
    <t xml:space="preserve">MS Reactor Sampling - SCC </t>
  </si>
  <si>
    <t>Internal Safety Audit -CTS</t>
  </si>
  <si>
    <t>Internal Safety Audit - THPAL</t>
  </si>
  <si>
    <t>Safety Cross Audit (Auditee)</t>
  </si>
  <si>
    <t>Safety Cross Audit (Auditor)</t>
  </si>
  <si>
    <t>108TK04 Sampling using newly fabricated scoop</t>
  </si>
  <si>
    <t>111ML01 steel balls charging (auditor EI)</t>
  </si>
  <si>
    <t>VSLC Cross Audit (only MOM)</t>
  </si>
  <si>
    <t>109/209VE03 cold leg declogging</t>
  </si>
  <si>
    <t>111BC02-04 Catcher Cleanup</t>
  </si>
  <si>
    <t>106ML02 operation</t>
  </si>
  <si>
    <t>114 flocculant charging</t>
  </si>
  <si>
    <t>111PU02-03 suction strainer clean up</t>
  </si>
  <si>
    <t>Polishing cloth rewashing</t>
  </si>
  <si>
    <t>Polishing Filter Cloth Cutting</t>
  </si>
  <si>
    <t>111BC05 flushing and clean-up</t>
  </si>
  <si>
    <t>Name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</si>
  <si>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</si>
  <si>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</si>
  <si>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</si>
  <si>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</si>
  <si>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</si>
  <si>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</si>
  <si>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</si>
  <si>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</si>
  <si>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</si>
  <si>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</si>
  <si>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</si>
  <si>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</si>
  <si>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ESTOLANO, Ronnie</t>
  </si>
  <si>
    <t>BOSQUE, Jonry</t>
  </si>
  <si>
    <t>ORCEJOLA, Karen Mae</t>
  </si>
  <si>
    <t>PLATERO, Paul</t>
  </si>
  <si>
    <t>BAYETA, Louie</t>
  </si>
  <si>
    <t>CINCO, Richard</t>
  </si>
  <si>
    <t>BILAD, Marvin A.</t>
  </si>
  <si>
    <t>NASAYAO, Flordecante</t>
  </si>
  <si>
    <t>HILVANO, Christian Joul P.</t>
  </si>
  <si>
    <t>NUÑEZ, Reus</t>
  </si>
  <si>
    <t>JABINAL, Jewel Mae</t>
  </si>
  <si>
    <t>ELCULLADA, Junmor S.</t>
  </si>
  <si>
    <t>CAGATA, Renan A.</t>
  </si>
  <si>
    <t>CAGAMPANG, Josan C.</t>
  </si>
  <si>
    <t>JAMERO, Donald</t>
  </si>
  <si>
    <t>BANZON Jr., Nicanor R.</t>
  </si>
  <si>
    <t>ESTILLORE, Marbert</t>
  </si>
  <si>
    <t>KHO, Jansen D.</t>
  </si>
  <si>
    <t>CARACOL, Marwin</t>
  </si>
  <si>
    <t>CONSIGNA, Joel L.</t>
  </si>
  <si>
    <t>PEROL, Remart</t>
  </si>
  <si>
    <t>NECESARIO, Christie P.</t>
  </si>
  <si>
    <t>MARATAS, Ernie</t>
  </si>
  <si>
    <t>COMPASIVO, Jomar</t>
  </si>
  <si>
    <t>ROBLES, Felmir</t>
  </si>
  <si>
    <t>BAYANG, Algemero</t>
  </si>
  <si>
    <t>LUMAYNO, Junrey</t>
  </si>
  <si>
    <t>BADIANG, Luciano Jr.</t>
  </si>
  <si>
    <t>GALVEZ, Jaypoy</t>
  </si>
  <si>
    <t>GIDA, Lenie Mae R.</t>
  </si>
  <si>
    <t>WONG, Harold G.</t>
  </si>
  <si>
    <t>BALACUIT, Jonesa Queen</t>
  </si>
  <si>
    <t>ERCILLO, Marvin J.</t>
  </si>
  <si>
    <t>PRESILDA, Winston</t>
  </si>
  <si>
    <t>NASAYAO, Jesus</t>
  </si>
  <si>
    <t>BALACUIT,  Prince Joewen</t>
  </si>
  <si>
    <t>DELA PENA, Rapie S.</t>
  </si>
  <si>
    <t>BUYO, Rico Jay</t>
  </si>
  <si>
    <t>RUDIS, June Mar</t>
  </si>
  <si>
    <t>GASAPO, Alladin</t>
  </si>
  <si>
    <t>AMALIAS, Carlo</t>
  </si>
  <si>
    <t>DAGASDAS, Gregorio Jr.</t>
  </si>
  <si>
    <t>SIMBAJON, Sherman Nove B.</t>
  </si>
  <si>
    <t>MORDENO, Chelsea</t>
  </si>
  <si>
    <t>CORMINAL, Roland</t>
  </si>
  <si>
    <t>MAGLINTE, Jerryll</t>
  </si>
  <si>
    <t>MANILI, Jessie</t>
  </si>
  <si>
    <t>CATONG, Abel</t>
  </si>
  <si>
    <t xml:space="preserve">SAMONTINA, Michael Jhun </t>
  </si>
  <si>
    <t xml:space="preserve">DEGOLTO, Joel </t>
  </si>
  <si>
    <t>TAYOR,  Rocar John Paul P.</t>
  </si>
  <si>
    <t>CAMINO, Jyzl E.</t>
  </si>
  <si>
    <t>COCAMAS, Louie R</t>
  </si>
  <si>
    <t>NECESARIO, Nhergil</t>
  </si>
  <si>
    <t>OCON, Jonathan P.</t>
  </si>
  <si>
    <t>DOCOR, Romeo</t>
  </si>
  <si>
    <t>VALLEJOS, Ronelo</t>
  </si>
  <si>
    <t xml:space="preserve">GALENDEZ, Reyden </t>
  </si>
  <si>
    <t>CERIO, Jenny Mae A.</t>
  </si>
  <si>
    <t>LAPINING, Sanny Boy S.</t>
  </si>
  <si>
    <t>SANCHEZ, Pablo</t>
  </si>
  <si>
    <t>GALOS, Marlon</t>
  </si>
  <si>
    <t>ELLO, Janine</t>
  </si>
  <si>
    <t>URBIZTONDO, Grace</t>
  </si>
  <si>
    <t>LAUREJAS, Eduardo Jr. A.</t>
  </si>
  <si>
    <t>ROSILLO, King Mark</t>
  </si>
  <si>
    <t>PADILLA, Chris Anthony</t>
  </si>
  <si>
    <t>SOLAR, Ricardo Jr.</t>
  </si>
  <si>
    <t>SALABE, Mando C.</t>
  </si>
  <si>
    <t>CALIMBO, Romel</t>
  </si>
  <si>
    <t>EUPEÑA. Joshua</t>
  </si>
  <si>
    <t>LAURON, Dini Daw M.</t>
  </si>
  <si>
    <t>ANIB, Karl Patrick S.</t>
  </si>
  <si>
    <t xml:space="preserve">SALON, Michael </t>
  </si>
  <si>
    <t>DELCORRO, Edgar S., Jr.</t>
  </si>
  <si>
    <t xml:space="preserve">SERAFIN, Fortunato L. Jr. </t>
  </si>
  <si>
    <t>ROZAL, DJ O.</t>
  </si>
  <si>
    <t>JORTA, Jowei C.</t>
  </si>
  <si>
    <t>NASAYAO, Dionesio</t>
  </si>
  <si>
    <t>GRAN, April Jane</t>
  </si>
  <si>
    <t>YAMIT, John Paul P.</t>
  </si>
  <si>
    <t>DECAP, Anthony</t>
  </si>
  <si>
    <t>PATINO, Hernan L.</t>
  </si>
  <si>
    <t>Year</t>
  </si>
  <si>
    <t>Month</t>
  </si>
  <si>
    <t>Safety Program</t>
  </si>
  <si>
    <t>Remarks</t>
  </si>
  <si>
    <t>January</t>
  </si>
  <si>
    <t>Topics</t>
  </si>
  <si>
    <t>Internal Safety Audit</t>
  </si>
  <si>
    <t>February</t>
  </si>
  <si>
    <t>4RKY Presentation</t>
  </si>
  <si>
    <t>Area</t>
  </si>
  <si>
    <t>H2S</t>
  </si>
  <si>
    <t>209VE03 cold leg declogging</t>
  </si>
  <si>
    <t>MS</t>
  </si>
  <si>
    <t>Internal Safety Audit for Contractors</t>
  </si>
  <si>
    <t>All</t>
  </si>
  <si>
    <t>Safety Cross Audit with VSLC</t>
  </si>
  <si>
    <t>LS</t>
  </si>
  <si>
    <t>Date Conducted</t>
  </si>
  <si>
    <t>Status</t>
  </si>
  <si>
    <t>FNTRL</t>
  </si>
  <si>
    <t>Completed</t>
  </si>
  <si>
    <t>March</t>
  </si>
  <si>
    <t>April</t>
  </si>
  <si>
    <t>SD Re-education</t>
  </si>
  <si>
    <t>June</t>
  </si>
  <si>
    <t>Safety Cross Audit for Contractor Activities</t>
  </si>
  <si>
    <t>4RKY Presentation (Competition)</t>
  </si>
  <si>
    <t>HPAL Winner</t>
  </si>
  <si>
    <t>MS Winner</t>
  </si>
  <si>
    <t>Flocculant Charging</t>
  </si>
  <si>
    <t>108 launder sampling</t>
  </si>
  <si>
    <t>106 Reactor sampling</t>
  </si>
  <si>
    <t>H2/Sulfur /H2S Area/MS/DeZn</t>
  </si>
  <si>
    <t>HPAL Activity</t>
  </si>
  <si>
    <t>Schedule for small group safety discussion</t>
  </si>
  <si>
    <t>July</t>
  </si>
  <si>
    <t>Safety Cross Audit for THPAL Activities</t>
  </si>
  <si>
    <t>Elimination of traffic accidents</t>
  </si>
  <si>
    <t>RE-sducation sched</t>
  </si>
  <si>
    <t>August</t>
  </si>
  <si>
    <t>September</t>
  </si>
  <si>
    <t>111PU02 suction strainer clean-up</t>
  </si>
  <si>
    <t>H2/Sulfur /H2S Area</t>
  </si>
  <si>
    <t>October</t>
  </si>
  <si>
    <t>November</t>
  </si>
  <si>
    <t>December</t>
  </si>
  <si>
    <t>cancelled</t>
  </si>
  <si>
    <t>Polishing filter Cloth washing</t>
  </si>
  <si>
    <t>Scandium</t>
  </si>
  <si>
    <t>Admin</t>
  </si>
  <si>
    <t>THPAL</t>
  </si>
  <si>
    <t>VSLC</t>
  </si>
  <si>
    <t>109TK02 vent line declogging</t>
  </si>
  <si>
    <t>HPAL</t>
  </si>
  <si>
    <t>Host (HPAL)</t>
  </si>
  <si>
    <t>Host (MS)</t>
  </si>
  <si>
    <t>Internal Safety Audit (THPAL/CTS)</t>
  </si>
  <si>
    <t>Plant wide 4RKY Presentation (Competition)</t>
  </si>
  <si>
    <t>Auditor: SC</t>
  </si>
  <si>
    <t>Auditor: E&amp;I</t>
  </si>
  <si>
    <t>Auditee: Chromite</t>
  </si>
  <si>
    <t>TBD</t>
  </si>
  <si>
    <t>111BC02/04 Catcher clean-up</t>
  </si>
  <si>
    <t>111ML01 steelballs charging</t>
  </si>
  <si>
    <t>WWA Transfer and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</si>
</sst>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0.0%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4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5" fontId="0" fillId="0" borderId="0" xfId="0" applyNumberFormat="1" applyAlignment="1">
      <alignment horizontal="center"/>
    </xf>
    <xf numFmtId="0" fontId="1" fillId="0" borderId="0" xfId="1"/>
    <xf numFmtId="2" fontId="0" fillId="0" borderId="0" xfId="0" applyNumberFormat="1" applyAlignment="1">
      <alignment horizontal="center"/>
    </xf>
    <xf numFmtId="9" fontId="2" fillId="2" borderId="0" xfId="0" applyNumberFormat="1" applyFont="1" applyFill="1"/>
    <xf numFmtId="0" fontId="0" fillId="0" borderId="0" xfId="0" applyAlignment="1">
      <alignment horizontal="left"/>
    </xf>
    <xf numFmtId="9" fontId="0" fillId="0" borderId="0" xfId="0" applyNumberFormat="1"/>
    <xf numFmtId="2" fontId="0" fillId="0" borderId="0" xfId="0" applyNumberFormat="1" applyAlignment="1">
      <alignment horizontal="left"/>
    </xf>
    <xf numFmtId="10" fontId="0" fillId="0" borderId="0" xfId="0" applyNumberFormat="1"/>
    <xf numFmtId="0" fontId="3" fillId="0" borderId="0" xfId="0" applyFont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wrapText="1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30</xdr:row>
          <xdr:rowOff>0</xdr:rowOff>
        </xdr:from>
        <xdr:to>
          <xdr:col>14</xdr:col>
          <xdr:colOff>66675</xdr:colOff>
          <xdr:row>31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95250</xdr:rowOff>
        </xdr:from>
        <xdr:to>
          <xdr:col>13</xdr:col>
          <xdr:colOff>352425</xdr:colOff>
          <xdr:row>7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9</xdr:row>
          <xdr:rowOff>38100</xdr:rowOff>
        </xdr:from>
        <xdr:to>
          <xdr:col>13</xdr:col>
          <xdr:colOff>381000</xdr:colOff>
          <xdr:row>11</xdr:row>
          <xdr:rowOff>76200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5</xdr:row>
          <xdr:rowOff>38100</xdr:rowOff>
        </xdr:from>
        <xdr:to>
          <xdr:col>17</xdr:col>
          <xdr:colOff>514350</xdr:colOff>
          <xdr:row>8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../../07%20MS%20Section%20Safety%20Audit/2024/10302024%20Polishing%20cloth%20rewashing" TargetMode="External"/><Relationship Id="rId13" Type="http://schemas.openxmlformats.org/officeDocument/2006/relationships/vmlDrawing" Target="../drawings/vmlDrawing2.vml"/><Relationship Id="rId3" Type="http://schemas.openxmlformats.org/officeDocument/2006/relationships/hyperlink" Target="../../07%20MS%20Section%20Safety%20Audit/2024/111BC02-04%20Catcher%20Cleanup%20(ISA%20with%20Contractors)" TargetMode="External"/><Relationship Id="rId7" Type="http://schemas.openxmlformats.org/officeDocument/2006/relationships/hyperlink" Target="../../07%20MS%20Section%20Safety%20Audit/2024/112024%20Polishing%20Filter%20Cloth%20Cutting" TargetMode="External"/><Relationship Id="rId12" Type="http://schemas.openxmlformats.org/officeDocument/2006/relationships/drawing" Target="../drawings/drawing2.xml"/><Relationship Id="rId17" Type="http://schemas.openxmlformats.org/officeDocument/2006/relationships/image" Target="../media/image3.emf"/><Relationship Id="rId2" Type="http://schemas.openxmlformats.org/officeDocument/2006/relationships/hyperlink" Target="../../07%20MS%20Section%20Safety%20Audit/2024/08312024%20111PU02-03%20suction%20strainer%20clean%20up" TargetMode="External"/><Relationship Id="rId16" Type="http://schemas.openxmlformats.org/officeDocument/2006/relationships/control" Target="../activeX/activeX3.xml"/><Relationship Id="rId1" Type="http://schemas.openxmlformats.org/officeDocument/2006/relationships/hyperlink" Target="../../07%20MS%20Section%20Safety%20Audit/2024/01302024%20VE03%20cold%20leg%20declogging" TargetMode="External"/><Relationship Id="rId6" Type="http://schemas.openxmlformats.org/officeDocument/2006/relationships/hyperlink" Target="../../07%20MS%20Section%20Safety%20Audit/2024/108TK04%20Sampling%20using%20newly%20fabricated%20scoop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../../07%20MS%20Section%20Safety%20Audit/2024/07132024%20114%20flocculant%20charging%20(ISA)" TargetMode="External"/><Relationship Id="rId15" Type="http://schemas.openxmlformats.org/officeDocument/2006/relationships/image" Target="../media/image2.emf"/><Relationship Id="rId10" Type="http://schemas.openxmlformats.org/officeDocument/2006/relationships/hyperlink" Target="../../08%20MS%20Section%20Cross%20Audit/2025/111ML01%20steel%20balls%20charging%20(auditor%20EI)" TargetMode="External"/><Relationship Id="rId4" Type="http://schemas.openxmlformats.org/officeDocument/2006/relationships/hyperlink" Target="../../07%20MS%20Section%20Safety%20Audit/2024/03212024%20106ML02%20operation" TargetMode="External"/><Relationship Id="rId9" Type="http://schemas.openxmlformats.org/officeDocument/2006/relationships/hyperlink" Target="../../07%20MS%20Section%20Safety%20Audit/2025/01092025%20111BC05%20flushing%20and%20clean-up" TargetMode="External"/><Relationship Id="rId1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52"/>
  <sheetViews>
    <sheetView tabSelected="1" view="pageBreakPreview" topLeftCell="F16" zoomScaleNormal="100" zoomScaleSheetLayoutView="100" workbookViewId="0">
      <selection activeCell="L20" sqref="L20"/>
    </sheetView>
  </sheetViews>
  <sheetFormatPr defaultRowHeight="15" x14ac:dyDescent="0.25"/>
  <cols>
    <col min="4" max="4" width="12.28515625" bestFit="1" customWidth="1"/>
    <col min="5" max="5" width="47" bestFit="1" customWidth="1"/>
    <col min="6" max="6" width="25" customWidth="1"/>
    <col min="7" max="7" width="35.85546875" bestFit="1" customWidth="1"/>
    <col min="8" max="8" width="15.28515625" bestFit="1" customWidth="1"/>
    <col min="9" max="9" width="15.28515625" customWidth="1"/>
    <col min="10" max="10" width="19.7109375" bestFit="1" customWidth="1"/>
  </cols>
  <sheetData>
    <row r="1" spans="1:10" x14ac:dyDescent="0.25">
      <c r="A1" t="s">
        <v>1</v>
      </c>
      <c r="B1" t="s">
        <v>0</v>
      </c>
      <c r="C1" s="13" t="s">
        <v>120</v>
      </c>
      <c r="D1" s="13" t="s">
        <v>121</v>
      </c>
      <c r="E1" t="s">
        <v>122</v>
      </c>
      <c r="F1" t="s">
        <v>129</v>
      </c>
      <c r="G1" t="s">
        <v>125</v>
      </c>
      <c r="H1" t="s">
        <v>137</v>
      </c>
      <c r="I1" t="s">
        <v>138</v>
      </c>
      <c r="J1" t="s">
        <v>123</v>
      </c>
    </row>
    <row r="2" spans="1:10" x14ac:dyDescent="0.25">
      <c r="A2">
        <v>1</v>
      </c>
      <c r="B2">
        <v>1</v>
      </c>
      <c r="C2" s="13">
        <v>2024</v>
      </c>
      <c r="D2" t="s">
        <v>124</v>
      </c>
      <c r="E2" t="s">
        <v>126</v>
      </c>
      <c r="F2" t="s">
        <v>130</v>
      </c>
      <c r="G2" t="s">
        <v>131</v>
      </c>
      <c r="H2" s="14">
        <v>45321</v>
      </c>
      <c r="I2" t="s">
        <v>140</v>
      </c>
    </row>
    <row r="3" spans="1:10" x14ac:dyDescent="0.25">
      <c r="A3">
        <v>2</v>
      </c>
      <c r="B3">
        <v>4</v>
      </c>
      <c r="C3" s="13">
        <v>2024</v>
      </c>
      <c r="D3" t="s">
        <v>124</v>
      </c>
      <c r="E3" t="s">
        <v>128</v>
      </c>
      <c r="F3" t="s">
        <v>132</v>
      </c>
      <c r="I3" t="s">
        <v>140</v>
      </c>
    </row>
    <row r="4" spans="1:10" x14ac:dyDescent="0.25">
      <c r="A4">
        <v>3</v>
      </c>
      <c r="B4">
        <v>4</v>
      </c>
      <c r="C4" s="13">
        <v>2024</v>
      </c>
      <c r="D4" t="s">
        <v>127</v>
      </c>
      <c r="E4" t="s">
        <v>133</v>
      </c>
      <c r="F4" t="s">
        <v>136</v>
      </c>
      <c r="G4" s="15" t="s">
        <v>182</v>
      </c>
      <c r="I4" t="s">
        <v>140</v>
      </c>
    </row>
    <row r="5" spans="1:10" x14ac:dyDescent="0.25">
      <c r="A5">
        <v>4</v>
      </c>
      <c r="B5">
        <v>1</v>
      </c>
      <c r="C5" s="13">
        <v>2024</v>
      </c>
      <c r="D5" t="s">
        <v>127</v>
      </c>
      <c r="E5" t="s">
        <v>128</v>
      </c>
      <c r="F5" t="s">
        <v>139</v>
      </c>
      <c r="H5" s="14">
        <v>45344</v>
      </c>
      <c r="I5" t="s">
        <v>140</v>
      </c>
    </row>
    <row r="6" spans="1:10" x14ac:dyDescent="0.25">
      <c r="A6">
        <v>5</v>
      </c>
      <c r="B6" t="s">
        <v>134</v>
      </c>
      <c r="C6" s="13">
        <v>2024</v>
      </c>
      <c r="D6" t="s">
        <v>127</v>
      </c>
      <c r="E6" t="s">
        <v>135</v>
      </c>
      <c r="I6" t="s">
        <v>140</v>
      </c>
    </row>
    <row r="7" spans="1:10" x14ac:dyDescent="0.25">
      <c r="A7">
        <v>6</v>
      </c>
      <c r="B7">
        <v>2</v>
      </c>
      <c r="C7" s="13">
        <v>2024</v>
      </c>
      <c r="D7" t="s">
        <v>141</v>
      </c>
      <c r="E7" t="s">
        <v>126</v>
      </c>
      <c r="F7" t="s">
        <v>132</v>
      </c>
      <c r="G7" t="s">
        <v>18</v>
      </c>
      <c r="H7" s="14">
        <v>45372</v>
      </c>
      <c r="I7" t="s">
        <v>140</v>
      </c>
    </row>
    <row r="8" spans="1:10" x14ac:dyDescent="0.25">
      <c r="A8">
        <v>7</v>
      </c>
      <c r="B8">
        <v>3</v>
      </c>
      <c r="C8" s="13">
        <v>2024</v>
      </c>
      <c r="D8" t="s">
        <v>141</v>
      </c>
      <c r="E8" t="s">
        <v>146</v>
      </c>
      <c r="F8" t="s">
        <v>130</v>
      </c>
      <c r="G8" t="s">
        <v>152</v>
      </c>
      <c r="H8" s="14">
        <v>45370</v>
      </c>
      <c r="I8" t="s">
        <v>140</v>
      </c>
      <c r="J8" t="s">
        <v>147</v>
      </c>
    </row>
    <row r="9" spans="1:10" x14ac:dyDescent="0.25">
      <c r="A9">
        <v>8</v>
      </c>
      <c r="B9" t="s">
        <v>134</v>
      </c>
      <c r="C9" s="13">
        <v>2024</v>
      </c>
      <c r="D9" t="s">
        <v>142</v>
      </c>
      <c r="E9" t="s">
        <v>143</v>
      </c>
      <c r="F9" t="s">
        <v>134</v>
      </c>
      <c r="I9" t="s">
        <v>140</v>
      </c>
    </row>
    <row r="10" spans="1:10" x14ac:dyDescent="0.25">
      <c r="A10">
        <v>9</v>
      </c>
      <c r="B10">
        <v>2</v>
      </c>
      <c r="C10" s="13">
        <v>2024</v>
      </c>
      <c r="D10" t="s">
        <v>29</v>
      </c>
      <c r="E10" t="s">
        <v>128</v>
      </c>
      <c r="F10" t="s">
        <v>136</v>
      </c>
      <c r="I10" t="s">
        <v>140</v>
      </c>
    </row>
    <row r="11" spans="1:10" x14ac:dyDescent="0.25">
      <c r="A11">
        <v>10</v>
      </c>
      <c r="B11">
        <v>3</v>
      </c>
      <c r="C11" s="13">
        <v>2024</v>
      </c>
      <c r="D11" t="s">
        <v>144</v>
      </c>
      <c r="E11" t="s">
        <v>133</v>
      </c>
      <c r="F11" t="s">
        <v>139</v>
      </c>
      <c r="G11" t="s">
        <v>149</v>
      </c>
      <c r="I11" t="s">
        <v>140</v>
      </c>
    </row>
    <row r="12" spans="1:10" x14ac:dyDescent="0.25">
      <c r="A12">
        <v>11</v>
      </c>
      <c r="B12">
        <v>4</v>
      </c>
      <c r="C12" s="13">
        <v>2024</v>
      </c>
      <c r="D12" t="s">
        <v>144</v>
      </c>
      <c r="E12" t="s">
        <v>126</v>
      </c>
      <c r="F12" t="s">
        <v>139</v>
      </c>
      <c r="G12" t="s">
        <v>150</v>
      </c>
      <c r="H12" s="14">
        <v>45472</v>
      </c>
      <c r="I12" t="s">
        <v>140</v>
      </c>
    </row>
    <row r="13" spans="1:10" x14ac:dyDescent="0.25">
      <c r="A13">
        <v>12</v>
      </c>
      <c r="B13" t="s">
        <v>134</v>
      </c>
      <c r="C13" s="13">
        <v>2024</v>
      </c>
      <c r="D13" t="s">
        <v>144</v>
      </c>
      <c r="E13" t="s">
        <v>145</v>
      </c>
      <c r="F13" t="s">
        <v>132</v>
      </c>
      <c r="G13" t="s">
        <v>151</v>
      </c>
      <c r="H13" s="14">
        <v>45473</v>
      </c>
      <c r="I13" t="s">
        <v>140</v>
      </c>
    </row>
    <row r="14" spans="1:10" x14ac:dyDescent="0.25">
      <c r="A14">
        <v>13</v>
      </c>
      <c r="B14">
        <v>4</v>
      </c>
      <c r="C14" s="13">
        <v>2024</v>
      </c>
      <c r="D14" t="s">
        <v>144</v>
      </c>
      <c r="E14" t="s">
        <v>146</v>
      </c>
      <c r="G14" t="s">
        <v>153</v>
      </c>
      <c r="I14" t="s">
        <v>140</v>
      </c>
      <c r="J14" t="s">
        <v>148</v>
      </c>
    </row>
    <row r="15" spans="1:10" x14ac:dyDescent="0.25">
      <c r="A15">
        <v>14</v>
      </c>
      <c r="B15" t="s">
        <v>134</v>
      </c>
      <c r="C15" s="13">
        <v>2024</v>
      </c>
      <c r="D15" t="s">
        <v>144</v>
      </c>
      <c r="E15" t="s">
        <v>154</v>
      </c>
      <c r="F15" t="s">
        <v>134</v>
      </c>
      <c r="I15" t="s">
        <v>140</v>
      </c>
    </row>
    <row r="16" spans="1:10" x14ac:dyDescent="0.25">
      <c r="A16">
        <v>15</v>
      </c>
      <c r="B16" t="s">
        <v>134</v>
      </c>
      <c r="C16" s="13">
        <v>2024</v>
      </c>
      <c r="D16" t="s">
        <v>144</v>
      </c>
      <c r="E16" t="s">
        <v>157</v>
      </c>
      <c r="F16" t="s">
        <v>134</v>
      </c>
      <c r="G16" t="s">
        <v>158</v>
      </c>
      <c r="I16" t="s">
        <v>140</v>
      </c>
    </row>
    <row r="17" spans="1:10" x14ac:dyDescent="0.25">
      <c r="A17">
        <v>16</v>
      </c>
      <c r="B17" t="s">
        <v>134</v>
      </c>
      <c r="C17" s="13">
        <v>2024</v>
      </c>
      <c r="D17" t="s">
        <v>155</v>
      </c>
      <c r="E17" t="s">
        <v>154</v>
      </c>
      <c r="F17" t="s">
        <v>134</v>
      </c>
      <c r="I17" t="s">
        <v>140</v>
      </c>
    </row>
    <row r="18" spans="1:10" x14ac:dyDescent="0.25">
      <c r="A18">
        <v>17</v>
      </c>
      <c r="B18">
        <v>2</v>
      </c>
      <c r="C18" s="13">
        <v>2024</v>
      </c>
      <c r="D18" t="s">
        <v>155</v>
      </c>
      <c r="E18" t="s">
        <v>156</v>
      </c>
      <c r="F18" t="s">
        <v>132</v>
      </c>
      <c r="I18" t="s">
        <v>140</v>
      </c>
    </row>
    <row r="19" spans="1:10" x14ac:dyDescent="0.25">
      <c r="A19">
        <v>18</v>
      </c>
      <c r="B19">
        <v>1</v>
      </c>
      <c r="C19" s="13">
        <v>2024</v>
      </c>
      <c r="D19" t="s">
        <v>155</v>
      </c>
      <c r="E19" t="s">
        <v>128</v>
      </c>
      <c r="F19" t="s">
        <v>139</v>
      </c>
      <c r="I19" t="s">
        <v>140</v>
      </c>
    </row>
    <row r="20" spans="1:10" x14ac:dyDescent="0.25">
      <c r="A20">
        <v>19</v>
      </c>
      <c r="B20">
        <v>3</v>
      </c>
      <c r="C20" s="13">
        <v>2024</v>
      </c>
      <c r="D20" t="s">
        <v>159</v>
      </c>
      <c r="E20" t="s">
        <v>126</v>
      </c>
      <c r="F20" t="s">
        <v>136</v>
      </c>
      <c r="G20" t="s">
        <v>161</v>
      </c>
      <c r="I20" t="s">
        <v>140</v>
      </c>
    </row>
    <row r="21" spans="1:10" x14ac:dyDescent="0.25">
      <c r="A21">
        <v>20</v>
      </c>
      <c r="B21">
        <v>2</v>
      </c>
      <c r="C21" s="13">
        <v>2024</v>
      </c>
      <c r="D21" t="s">
        <v>159</v>
      </c>
      <c r="E21" t="s">
        <v>146</v>
      </c>
      <c r="F21" t="s">
        <v>130</v>
      </c>
      <c r="G21" t="s">
        <v>162</v>
      </c>
      <c r="I21" t="s">
        <v>140</v>
      </c>
      <c r="J21" t="s">
        <v>148</v>
      </c>
    </row>
    <row r="22" spans="1:10" x14ac:dyDescent="0.25">
      <c r="A22">
        <v>21</v>
      </c>
      <c r="B22" t="s">
        <v>134</v>
      </c>
      <c r="C22" s="13">
        <v>2024</v>
      </c>
      <c r="D22" t="s">
        <v>159</v>
      </c>
      <c r="E22" t="s">
        <v>135</v>
      </c>
      <c r="I22" t="s">
        <v>140</v>
      </c>
    </row>
    <row r="23" spans="1:10" x14ac:dyDescent="0.25">
      <c r="A23">
        <v>22</v>
      </c>
      <c r="B23" t="s">
        <v>134</v>
      </c>
      <c r="C23" s="13">
        <v>2024</v>
      </c>
      <c r="D23" t="s">
        <v>160</v>
      </c>
      <c r="E23" t="s">
        <v>143</v>
      </c>
      <c r="F23" t="s">
        <v>134</v>
      </c>
      <c r="I23" t="s">
        <v>140</v>
      </c>
    </row>
    <row r="24" spans="1:10" x14ac:dyDescent="0.25">
      <c r="A24">
        <v>23</v>
      </c>
      <c r="B24">
        <v>2</v>
      </c>
      <c r="C24" s="13">
        <v>2024</v>
      </c>
      <c r="D24" t="s">
        <v>163</v>
      </c>
      <c r="E24" t="s">
        <v>133</v>
      </c>
      <c r="F24" t="s">
        <v>132</v>
      </c>
      <c r="G24" t="s">
        <v>167</v>
      </c>
      <c r="I24" t="s">
        <v>140</v>
      </c>
    </row>
    <row r="25" spans="1:10" x14ac:dyDescent="0.25">
      <c r="A25">
        <v>24</v>
      </c>
      <c r="B25">
        <v>3</v>
      </c>
      <c r="C25" s="13">
        <v>2024</v>
      </c>
      <c r="D25" t="s">
        <v>163</v>
      </c>
      <c r="E25" t="s">
        <v>156</v>
      </c>
      <c r="F25" t="s">
        <v>168</v>
      </c>
      <c r="I25" t="s">
        <v>140</v>
      </c>
    </row>
    <row r="26" spans="1:10" x14ac:dyDescent="0.25">
      <c r="A26">
        <v>25</v>
      </c>
      <c r="B26">
        <v>3</v>
      </c>
      <c r="C26" s="13">
        <v>2024</v>
      </c>
      <c r="D26" t="s">
        <v>163</v>
      </c>
      <c r="E26" t="s">
        <v>128</v>
      </c>
      <c r="F26" t="s">
        <v>136</v>
      </c>
      <c r="I26" t="s">
        <v>140</v>
      </c>
    </row>
    <row r="27" spans="1:10" x14ac:dyDescent="0.25">
      <c r="A27">
        <v>26</v>
      </c>
      <c r="B27">
        <v>1</v>
      </c>
      <c r="C27" s="13">
        <v>2024</v>
      </c>
      <c r="D27" t="s">
        <v>164</v>
      </c>
      <c r="E27" t="s">
        <v>126</v>
      </c>
      <c r="F27" t="s">
        <v>132</v>
      </c>
      <c r="I27" t="s">
        <v>140</v>
      </c>
    </row>
    <row r="28" spans="1:10" x14ac:dyDescent="0.25">
      <c r="A28">
        <v>27</v>
      </c>
      <c r="B28">
        <v>4</v>
      </c>
      <c r="C28" s="13">
        <v>2024</v>
      </c>
      <c r="D28" t="s">
        <v>164</v>
      </c>
      <c r="E28" t="s">
        <v>145</v>
      </c>
      <c r="F28" t="s">
        <v>169</v>
      </c>
      <c r="I28" t="s">
        <v>140</v>
      </c>
    </row>
    <row r="29" spans="1:10" x14ac:dyDescent="0.25">
      <c r="A29">
        <v>28</v>
      </c>
      <c r="B29">
        <v>3</v>
      </c>
      <c r="C29" s="13">
        <v>2024</v>
      </c>
      <c r="D29" t="s">
        <v>164</v>
      </c>
      <c r="E29" t="s">
        <v>146</v>
      </c>
      <c r="I29" t="s">
        <v>140</v>
      </c>
    </row>
    <row r="30" spans="1:10" x14ac:dyDescent="0.25">
      <c r="A30">
        <v>29</v>
      </c>
      <c r="B30">
        <v>4</v>
      </c>
      <c r="C30" s="13">
        <v>2024</v>
      </c>
      <c r="D30" t="s">
        <v>165</v>
      </c>
      <c r="E30" t="s">
        <v>128</v>
      </c>
      <c r="I30" t="s">
        <v>166</v>
      </c>
    </row>
    <row r="31" spans="1:10" x14ac:dyDescent="0.25">
      <c r="A31">
        <v>30</v>
      </c>
      <c r="B31">
        <v>3</v>
      </c>
      <c r="C31" s="13">
        <v>2025</v>
      </c>
      <c r="D31" t="s">
        <v>124</v>
      </c>
      <c r="E31" t="s">
        <v>135</v>
      </c>
      <c r="F31" t="s">
        <v>170</v>
      </c>
      <c r="G31" t="s">
        <v>184</v>
      </c>
      <c r="H31" s="14">
        <v>45685</v>
      </c>
      <c r="I31" t="s">
        <v>140</v>
      </c>
    </row>
    <row r="32" spans="1:10" x14ac:dyDescent="0.25">
      <c r="A32">
        <v>31</v>
      </c>
      <c r="B32" t="s">
        <v>134</v>
      </c>
      <c r="C32" s="13">
        <v>2025</v>
      </c>
      <c r="D32" t="s">
        <v>127</v>
      </c>
      <c r="E32" t="s">
        <v>135</v>
      </c>
      <c r="F32" t="s">
        <v>171</v>
      </c>
    </row>
    <row r="33" spans="1:10" x14ac:dyDescent="0.25">
      <c r="A33">
        <v>32</v>
      </c>
      <c r="B33">
        <v>4</v>
      </c>
      <c r="C33" s="13">
        <v>2025</v>
      </c>
      <c r="D33" t="s">
        <v>127</v>
      </c>
      <c r="E33" t="s">
        <v>128</v>
      </c>
    </row>
    <row r="34" spans="1:10" x14ac:dyDescent="0.25">
      <c r="A34">
        <v>33</v>
      </c>
      <c r="B34">
        <v>2</v>
      </c>
      <c r="C34" s="13">
        <v>2025</v>
      </c>
      <c r="D34" t="s">
        <v>127</v>
      </c>
      <c r="E34" t="s">
        <v>145</v>
      </c>
      <c r="F34" t="s">
        <v>136</v>
      </c>
      <c r="G34" t="s">
        <v>183</v>
      </c>
      <c r="H34" s="14">
        <v>45701</v>
      </c>
      <c r="I34" t="s">
        <v>140</v>
      </c>
      <c r="J34" t="s">
        <v>179</v>
      </c>
    </row>
    <row r="35" spans="1:10" x14ac:dyDescent="0.25">
      <c r="A35">
        <v>34</v>
      </c>
      <c r="B35" t="s">
        <v>134</v>
      </c>
      <c r="C35" s="13">
        <v>2025</v>
      </c>
      <c r="D35" t="s">
        <v>141</v>
      </c>
      <c r="E35" t="s">
        <v>143</v>
      </c>
      <c r="F35" t="s">
        <v>134</v>
      </c>
    </row>
    <row r="36" spans="1:10" x14ac:dyDescent="0.25">
      <c r="A36">
        <v>35</v>
      </c>
      <c r="B36">
        <v>3</v>
      </c>
      <c r="C36" s="13">
        <v>2025</v>
      </c>
      <c r="D36" t="s">
        <v>142</v>
      </c>
      <c r="E36" t="s">
        <v>126</v>
      </c>
      <c r="F36" t="s">
        <v>130</v>
      </c>
      <c r="G36" t="s">
        <v>172</v>
      </c>
    </row>
    <row r="37" spans="1:10" x14ac:dyDescent="0.25">
      <c r="A37">
        <v>36</v>
      </c>
      <c r="B37">
        <v>1</v>
      </c>
      <c r="C37" s="13">
        <v>2025</v>
      </c>
      <c r="D37" t="s">
        <v>142</v>
      </c>
      <c r="E37" t="s">
        <v>146</v>
      </c>
      <c r="G37" t="s">
        <v>153</v>
      </c>
      <c r="J37" t="s">
        <v>174</v>
      </c>
    </row>
    <row r="38" spans="1:10" x14ac:dyDescent="0.25">
      <c r="A38">
        <v>37</v>
      </c>
      <c r="B38">
        <v>1</v>
      </c>
      <c r="C38" s="13">
        <v>2025</v>
      </c>
      <c r="D38" t="s">
        <v>29</v>
      </c>
      <c r="E38" t="s">
        <v>176</v>
      </c>
      <c r="F38" t="s">
        <v>132</v>
      </c>
    </row>
    <row r="39" spans="1:10" x14ac:dyDescent="0.25">
      <c r="A39">
        <v>38</v>
      </c>
      <c r="B39">
        <v>2</v>
      </c>
      <c r="C39" s="13">
        <v>2025</v>
      </c>
      <c r="D39" t="s">
        <v>29</v>
      </c>
      <c r="E39" t="s">
        <v>128</v>
      </c>
      <c r="F39" t="s">
        <v>132</v>
      </c>
    </row>
    <row r="40" spans="1:10" x14ac:dyDescent="0.25">
      <c r="A40">
        <v>39</v>
      </c>
      <c r="B40">
        <v>2</v>
      </c>
      <c r="C40" s="13">
        <v>2025</v>
      </c>
      <c r="D40" t="s">
        <v>144</v>
      </c>
      <c r="E40" t="s">
        <v>126</v>
      </c>
      <c r="F40" t="s">
        <v>139</v>
      </c>
    </row>
    <row r="41" spans="1:10" x14ac:dyDescent="0.25">
      <c r="A41">
        <v>40</v>
      </c>
      <c r="B41">
        <v>3</v>
      </c>
      <c r="C41" s="13">
        <v>2025</v>
      </c>
      <c r="D41" t="s">
        <v>144</v>
      </c>
      <c r="E41" t="s">
        <v>128</v>
      </c>
      <c r="F41" t="s">
        <v>130</v>
      </c>
    </row>
    <row r="42" spans="1:10" x14ac:dyDescent="0.25">
      <c r="A42">
        <v>41</v>
      </c>
      <c r="B42">
        <v>1</v>
      </c>
      <c r="C42" s="13">
        <v>2025</v>
      </c>
      <c r="D42" t="s">
        <v>155</v>
      </c>
      <c r="E42" t="s">
        <v>156</v>
      </c>
      <c r="F42" t="s">
        <v>132</v>
      </c>
    </row>
    <row r="43" spans="1:10" x14ac:dyDescent="0.25">
      <c r="A43">
        <v>42</v>
      </c>
      <c r="B43">
        <v>4</v>
      </c>
      <c r="C43" s="13">
        <v>2025</v>
      </c>
      <c r="D43" t="s">
        <v>155</v>
      </c>
      <c r="E43" t="s">
        <v>146</v>
      </c>
      <c r="F43" t="s">
        <v>173</v>
      </c>
      <c r="G43" t="s">
        <v>153</v>
      </c>
      <c r="J43" t="s">
        <v>175</v>
      </c>
    </row>
    <row r="44" spans="1:10" x14ac:dyDescent="0.25">
      <c r="A44">
        <v>43</v>
      </c>
      <c r="B44">
        <v>4</v>
      </c>
      <c r="C44" s="13">
        <v>2025</v>
      </c>
      <c r="D44" t="s">
        <v>159</v>
      </c>
      <c r="E44" t="s">
        <v>176</v>
      </c>
      <c r="F44" t="s">
        <v>136</v>
      </c>
    </row>
    <row r="45" spans="1:10" x14ac:dyDescent="0.25">
      <c r="A45">
        <v>44</v>
      </c>
      <c r="B45" t="s">
        <v>134</v>
      </c>
      <c r="C45" s="13">
        <v>2025</v>
      </c>
      <c r="D45" t="s">
        <v>159</v>
      </c>
      <c r="E45" t="s">
        <v>135</v>
      </c>
      <c r="F45" t="s">
        <v>170</v>
      </c>
    </row>
    <row r="46" spans="1:10" x14ac:dyDescent="0.25">
      <c r="A46">
        <v>45</v>
      </c>
      <c r="B46">
        <v>1</v>
      </c>
      <c r="C46" s="13">
        <v>2025</v>
      </c>
      <c r="D46" t="s">
        <v>159</v>
      </c>
      <c r="E46" t="s">
        <v>128</v>
      </c>
      <c r="F46" t="s">
        <v>136</v>
      </c>
    </row>
    <row r="47" spans="1:10" x14ac:dyDescent="0.25">
      <c r="A47">
        <v>46</v>
      </c>
      <c r="B47" t="s">
        <v>134</v>
      </c>
      <c r="C47" s="13">
        <v>2025</v>
      </c>
      <c r="D47" t="s">
        <v>160</v>
      </c>
      <c r="E47" t="s">
        <v>143</v>
      </c>
      <c r="F47" t="s">
        <v>134</v>
      </c>
    </row>
    <row r="48" spans="1:10" x14ac:dyDescent="0.25">
      <c r="A48">
        <v>47</v>
      </c>
      <c r="B48">
        <v>3</v>
      </c>
      <c r="C48" s="13">
        <v>2025</v>
      </c>
      <c r="D48" t="s">
        <v>163</v>
      </c>
      <c r="E48" t="s">
        <v>176</v>
      </c>
      <c r="F48" t="s">
        <v>132</v>
      </c>
    </row>
    <row r="49" spans="1:10" x14ac:dyDescent="0.25">
      <c r="A49">
        <v>48</v>
      </c>
      <c r="B49">
        <v>2</v>
      </c>
      <c r="C49" s="13">
        <v>2025</v>
      </c>
      <c r="D49" t="s">
        <v>163</v>
      </c>
      <c r="E49" t="s">
        <v>146</v>
      </c>
      <c r="F49" t="s">
        <v>181</v>
      </c>
      <c r="J49" t="s">
        <v>174</v>
      </c>
    </row>
    <row r="50" spans="1:10" x14ac:dyDescent="0.25">
      <c r="A50">
        <v>49</v>
      </c>
      <c r="B50">
        <v>4</v>
      </c>
      <c r="C50" s="13">
        <v>2025</v>
      </c>
      <c r="D50" t="s">
        <v>164</v>
      </c>
      <c r="E50" t="s">
        <v>156</v>
      </c>
      <c r="F50" t="s">
        <v>168</v>
      </c>
      <c r="J50" t="s">
        <v>178</v>
      </c>
    </row>
    <row r="51" spans="1:10" x14ac:dyDescent="0.25">
      <c r="A51">
        <v>50</v>
      </c>
      <c r="B51">
        <v>3</v>
      </c>
      <c r="C51" s="13">
        <v>2025</v>
      </c>
      <c r="D51" t="s">
        <v>165</v>
      </c>
      <c r="E51" t="s">
        <v>145</v>
      </c>
      <c r="J51" t="s">
        <v>180</v>
      </c>
    </row>
    <row r="52" spans="1:10" x14ac:dyDescent="0.25">
      <c r="A52">
        <v>51</v>
      </c>
      <c r="B52" t="s">
        <v>134</v>
      </c>
      <c r="C52" s="13">
        <v>2025</v>
      </c>
      <c r="D52" t="s">
        <v>165</v>
      </c>
      <c r="E52" t="s">
        <v>177</v>
      </c>
    </row>
  </sheetData>
  <autoFilter ref="A1:J52" xr:uid="{00000000-0009-0000-0000-000000000000}"/>
  <pageMargins left="0.7" right="0.7" top="0.75" bottom="0.75" header="0.3" footer="0.3"/>
  <pageSetup paperSize="9" scale="44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12</xdr:col>
                <xdr:colOff>142875</xdr:colOff>
                <xdr:row>30</xdr:row>
                <xdr:rowOff>0</xdr:rowOff>
              </from>
              <to>
                <xdr:col>14</xdr:col>
                <xdr:colOff>66675</xdr:colOff>
                <xdr:row>31</xdr:row>
                <xdr:rowOff>161925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workbookViewId="0">
      <selection activeCell="G32" sqref="G3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84"/>
  <sheetViews>
    <sheetView view="pageBreakPreview" zoomScaleNormal="100" zoomScaleSheetLayoutView="100" workbookViewId="0">
      <selection activeCell="D25" sqref="D25"/>
    </sheetView>
  </sheetViews>
  <sheetFormatPr defaultRowHeight="15" x14ac:dyDescent="0.25"/>
  <cols>
    <col min="2" max="2" width="27" style="1" bestFit="1" customWidth="1"/>
    <col min="3" max="3" width="27" bestFit="1" customWidth="1"/>
    <col min="4" max="4" width="13.42578125" style="4" customWidth="1"/>
    <col min="5" max="5" width="43.42578125" customWidth="1"/>
    <col min="6" max="6" width="22.28515625" style="1" customWidth="1"/>
    <col min="7" max="7" width="24.140625" style="1" customWidth="1"/>
    <col min="8" max="8" width="21" style="5" customWidth="1"/>
  </cols>
  <sheetData>
    <row r="1" spans="1:10" x14ac:dyDescent="0.25">
      <c r="A1" s="1" t="s">
        <v>1</v>
      </c>
      <c r="B1" s="1" t="s">
        <v>0</v>
      </c>
      <c r="C1" s="1" t="s">
        <v>2</v>
      </c>
      <c r="D1" s="3" t="s">
        <v>4</v>
      </c>
      <c r="E1" s="1" t="s">
        <v>3</v>
      </c>
      <c r="F1" s="1" t="s">
        <v>5</v>
      </c>
      <c r="G1" s="1" t="s">
        <v>6</v>
      </c>
      <c r="H1" s="5" t="s">
        <v>7</v>
      </c>
    </row>
    <row r="2" spans="1:10" x14ac:dyDescent="0.25">
      <c r="A2" s="1">
        <v>1</v>
      </c>
      <c r="B2" s="1">
        <v>1</v>
      </c>
      <c r="C2" s="2" t="s">
        <v>10</v>
      </c>
      <c r="D2" s="3">
        <v>45321</v>
      </c>
      <c r="E2" s="6" t="s">
        <v>16</v>
      </c>
      <c r="F2" s="1">
        <v>11</v>
      </c>
      <c r="G2" s="1">
        <v>8</v>
      </c>
      <c r="H2" s="5">
        <f>IF(F2="","",(G2/F2))</f>
        <v>0.72727272727272729</v>
      </c>
    </row>
    <row r="3" spans="1:10" x14ac:dyDescent="0.25">
      <c r="A3" s="1">
        <f>IF(B3="","",A2+1)</f>
        <v>2</v>
      </c>
      <c r="B3" s="1">
        <v>4</v>
      </c>
      <c r="C3" s="2" t="s">
        <v>9</v>
      </c>
      <c r="D3" s="3">
        <v>45351</v>
      </c>
      <c r="E3" s="6" t="s">
        <v>17</v>
      </c>
      <c r="F3" s="1">
        <v>5</v>
      </c>
      <c r="G3" s="1">
        <v>0</v>
      </c>
      <c r="H3" s="5">
        <f t="shared" ref="H3:H66" si="0">IF(F3="","",(G3/F3))</f>
        <v>0</v>
      </c>
      <c r="J3" t="s">
        <v>10</v>
      </c>
    </row>
    <row r="4" spans="1:10" x14ac:dyDescent="0.25">
      <c r="A4" s="1">
        <f t="shared" ref="A4:A67" si="1">IF(B4="","",A3+1)</f>
        <v>3</v>
      </c>
      <c r="B4" s="1">
        <v>2</v>
      </c>
      <c r="C4" s="2" t="s">
        <v>10</v>
      </c>
      <c r="D4" s="3">
        <v>45372</v>
      </c>
      <c r="E4" s="6" t="s">
        <v>18</v>
      </c>
      <c r="F4" s="1">
        <v>10</v>
      </c>
      <c r="G4" s="1">
        <v>4</v>
      </c>
      <c r="H4" s="5">
        <f t="shared" si="0"/>
        <v>0.4</v>
      </c>
      <c r="J4" t="s">
        <v>11</v>
      </c>
    </row>
    <row r="5" spans="1:10" x14ac:dyDescent="0.25">
      <c r="A5" s="1">
        <f t="shared" si="1"/>
        <v>4</v>
      </c>
      <c r="B5" s="1">
        <v>1</v>
      </c>
      <c r="C5" s="2" t="s">
        <v>11</v>
      </c>
      <c r="D5" s="3">
        <v>45461</v>
      </c>
      <c r="E5" s="8" t="s">
        <v>8</v>
      </c>
      <c r="F5" s="1">
        <v>9</v>
      </c>
      <c r="G5" s="1">
        <v>3</v>
      </c>
      <c r="H5" s="5">
        <f t="shared" si="0"/>
        <v>0.33333333333333331</v>
      </c>
      <c r="J5" t="s">
        <v>9</v>
      </c>
    </row>
    <row r="6" spans="1:10" x14ac:dyDescent="0.25">
      <c r="A6" s="1">
        <f t="shared" si="1"/>
        <v>5</v>
      </c>
      <c r="B6" s="1">
        <v>4</v>
      </c>
      <c r="C6" s="2" t="s">
        <v>10</v>
      </c>
      <c r="D6" s="3">
        <v>45481</v>
      </c>
      <c r="E6" s="6" t="s">
        <v>13</v>
      </c>
      <c r="F6" s="1">
        <v>8</v>
      </c>
      <c r="G6" s="1">
        <v>1</v>
      </c>
      <c r="H6" s="5">
        <f t="shared" si="0"/>
        <v>0.125</v>
      </c>
      <c r="J6" t="s">
        <v>12</v>
      </c>
    </row>
    <row r="7" spans="1:10" x14ac:dyDescent="0.25">
      <c r="A7" s="1">
        <f t="shared" si="1"/>
        <v>6</v>
      </c>
      <c r="B7" s="1">
        <v>3</v>
      </c>
      <c r="C7" s="2" t="s">
        <v>9</v>
      </c>
      <c r="D7" s="3">
        <v>45486</v>
      </c>
      <c r="E7" s="6" t="s">
        <v>19</v>
      </c>
      <c r="F7" s="1">
        <v>10</v>
      </c>
      <c r="G7" s="1">
        <v>8</v>
      </c>
      <c r="H7" s="5">
        <f t="shared" si="0"/>
        <v>0.8</v>
      </c>
    </row>
    <row r="8" spans="1:10" x14ac:dyDescent="0.25">
      <c r="A8" s="1">
        <f t="shared" si="1"/>
        <v>7</v>
      </c>
      <c r="B8" s="1">
        <v>3</v>
      </c>
      <c r="C8" s="2" t="s">
        <v>10</v>
      </c>
      <c r="D8" s="4">
        <v>45535</v>
      </c>
      <c r="E8" s="6" t="s">
        <v>20</v>
      </c>
      <c r="F8" s="1">
        <v>11</v>
      </c>
      <c r="G8" s="1">
        <v>7</v>
      </c>
      <c r="H8" s="5">
        <f t="shared" si="0"/>
        <v>0.63636363636363635</v>
      </c>
    </row>
    <row r="9" spans="1:10" x14ac:dyDescent="0.25">
      <c r="A9" s="1">
        <f t="shared" si="1"/>
        <v>8</v>
      </c>
      <c r="B9" s="1">
        <v>2</v>
      </c>
      <c r="C9" s="2" t="s">
        <v>10</v>
      </c>
      <c r="D9" s="4">
        <v>45595</v>
      </c>
      <c r="E9" s="6" t="s">
        <v>21</v>
      </c>
      <c r="F9" s="1">
        <v>10</v>
      </c>
      <c r="G9" s="1">
        <v>8</v>
      </c>
      <c r="H9" s="5">
        <f t="shared" si="0"/>
        <v>0.8</v>
      </c>
    </row>
    <row r="10" spans="1:10" x14ac:dyDescent="0.25">
      <c r="A10" s="1">
        <f t="shared" si="1"/>
        <v>9</v>
      </c>
      <c r="B10" s="1">
        <v>1</v>
      </c>
      <c r="C10" s="2" t="s">
        <v>10</v>
      </c>
      <c r="D10" s="4">
        <v>45616</v>
      </c>
      <c r="E10" s="6" t="s">
        <v>22</v>
      </c>
      <c r="F10" s="1">
        <v>10</v>
      </c>
      <c r="G10" s="1">
        <v>0</v>
      </c>
      <c r="H10" s="5">
        <f t="shared" si="0"/>
        <v>0</v>
      </c>
    </row>
    <row r="11" spans="1:10" x14ac:dyDescent="0.25">
      <c r="A11" s="1">
        <f t="shared" si="1"/>
        <v>10</v>
      </c>
      <c r="B11" s="1">
        <v>1</v>
      </c>
      <c r="C11" s="2" t="s">
        <v>9</v>
      </c>
      <c r="D11" s="4">
        <v>45666</v>
      </c>
      <c r="E11" s="6" t="s">
        <v>23</v>
      </c>
      <c r="F11" s="1">
        <v>9</v>
      </c>
      <c r="G11" s="1">
        <v>5</v>
      </c>
      <c r="H11" s="5">
        <f t="shared" si="0"/>
        <v>0.55555555555555558</v>
      </c>
    </row>
    <row r="12" spans="1:10" x14ac:dyDescent="0.25">
      <c r="A12" s="1">
        <f t="shared" si="1"/>
        <v>11</v>
      </c>
      <c r="B12" s="1">
        <v>3</v>
      </c>
      <c r="C12" s="2" t="s">
        <v>11</v>
      </c>
      <c r="D12" s="4">
        <v>45685</v>
      </c>
      <c r="E12" t="s">
        <v>15</v>
      </c>
      <c r="H12" s="5" t="str">
        <f t="shared" si="0"/>
        <v/>
      </c>
    </row>
    <row r="13" spans="1:10" x14ac:dyDescent="0.25">
      <c r="A13" s="1">
        <f t="shared" si="1"/>
        <v>12</v>
      </c>
      <c r="B13" s="1">
        <v>2</v>
      </c>
      <c r="C13" s="2" t="s">
        <v>11</v>
      </c>
      <c r="D13" s="4">
        <v>45701</v>
      </c>
      <c r="E13" s="6" t="s">
        <v>14</v>
      </c>
      <c r="F13" s="1">
        <v>11</v>
      </c>
      <c r="G13" s="1">
        <v>8</v>
      </c>
      <c r="H13" s="5">
        <f t="shared" si="0"/>
        <v>0.72727272727272729</v>
      </c>
    </row>
    <row r="14" spans="1:10" x14ac:dyDescent="0.25">
      <c r="A14" s="1" t="str">
        <f t="shared" si="1"/>
        <v/>
      </c>
      <c r="C14" s="2"/>
      <c r="H14" s="5" t="str">
        <f t="shared" si="0"/>
        <v/>
      </c>
    </row>
    <row r="15" spans="1:10" x14ac:dyDescent="0.25">
      <c r="A15" s="1" t="str">
        <f t="shared" si="1"/>
        <v/>
      </c>
      <c r="C15" s="2"/>
      <c r="H15" s="5" t="str">
        <f t="shared" si="0"/>
        <v/>
      </c>
    </row>
    <row r="16" spans="1:10" x14ac:dyDescent="0.25">
      <c r="A16" s="1" t="str">
        <f t="shared" si="1"/>
        <v/>
      </c>
      <c r="C16" s="2"/>
      <c r="E16" s="6"/>
      <c r="H16" s="5" t="str">
        <f t="shared" si="0"/>
        <v/>
      </c>
    </row>
    <row r="17" spans="1:8" x14ac:dyDescent="0.25">
      <c r="A17" s="1" t="str">
        <f t="shared" si="1"/>
        <v/>
      </c>
      <c r="C17" s="2"/>
      <c r="E17" s="6"/>
      <c r="H17" s="5" t="str">
        <f t="shared" si="0"/>
        <v/>
      </c>
    </row>
    <row r="18" spans="1:8" x14ac:dyDescent="0.25">
      <c r="A18" s="1" t="str">
        <f t="shared" si="1"/>
        <v/>
      </c>
      <c r="C18" s="2"/>
      <c r="H18" s="5" t="str">
        <f t="shared" si="0"/>
        <v/>
      </c>
    </row>
    <row r="19" spans="1:8" x14ac:dyDescent="0.25">
      <c r="A19" s="1" t="str">
        <f t="shared" si="1"/>
        <v/>
      </c>
      <c r="C19" s="2"/>
      <c r="E19" s="6"/>
      <c r="H19" s="5" t="str">
        <f t="shared" si="0"/>
        <v/>
      </c>
    </row>
    <row r="20" spans="1:8" x14ac:dyDescent="0.25">
      <c r="A20" s="1" t="str">
        <f t="shared" si="1"/>
        <v/>
      </c>
      <c r="C20" s="2"/>
      <c r="E20" s="6"/>
      <c r="H20" s="5" t="str">
        <f t="shared" si="0"/>
        <v/>
      </c>
    </row>
    <row r="21" spans="1:8" x14ac:dyDescent="0.25">
      <c r="A21" s="1" t="str">
        <f t="shared" si="1"/>
        <v/>
      </c>
      <c r="C21" s="2"/>
      <c r="H21" s="5" t="str">
        <f t="shared" si="0"/>
        <v/>
      </c>
    </row>
    <row r="22" spans="1:8" x14ac:dyDescent="0.25">
      <c r="A22" s="1" t="str">
        <f t="shared" si="1"/>
        <v/>
      </c>
      <c r="C22" s="2"/>
      <c r="H22" s="5" t="str">
        <f t="shared" si="0"/>
        <v/>
      </c>
    </row>
    <row r="23" spans="1:8" x14ac:dyDescent="0.25">
      <c r="A23" s="1" t="str">
        <f t="shared" si="1"/>
        <v/>
      </c>
      <c r="C23" s="2"/>
      <c r="E23" s="6"/>
      <c r="H23" s="5" t="str">
        <f t="shared" si="0"/>
        <v/>
      </c>
    </row>
    <row r="24" spans="1:8" x14ac:dyDescent="0.25">
      <c r="A24" s="1" t="str">
        <f t="shared" si="1"/>
        <v/>
      </c>
      <c r="C24" s="2"/>
      <c r="E24" s="6"/>
      <c r="H24" s="5" t="str">
        <f t="shared" si="0"/>
        <v/>
      </c>
    </row>
    <row r="25" spans="1:8" x14ac:dyDescent="0.25">
      <c r="A25" s="1" t="str">
        <f t="shared" si="1"/>
        <v/>
      </c>
      <c r="C25" s="2"/>
      <c r="E25" s="6"/>
      <c r="H25" s="5" t="str">
        <f t="shared" si="0"/>
        <v/>
      </c>
    </row>
    <row r="26" spans="1:8" x14ac:dyDescent="0.25">
      <c r="A26" s="1" t="str">
        <f t="shared" si="1"/>
        <v/>
      </c>
      <c r="C26" s="2"/>
      <c r="H26" s="5" t="str">
        <f t="shared" si="0"/>
        <v/>
      </c>
    </row>
    <row r="27" spans="1:8" x14ac:dyDescent="0.25">
      <c r="A27" s="1" t="str">
        <f t="shared" si="1"/>
        <v/>
      </c>
      <c r="C27" s="2"/>
      <c r="H27" s="5" t="str">
        <f t="shared" si="0"/>
        <v/>
      </c>
    </row>
    <row r="28" spans="1:8" x14ac:dyDescent="0.25">
      <c r="A28" s="1" t="str">
        <f t="shared" si="1"/>
        <v/>
      </c>
      <c r="C28" s="2"/>
      <c r="H28" s="5" t="str">
        <f t="shared" si="0"/>
        <v/>
      </c>
    </row>
    <row r="29" spans="1:8" x14ac:dyDescent="0.25">
      <c r="A29" s="1" t="str">
        <f t="shared" si="1"/>
        <v/>
      </c>
      <c r="C29" s="2"/>
      <c r="H29" s="5" t="str">
        <f t="shared" si="0"/>
        <v/>
      </c>
    </row>
    <row r="30" spans="1:8" x14ac:dyDescent="0.25">
      <c r="A30" s="1" t="str">
        <f t="shared" si="1"/>
        <v/>
      </c>
      <c r="C30" s="2"/>
      <c r="H30" s="5" t="str">
        <f t="shared" si="0"/>
        <v/>
      </c>
    </row>
    <row r="31" spans="1:8" x14ac:dyDescent="0.25">
      <c r="A31" s="1" t="str">
        <f t="shared" si="1"/>
        <v/>
      </c>
      <c r="C31" s="2"/>
      <c r="H31" s="5" t="str">
        <f t="shared" si="0"/>
        <v/>
      </c>
    </row>
    <row r="32" spans="1:8" x14ac:dyDescent="0.25">
      <c r="A32" s="1" t="str">
        <f t="shared" si="1"/>
        <v/>
      </c>
      <c r="C32" s="2"/>
      <c r="H32" s="5" t="str">
        <f t="shared" si="0"/>
        <v/>
      </c>
    </row>
    <row r="33" spans="1:8" x14ac:dyDescent="0.25">
      <c r="A33" s="1" t="str">
        <f t="shared" si="1"/>
        <v/>
      </c>
      <c r="C33" s="2"/>
      <c r="H33" s="5" t="str">
        <f t="shared" si="0"/>
        <v/>
      </c>
    </row>
    <row r="34" spans="1:8" x14ac:dyDescent="0.25">
      <c r="A34" s="1" t="str">
        <f t="shared" si="1"/>
        <v/>
      </c>
      <c r="C34" s="2"/>
      <c r="H34" s="5" t="str">
        <f t="shared" si="0"/>
        <v/>
      </c>
    </row>
    <row r="35" spans="1:8" x14ac:dyDescent="0.25">
      <c r="A35" s="1" t="str">
        <f t="shared" si="1"/>
        <v/>
      </c>
      <c r="C35" s="2"/>
      <c r="H35" s="5" t="str">
        <f t="shared" si="0"/>
        <v/>
      </c>
    </row>
    <row r="36" spans="1:8" x14ac:dyDescent="0.25">
      <c r="A36" s="1" t="str">
        <f t="shared" si="1"/>
        <v/>
      </c>
      <c r="C36" s="2"/>
      <c r="H36" s="5" t="str">
        <f t="shared" si="0"/>
        <v/>
      </c>
    </row>
    <row r="37" spans="1:8" x14ac:dyDescent="0.25">
      <c r="A37" s="1" t="str">
        <f t="shared" si="1"/>
        <v/>
      </c>
      <c r="C37" s="2"/>
      <c r="H37" s="5" t="str">
        <f t="shared" si="0"/>
        <v/>
      </c>
    </row>
    <row r="38" spans="1:8" x14ac:dyDescent="0.25">
      <c r="A38" s="1" t="str">
        <f t="shared" si="1"/>
        <v/>
      </c>
      <c r="C38" s="2"/>
      <c r="H38" s="5" t="str">
        <f t="shared" si="0"/>
        <v/>
      </c>
    </row>
    <row r="39" spans="1:8" x14ac:dyDescent="0.25">
      <c r="A39" s="1" t="str">
        <f t="shared" si="1"/>
        <v/>
      </c>
      <c r="C39" s="2"/>
      <c r="H39" s="5" t="str">
        <f t="shared" si="0"/>
        <v/>
      </c>
    </row>
    <row r="40" spans="1:8" x14ac:dyDescent="0.25">
      <c r="A40" s="1" t="str">
        <f t="shared" si="1"/>
        <v/>
      </c>
      <c r="C40" s="2"/>
      <c r="H40" s="5" t="str">
        <f t="shared" si="0"/>
        <v/>
      </c>
    </row>
    <row r="41" spans="1:8" x14ac:dyDescent="0.25">
      <c r="A41" s="1" t="str">
        <f t="shared" si="1"/>
        <v/>
      </c>
      <c r="C41" s="2"/>
      <c r="H41" s="5" t="str">
        <f t="shared" si="0"/>
        <v/>
      </c>
    </row>
    <row r="42" spans="1:8" x14ac:dyDescent="0.25">
      <c r="A42" s="1" t="str">
        <f t="shared" si="1"/>
        <v/>
      </c>
      <c r="C42" s="2"/>
      <c r="H42" s="5" t="str">
        <f t="shared" si="0"/>
        <v/>
      </c>
    </row>
    <row r="43" spans="1:8" x14ac:dyDescent="0.25">
      <c r="A43" s="1" t="str">
        <f t="shared" si="1"/>
        <v/>
      </c>
      <c r="C43" s="2"/>
      <c r="H43" s="5" t="str">
        <f t="shared" si="0"/>
        <v/>
      </c>
    </row>
    <row r="44" spans="1:8" x14ac:dyDescent="0.25">
      <c r="A44" s="1" t="str">
        <f t="shared" si="1"/>
        <v/>
      </c>
      <c r="C44" s="2"/>
      <c r="H44" s="5" t="str">
        <f t="shared" si="0"/>
        <v/>
      </c>
    </row>
    <row r="45" spans="1:8" x14ac:dyDescent="0.25">
      <c r="A45" s="1" t="str">
        <f t="shared" si="1"/>
        <v/>
      </c>
      <c r="C45" s="2"/>
      <c r="H45" s="5" t="str">
        <f t="shared" si="0"/>
        <v/>
      </c>
    </row>
    <row r="46" spans="1:8" x14ac:dyDescent="0.25">
      <c r="A46" s="1" t="str">
        <f t="shared" si="1"/>
        <v/>
      </c>
      <c r="C46" s="2"/>
      <c r="H46" s="5" t="str">
        <f t="shared" si="0"/>
        <v/>
      </c>
    </row>
    <row r="47" spans="1:8" x14ac:dyDescent="0.25">
      <c r="A47" s="1" t="str">
        <f t="shared" si="1"/>
        <v/>
      </c>
      <c r="C47" s="2"/>
      <c r="H47" s="5" t="str">
        <f t="shared" si="0"/>
        <v/>
      </c>
    </row>
    <row r="48" spans="1:8" x14ac:dyDescent="0.25">
      <c r="A48" s="1" t="str">
        <f t="shared" si="1"/>
        <v/>
      </c>
      <c r="C48" s="2"/>
      <c r="H48" s="5" t="str">
        <f t="shared" si="0"/>
        <v/>
      </c>
    </row>
    <row r="49" spans="1:8" x14ac:dyDescent="0.25">
      <c r="A49" s="1" t="str">
        <f t="shared" si="1"/>
        <v/>
      </c>
      <c r="C49" s="2"/>
      <c r="H49" s="5" t="str">
        <f t="shared" si="0"/>
        <v/>
      </c>
    </row>
    <row r="50" spans="1:8" x14ac:dyDescent="0.25">
      <c r="A50" s="1" t="str">
        <f t="shared" si="1"/>
        <v/>
      </c>
      <c r="C50" s="2"/>
      <c r="H50" s="5" t="str">
        <f t="shared" si="0"/>
        <v/>
      </c>
    </row>
    <row r="51" spans="1:8" x14ac:dyDescent="0.25">
      <c r="A51" s="1" t="str">
        <f t="shared" si="1"/>
        <v/>
      </c>
      <c r="C51" s="2"/>
      <c r="H51" s="5" t="str">
        <f t="shared" si="0"/>
        <v/>
      </c>
    </row>
    <row r="52" spans="1:8" x14ac:dyDescent="0.25">
      <c r="A52" s="1" t="str">
        <f t="shared" si="1"/>
        <v/>
      </c>
      <c r="C52" s="2"/>
      <c r="H52" s="5" t="str">
        <f t="shared" si="0"/>
        <v/>
      </c>
    </row>
    <row r="53" spans="1:8" x14ac:dyDescent="0.25">
      <c r="A53" s="1" t="str">
        <f t="shared" si="1"/>
        <v/>
      </c>
      <c r="C53" s="2"/>
      <c r="H53" s="5" t="str">
        <f t="shared" si="0"/>
        <v/>
      </c>
    </row>
    <row r="54" spans="1:8" x14ac:dyDescent="0.25">
      <c r="A54" s="1" t="str">
        <f t="shared" si="1"/>
        <v/>
      </c>
      <c r="C54" s="2"/>
      <c r="H54" s="5" t="str">
        <f t="shared" si="0"/>
        <v/>
      </c>
    </row>
    <row r="55" spans="1:8" x14ac:dyDescent="0.25">
      <c r="A55" s="1" t="str">
        <f t="shared" si="1"/>
        <v/>
      </c>
      <c r="C55" s="2"/>
      <c r="H55" s="5" t="str">
        <f t="shared" si="0"/>
        <v/>
      </c>
    </row>
    <row r="56" spans="1:8" x14ac:dyDescent="0.25">
      <c r="A56" s="1" t="str">
        <f t="shared" si="1"/>
        <v/>
      </c>
      <c r="C56" s="2"/>
      <c r="H56" s="5" t="str">
        <f t="shared" si="0"/>
        <v/>
      </c>
    </row>
    <row r="57" spans="1:8" x14ac:dyDescent="0.25">
      <c r="A57" s="1" t="str">
        <f t="shared" si="1"/>
        <v/>
      </c>
      <c r="C57" s="2"/>
      <c r="H57" s="5" t="str">
        <f t="shared" si="0"/>
        <v/>
      </c>
    </row>
    <row r="58" spans="1:8" x14ac:dyDescent="0.25">
      <c r="A58" s="1" t="str">
        <f t="shared" si="1"/>
        <v/>
      </c>
      <c r="C58" s="2"/>
      <c r="H58" s="5" t="str">
        <f t="shared" si="0"/>
        <v/>
      </c>
    </row>
    <row r="59" spans="1:8" x14ac:dyDescent="0.25">
      <c r="A59" s="1" t="str">
        <f t="shared" si="1"/>
        <v/>
      </c>
      <c r="C59" s="2"/>
      <c r="H59" s="5" t="str">
        <f t="shared" si="0"/>
        <v/>
      </c>
    </row>
    <row r="60" spans="1:8" x14ac:dyDescent="0.25">
      <c r="A60" s="1" t="str">
        <f t="shared" si="1"/>
        <v/>
      </c>
      <c r="C60" s="2"/>
      <c r="H60" s="5" t="str">
        <f t="shared" si="0"/>
        <v/>
      </c>
    </row>
    <row r="61" spans="1:8" x14ac:dyDescent="0.25">
      <c r="A61" s="1" t="str">
        <f t="shared" si="1"/>
        <v/>
      </c>
      <c r="C61" s="2"/>
      <c r="H61" s="5" t="str">
        <f t="shared" si="0"/>
        <v/>
      </c>
    </row>
    <row r="62" spans="1:8" x14ac:dyDescent="0.25">
      <c r="A62" s="1" t="str">
        <f t="shared" si="1"/>
        <v/>
      </c>
      <c r="C62" s="2"/>
      <c r="H62" s="5" t="str">
        <f t="shared" si="0"/>
        <v/>
      </c>
    </row>
    <row r="63" spans="1:8" x14ac:dyDescent="0.25">
      <c r="A63" s="1" t="str">
        <f t="shared" si="1"/>
        <v/>
      </c>
      <c r="C63" s="2"/>
      <c r="H63" s="5" t="str">
        <f t="shared" si="0"/>
        <v/>
      </c>
    </row>
    <row r="64" spans="1:8" x14ac:dyDescent="0.25">
      <c r="A64" s="1" t="str">
        <f t="shared" si="1"/>
        <v/>
      </c>
      <c r="B64" s="7"/>
      <c r="C64" s="2"/>
      <c r="H64" s="5" t="str">
        <f t="shared" si="0"/>
        <v/>
      </c>
    </row>
    <row r="65" spans="1:8" x14ac:dyDescent="0.25">
      <c r="A65" s="1" t="str">
        <f t="shared" si="1"/>
        <v/>
      </c>
      <c r="B65" s="7"/>
      <c r="C65" s="2"/>
      <c r="H65" s="5" t="str">
        <f t="shared" si="0"/>
        <v/>
      </c>
    </row>
    <row r="66" spans="1:8" x14ac:dyDescent="0.25">
      <c r="A66" s="1" t="str">
        <f t="shared" si="1"/>
        <v/>
      </c>
      <c r="B66" s="7"/>
      <c r="C66" s="2"/>
      <c r="H66" s="5" t="str">
        <f t="shared" si="0"/>
        <v/>
      </c>
    </row>
    <row r="67" spans="1:8" x14ac:dyDescent="0.25">
      <c r="A67" s="1" t="str">
        <f t="shared" si="1"/>
        <v/>
      </c>
      <c r="B67" s="7"/>
      <c r="C67" s="2"/>
      <c r="H67" s="5" t="str">
        <f t="shared" ref="H67:H84" si="2">IF(F67="","",(G67/F67))</f>
        <v/>
      </c>
    </row>
    <row r="68" spans="1:8" x14ac:dyDescent="0.25">
      <c r="A68" s="1" t="str">
        <f t="shared" ref="A68:A84" si="3">IF(B68="","",A67+1)</f>
        <v/>
      </c>
      <c r="B68" s="7"/>
      <c r="C68" s="2"/>
      <c r="H68" s="5" t="str">
        <f t="shared" si="2"/>
        <v/>
      </c>
    </row>
    <row r="69" spans="1:8" x14ac:dyDescent="0.25">
      <c r="A69" s="1" t="str">
        <f t="shared" si="3"/>
        <v/>
      </c>
      <c r="B69" s="7"/>
      <c r="C69" s="2"/>
      <c r="H69" s="5" t="str">
        <f t="shared" si="2"/>
        <v/>
      </c>
    </row>
    <row r="70" spans="1:8" x14ac:dyDescent="0.25">
      <c r="A70" s="1" t="str">
        <f t="shared" si="3"/>
        <v/>
      </c>
      <c r="B70" s="7"/>
      <c r="C70" s="2"/>
      <c r="H70" s="5" t="str">
        <f t="shared" si="2"/>
        <v/>
      </c>
    </row>
    <row r="71" spans="1:8" x14ac:dyDescent="0.25">
      <c r="A71" s="1" t="str">
        <f t="shared" si="3"/>
        <v/>
      </c>
      <c r="B71" s="7"/>
      <c r="C71" s="2"/>
      <c r="H71" s="5" t="str">
        <f t="shared" si="2"/>
        <v/>
      </c>
    </row>
    <row r="72" spans="1:8" x14ac:dyDescent="0.25">
      <c r="A72" s="1" t="str">
        <f t="shared" si="3"/>
        <v/>
      </c>
      <c r="B72" s="7"/>
      <c r="C72" s="2"/>
      <c r="H72" s="5" t="str">
        <f t="shared" si="2"/>
        <v/>
      </c>
    </row>
    <row r="73" spans="1:8" x14ac:dyDescent="0.25">
      <c r="A73" s="1" t="str">
        <f t="shared" si="3"/>
        <v/>
      </c>
      <c r="B73" s="7"/>
      <c r="C73" s="2"/>
      <c r="H73" s="5" t="str">
        <f t="shared" si="2"/>
        <v/>
      </c>
    </row>
    <row r="74" spans="1:8" x14ac:dyDescent="0.25">
      <c r="A74" s="1" t="str">
        <f t="shared" si="3"/>
        <v/>
      </c>
      <c r="B74" s="7"/>
      <c r="C74" s="2"/>
      <c r="H74" s="5" t="str">
        <f t="shared" si="2"/>
        <v/>
      </c>
    </row>
    <row r="75" spans="1:8" x14ac:dyDescent="0.25">
      <c r="A75" s="1" t="str">
        <f t="shared" si="3"/>
        <v/>
      </c>
      <c r="B75" s="7"/>
      <c r="C75" s="2"/>
      <c r="H75" s="5" t="str">
        <f t="shared" si="2"/>
        <v/>
      </c>
    </row>
    <row r="76" spans="1:8" x14ac:dyDescent="0.25">
      <c r="A76" s="1" t="str">
        <f t="shared" si="3"/>
        <v/>
      </c>
      <c r="B76" s="7"/>
      <c r="C76" s="2"/>
      <c r="H76" s="5" t="str">
        <f t="shared" si="2"/>
        <v/>
      </c>
    </row>
    <row r="77" spans="1:8" x14ac:dyDescent="0.25">
      <c r="A77" s="1" t="str">
        <f t="shared" si="3"/>
        <v/>
      </c>
      <c r="B77" s="7"/>
      <c r="C77" s="2"/>
      <c r="H77" s="5" t="str">
        <f t="shared" si="2"/>
        <v/>
      </c>
    </row>
    <row r="78" spans="1:8" x14ac:dyDescent="0.25">
      <c r="A78" s="1" t="str">
        <f t="shared" si="3"/>
        <v/>
      </c>
      <c r="B78" s="7"/>
      <c r="C78" s="2"/>
      <c r="H78" s="5" t="str">
        <f t="shared" si="2"/>
        <v/>
      </c>
    </row>
    <row r="79" spans="1:8" x14ac:dyDescent="0.25">
      <c r="A79" s="1" t="str">
        <f t="shared" si="3"/>
        <v/>
      </c>
      <c r="B79" s="7"/>
      <c r="C79" s="2"/>
      <c r="H79" s="5" t="str">
        <f t="shared" si="2"/>
        <v/>
      </c>
    </row>
    <row r="80" spans="1:8" x14ac:dyDescent="0.25">
      <c r="A80" s="1" t="str">
        <f t="shared" si="3"/>
        <v/>
      </c>
      <c r="B80" s="7"/>
      <c r="C80" s="2"/>
      <c r="H80" s="5" t="str">
        <f t="shared" si="2"/>
        <v/>
      </c>
    </row>
    <row r="81" spans="1:8" x14ac:dyDescent="0.25">
      <c r="A81" s="1" t="str">
        <f t="shared" si="3"/>
        <v/>
      </c>
      <c r="B81" s="7"/>
      <c r="C81" s="2"/>
      <c r="H81" s="5" t="str">
        <f t="shared" si="2"/>
        <v/>
      </c>
    </row>
    <row r="82" spans="1:8" x14ac:dyDescent="0.25">
      <c r="A82" s="1" t="str">
        <f t="shared" si="3"/>
        <v/>
      </c>
      <c r="B82" s="7"/>
      <c r="C82" s="2"/>
      <c r="H82" s="5" t="str">
        <f t="shared" si="2"/>
        <v/>
      </c>
    </row>
    <row r="83" spans="1:8" x14ac:dyDescent="0.25">
      <c r="A83" s="1" t="str">
        <f t="shared" si="3"/>
        <v/>
      </c>
      <c r="B83" s="7"/>
      <c r="C83" s="2"/>
      <c r="H83" s="5" t="str">
        <f t="shared" si="2"/>
        <v/>
      </c>
    </row>
    <row r="84" spans="1:8" x14ac:dyDescent="0.25">
      <c r="A84" s="1" t="str">
        <f t="shared" si="3"/>
        <v/>
      </c>
      <c r="B84" s="7"/>
      <c r="C84" s="2"/>
      <c r="H84" s="5" t="str">
        <f t="shared" si="2"/>
        <v/>
      </c>
    </row>
  </sheetData>
  <dataValidations count="1">
    <dataValidation type="list" allowBlank="1" showInputMessage="1" showErrorMessage="1" sqref="C2:C84" xr:uid="{00000000-0002-0000-0200-000000000000}">
      <formula1>$J$3:$J$6</formula1>
    </dataValidation>
  </dataValidations>
  <hyperlinks>
    <hyperlink ref="E2" r:id="rId1" display="01302024 VE03 cold leg declogging" xr:uid="{00000000-0004-0000-0200-000000000000}"/>
    <hyperlink ref="E8" r:id="rId2" display="08312024 111PU02-03 suction strainer clean up" xr:uid="{00000000-0004-0000-0200-000001000000}"/>
    <hyperlink ref="E3" r:id="rId3" display="111BC02-04 Catcher Cleanup (ISA with Contractors)" xr:uid="{00000000-0004-0000-0200-000002000000}"/>
    <hyperlink ref="E4" r:id="rId4" display="03212024 106ML02 operation" xr:uid="{00000000-0004-0000-0200-000003000000}"/>
    <hyperlink ref="E7" r:id="rId5" display="07132024 114 flocculant charging (ISA)" xr:uid="{00000000-0004-0000-0200-000004000000}"/>
    <hyperlink ref="E6" r:id="rId6" xr:uid="{00000000-0004-0000-0200-000005000000}"/>
    <hyperlink ref="E10" r:id="rId7" display="112024 Polishing Filter Cloth Cutting" xr:uid="{00000000-0004-0000-0200-000006000000}"/>
    <hyperlink ref="E9" r:id="rId8" display="10302024 Polishing cloth rewashing" xr:uid="{00000000-0004-0000-0200-000007000000}"/>
    <hyperlink ref="E11" r:id="rId9" display="01092025 111BC05 flushing and clean-up" xr:uid="{00000000-0004-0000-0200-000008000000}"/>
    <hyperlink ref="E13" r:id="rId10" xr:uid="{00000000-0004-0000-0200-000009000000}"/>
  </hyperlinks>
  <pageMargins left="0.7" right="0.7" top="0.75" bottom="0.75" header="0.3" footer="0.3"/>
  <pageSetup paperSize="9" scale="41" orientation="portrait" r:id="rId11"/>
  <drawing r:id="rId12"/>
  <legacyDrawing r:id="rId13"/>
  <controls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12</xdr:col>
                <xdr:colOff>104775</xdr:colOff>
                <xdr:row>4</xdr:row>
                <xdr:rowOff>95250</xdr:rowOff>
              </from>
              <to>
                <xdr:col>13</xdr:col>
                <xdr:colOff>352425</xdr:colOff>
                <xdr:row>7</xdr:row>
                <xdr:rowOff>85725</xdr:rowOff>
              </to>
            </anchor>
          </controlPr>
        </control>
      </mc:Choice>
      <mc:Fallback>
        <control shapeId="1025" r:id="rId14" name="CommandButton1"/>
      </mc:Fallback>
    </mc:AlternateContent>
    <mc:AlternateContent xmlns:mc="http://schemas.openxmlformats.org/markup-compatibility/2006">
      <mc:Choice Requires="x14">
        <control shapeId="1027" r:id="rId16" name="CommandButton2">
          <controlPr defaultSize="0" autoLine="0" r:id="rId17">
            <anchor moveWithCells="1">
              <from>
                <xdr:col>12</xdr:col>
                <xdr:colOff>104775</xdr:colOff>
                <xdr:row>9</xdr:row>
                <xdr:rowOff>38100</xdr:rowOff>
              </from>
              <to>
                <xdr:col>13</xdr:col>
                <xdr:colOff>381000</xdr:colOff>
                <xdr:row>11</xdr:row>
                <xdr:rowOff>76200</xdr:rowOff>
              </to>
            </anchor>
          </controlPr>
        </control>
      </mc:Choice>
      <mc:Fallback>
        <control shapeId="1027" r:id="rId1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85"/>
  <sheetViews>
    <sheetView view="pageBreakPreview" zoomScale="60" zoomScaleNormal="100" workbookViewId="0">
      <selection activeCell="I44" sqref="I44"/>
    </sheetView>
  </sheetViews>
  <sheetFormatPr defaultRowHeight="15" x14ac:dyDescent="0.25"/>
  <cols>
    <col min="2" max="2" width="27" bestFit="1" customWidth="1"/>
  </cols>
  <sheetData>
    <row r="1" spans="1:14" x14ac:dyDescent="0.25">
      <c r="A1" s="1" t="s">
        <v>0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35</v>
      </c>
      <c r="N1" s="1" t="s">
        <v>36</v>
      </c>
    </row>
    <row r="2" spans="1:14" x14ac:dyDescent="0.25">
      <c r="A2" s="1">
        <v>1</v>
      </c>
      <c r="B2" s="9" t="s">
        <v>37</v>
      </c>
      <c r="C2" s="2">
        <v>0.96153846153846156</v>
      </c>
      <c r="D2" s="10">
        <v>1</v>
      </c>
    </row>
    <row r="3" spans="1:14" x14ac:dyDescent="0.25">
      <c r="A3" s="1">
        <v>1</v>
      </c>
      <c r="B3" s="9" t="s">
        <v>38</v>
      </c>
      <c r="C3" s="2">
        <v>0.96</v>
      </c>
      <c r="D3" s="10">
        <v>1</v>
      </c>
    </row>
    <row r="4" spans="1:14" x14ac:dyDescent="0.25">
      <c r="A4" s="1">
        <v>1</v>
      </c>
      <c r="B4" s="9" t="s">
        <v>39</v>
      </c>
      <c r="C4" s="2">
        <v>1</v>
      </c>
      <c r="D4" s="10">
        <v>1</v>
      </c>
    </row>
    <row r="5" spans="1:14" x14ac:dyDescent="0.25">
      <c r="A5" s="1">
        <v>1</v>
      </c>
      <c r="B5" s="9" t="s">
        <v>40</v>
      </c>
      <c r="C5" s="2">
        <v>1</v>
      </c>
      <c r="D5" s="10">
        <v>1</v>
      </c>
    </row>
    <row r="6" spans="1:14" x14ac:dyDescent="0.25">
      <c r="A6" s="1">
        <v>1</v>
      </c>
      <c r="B6" s="9" t="s">
        <v>41</v>
      </c>
      <c r="C6" s="2">
        <v>1</v>
      </c>
      <c r="D6" s="10">
        <v>1</v>
      </c>
    </row>
    <row r="7" spans="1:14" x14ac:dyDescent="0.25">
      <c r="A7" s="1">
        <v>1</v>
      </c>
      <c r="B7" s="9" t="s">
        <v>42</v>
      </c>
      <c r="C7" s="2">
        <v>1</v>
      </c>
      <c r="D7" s="10">
        <v>1</v>
      </c>
    </row>
    <row r="8" spans="1:14" x14ac:dyDescent="0.25">
      <c r="A8" s="1">
        <v>1</v>
      </c>
      <c r="B8" s="9" t="s">
        <v>43</v>
      </c>
      <c r="C8" s="2">
        <v>1</v>
      </c>
      <c r="D8" s="10">
        <v>1</v>
      </c>
    </row>
    <row r="9" spans="1:14" x14ac:dyDescent="0.25">
      <c r="A9" s="1">
        <v>1</v>
      </c>
      <c r="B9" s="9" t="s">
        <v>44</v>
      </c>
      <c r="C9" s="2">
        <v>1</v>
      </c>
      <c r="D9" s="10">
        <v>1</v>
      </c>
    </row>
    <row r="10" spans="1:14" x14ac:dyDescent="0.25">
      <c r="A10" s="1">
        <v>1</v>
      </c>
      <c r="B10" s="9" t="s">
        <v>45</v>
      </c>
      <c r="C10" s="2">
        <v>1</v>
      </c>
      <c r="D10" s="10">
        <v>1</v>
      </c>
    </row>
    <row r="11" spans="1:14" x14ac:dyDescent="0.25">
      <c r="A11" s="1">
        <v>1</v>
      </c>
      <c r="B11" s="9" t="s">
        <v>46</v>
      </c>
      <c r="C11" s="2">
        <v>1</v>
      </c>
      <c r="D11" s="10">
        <v>1</v>
      </c>
    </row>
    <row r="12" spans="1:14" x14ac:dyDescent="0.25">
      <c r="A12" s="1">
        <v>1</v>
      </c>
      <c r="B12" s="9" t="s">
        <v>47</v>
      </c>
      <c r="C12" s="2">
        <v>1</v>
      </c>
      <c r="D12" s="10">
        <v>1</v>
      </c>
    </row>
    <row r="13" spans="1:14" x14ac:dyDescent="0.25">
      <c r="A13" s="1">
        <v>1</v>
      </c>
      <c r="B13" s="9" t="s">
        <v>48</v>
      </c>
      <c r="C13" s="2">
        <v>1</v>
      </c>
      <c r="D13" s="10">
        <v>0.92307692307692313</v>
      </c>
    </row>
    <row r="14" spans="1:14" x14ac:dyDescent="0.25">
      <c r="A14" s="1">
        <v>1</v>
      </c>
      <c r="B14" s="9" t="s">
        <v>49</v>
      </c>
      <c r="C14" s="2">
        <v>1</v>
      </c>
      <c r="D14" s="10">
        <v>1</v>
      </c>
    </row>
    <row r="15" spans="1:14" x14ac:dyDescent="0.25">
      <c r="A15" s="1">
        <v>1</v>
      </c>
      <c r="B15" s="9" t="s">
        <v>50</v>
      </c>
      <c r="C15" s="2">
        <v>0.96153846153846156</v>
      </c>
      <c r="D15" s="10">
        <v>1</v>
      </c>
    </row>
    <row r="16" spans="1:14" x14ac:dyDescent="0.25">
      <c r="A16" s="1">
        <v>1</v>
      </c>
      <c r="B16" s="9" t="s">
        <v>51</v>
      </c>
      <c r="C16" s="2">
        <v>1</v>
      </c>
      <c r="D16" s="10">
        <v>1</v>
      </c>
    </row>
    <row r="17" spans="1:4" x14ac:dyDescent="0.25">
      <c r="A17" s="1">
        <v>1</v>
      </c>
      <c r="B17" s="9" t="s">
        <v>52</v>
      </c>
      <c r="C17" s="2">
        <v>1</v>
      </c>
      <c r="D17" s="10">
        <v>1</v>
      </c>
    </row>
    <row r="18" spans="1:4" x14ac:dyDescent="0.25">
      <c r="A18" s="1">
        <v>1</v>
      </c>
      <c r="B18" s="9" t="s">
        <v>53</v>
      </c>
      <c r="C18" s="2">
        <v>1</v>
      </c>
      <c r="D18" s="10">
        <v>1</v>
      </c>
    </row>
    <row r="19" spans="1:4" x14ac:dyDescent="0.25">
      <c r="A19" s="1">
        <v>1</v>
      </c>
      <c r="B19" s="9" t="s">
        <v>54</v>
      </c>
      <c r="C19" s="2">
        <v>1</v>
      </c>
      <c r="D19" s="10">
        <v>1</v>
      </c>
    </row>
    <row r="20" spans="1:4" x14ac:dyDescent="0.25">
      <c r="A20" s="1">
        <v>1</v>
      </c>
      <c r="B20" s="9" t="s">
        <v>55</v>
      </c>
      <c r="C20" s="2">
        <v>0.96153846153846156</v>
      </c>
      <c r="D20" s="10">
        <v>1</v>
      </c>
    </row>
    <row r="21" spans="1:4" x14ac:dyDescent="0.25">
      <c r="A21" s="1">
        <v>1</v>
      </c>
      <c r="B21" s="9" t="s">
        <v>56</v>
      </c>
      <c r="C21" s="2">
        <v>0.96153846153846156</v>
      </c>
      <c r="D21" s="10">
        <v>1</v>
      </c>
    </row>
    <row r="22" spans="1:4" x14ac:dyDescent="0.25">
      <c r="A22" s="1">
        <v>1</v>
      </c>
      <c r="B22" s="9" t="s">
        <v>57</v>
      </c>
      <c r="C22" s="2">
        <v>1</v>
      </c>
      <c r="D22" s="10">
        <v>1</v>
      </c>
    </row>
    <row r="23" spans="1:4" x14ac:dyDescent="0.25">
      <c r="A23" s="1">
        <v>2</v>
      </c>
      <c r="B23" s="9" t="s">
        <v>58</v>
      </c>
      <c r="C23" s="2">
        <v>1</v>
      </c>
      <c r="D23" s="10">
        <v>1</v>
      </c>
    </row>
    <row r="24" spans="1:4" x14ac:dyDescent="0.25">
      <c r="A24" s="1">
        <v>2</v>
      </c>
      <c r="B24" s="9" t="s">
        <v>59</v>
      </c>
      <c r="C24" s="2">
        <v>1</v>
      </c>
      <c r="D24" s="10">
        <v>1</v>
      </c>
    </row>
    <row r="25" spans="1:4" x14ac:dyDescent="0.25">
      <c r="A25" s="1">
        <v>2</v>
      </c>
      <c r="B25" s="9" t="s">
        <v>60</v>
      </c>
      <c r="C25" s="2">
        <v>1</v>
      </c>
      <c r="D25" s="10">
        <v>1</v>
      </c>
    </row>
    <row r="26" spans="1:4" x14ac:dyDescent="0.25">
      <c r="A26" s="1">
        <v>2</v>
      </c>
      <c r="B26" s="9" t="s">
        <v>61</v>
      </c>
      <c r="C26" s="2">
        <v>1</v>
      </c>
      <c r="D26" s="10">
        <v>1</v>
      </c>
    </row>
    <row r="27" spans="1:4" x14ac:dyDescent="0.25">
      <c r="A27" s="1">
        <v>2</v>
      </c>
      <c r="B27" s="9" t="s">
        <v>62</v>
      </c>
      <c r="C27" s="2">
        <v>1</v>
      </c>
      <c r="D27" s="10">
        <v>1</v>
      </c>
    </row>
    <row r="28" spans="1:4" x14ac:dyDescent="0.25">
      <c r="A28" s="1">
        <v>2</v>
      </c>
      <c r="B28" s="9" t="s">
        <v>63</v>
      </c>
      <c r="C28" s="2">
        <v>1</v>
      </c>
      <c r="D28" s="10">
        <v>1</v>
      </c>
    </row>
    <row r="29" spans="1:4" x14ac:dyDescent="0.25">
      <c r="A29" s="1">
        <v>2</v>
      </c>
      <c r="B29" s="9" t="s">
        <v>64</v>
      </c>
      <c r="C29" s="2">
        <v>1</v>
      </c>
      <c r="D29" s="10">
        <v>1</v>
      </c>
    </row>
    <row r="30" spans="1:4" x14ac:dyDescent="0.25">
      <c r="A30" s="1">
        <v>2</v>
      </c>
      <c r="B30" s="9" t="s">
        <v>65</v>
      </c>
      <c r="C30" s="2">
        <v>1</v>
      </c>
      <c r="D30" s="10">
        <v>1</v>
      </c>
    </row>
    <row r="31" spans="1:4" x14ac:dyDescent="0.25">
      <c r="A31" s="1">
        <v>2</v>
      </c>
      <c r="B31" s="9" t="s">
        <v>66</v>
      </c>
      <c r="C31" s="2">
        <v>1</v>
      </c>
      <c r="D31" s="10">
        <v>1</v>
      </c>
    </row>
    <row r="32" spans="1:4" x14ac:dyDescent="0.25">
      <c r="A32" s="1">
        <v>2</v>
      </c>
      <c r="B32" s="9" t="s">
        <v>67</v>
      </c>
      <c r="C32" s="2">
        <v>1</v>
      </c>
      <c r="D32" s="10">
        <v>1</v>
      </c>
    </row>
    <row r="33" spans="1:4" x14ac:dyDescent="0.25">
      <c r="A33" s="1">
        <v>2</v>
      </c>
      <c r="B33" s="9" t="s">
        <v>68</v>
      </c>
      <c r="C33" s="2">
        <v>1</v>
      </c>
      <c r="D33" s="10">
        <v>1</v>
      </c>
    </row>
    <row r="34" spans="1:4" x14ac:dyDescent="0.25">
      <c r="A34" s="1">
        <v>2</v>
      </c>
      <c r="B34" s="9" t="s">
        <v>69</v>
      </c>
      <c r="C34" s="2">
        <v>1</v>
      </c>
      <c r="D34" s="10">
        <v>1</v>
      </c>
    </row>
    <row r="35" spans="1:4" x14ac:dyDescent="0.25">
      <c r="A35" s="1">
        <v>2</v>
      </c>
      <c r="B35" s="9" t="s">
        <v>70</v>
      </c>
      <c r="C35" s="2">
        <v>1</v>
      </c>
      <c r="D35" s="10">
        <v>1</v>
      </c>
    </row>
    <row r="36" spans="1:4" x14ac:dyDescent="0.25">
      <c r="A36" s="1">
        <v>2</v>
      </c>
      <c r="B36" s="9" t="s">
        <v>71</v>
      </c>
      <c r="C36" s="2">
        <v>1</v>
      </c>
      <c r="D36" s="10">
        <v>1</v>
      </c>
    </row>
    <row r="37" spans="1:4" x14ac:dyDescent="0.25">
      <c r="A37" s="1">
        <v>2</v>
      </c>
      <c r="B37" s="9" t="s">
        <v>72</v>
      </c>
      <c r="C37" s="2">
        <v>1</v>
      </c>
      <c r="D37" s="10">
        <v>1</v>
      </c>
    </row>
    <row r="38" spans="1:4" x14ac:dyDescent="0.25">
      <c r="A38" s="1">
        <v>2</v>
      </c>
      <c r="B38" s="9" t="s">
        <v>73</v>
      </c>
      <c r="C38" s="2">
        <v>1</v>
      </c>
      <c r="D38" s="10">
        <v>1</v>
      </c>
    </row>
    <row r="39" spans="1:4" x14ac:dyDescent="0.25">
      <c r="A39" s="1">
        <v>2</v>
      </c>
      <c r="B39" s="9" t="s">
        <v>74</v>
      </c>
      <c r="C39" s="2">
        <v>1</v>
      </c>
      <c r="D39" s="10">
        <v>1</v>
      </c>
    </row>
    <row r="40" spans="1:4" x14ac:dyDescent="0.25">
      <c r="A40" s="1">
        <v>2</v>
      </c>
      <c r="B40" s="9" t="s">
        <v>75</v>
      </c>
      <c r="C40" s="2">
        <v>1</v>
      </c>
      <c r="D40" s="10">
        <v>1</v>
      </c>
    </row>
    <row r="41" spans="1:4" x14ac:dyDescent="0.25">
      <c r="A41" s="1">
        <v>2</v>
      </c>
      <c r="B41" s="9" t="s">
        <v>76</v>
      </c>
      <c r="C41" s="2">
        <v>1</v>
      </c>
      <c r="D41" s="10">
        <v>1</v>
      </c>
    </row>
    <row r="42" spans="1:4" x14ac:dyDescent="0.25">
      <c r="A42" s="1">
        <v>2</v>
      </c>
      <c r="B42" s="9" t="s">
        <v>77</v>
      </c>
      <c r="C42" s="2">
        <v>1</v>
      </c>
      <c r="D42" s="10">
        <v>1</v>
      </c>
    </row>
    <row r="43" spans="1:4" x14ac:dyDescent="0.25">
      <c r="A43" s="1">
        <v>2</v>
      </c>
      <c r="B43" s="9" t="s">
        <v>78</v>
      </c>
      <c r="C43" s="2">
        <v>1</v>
      </c>
      <c r="D43" s="10">
        <v>1</v>
      </c>
    </row>
    <row r="44" spans="1:4" x14ac:dyDescent="0.25">
      <c r="A44" s="1">
        <v>3</v>
      </c>
      <c r="B44" s="9" t="s">
        <v>79</v>
      </c>
      <c r="C44" s="2">
        <v>1</v>
      </c>
      <c r="D44" s="10">
        <v>1</v>
      </c>
    </row>
    <row r="45" spans="1:4" x14ac:dyDescent="0.25">
      <c r="A45" s="1">
        <v>3</v>
      </c>
      <c r="B45" s="9" t="s">
        <v>80</v>
      </c>
      <c r="C45" s="2">
        <v>1</v>
      </c>
      <c r="D45" s="10">
        <v>1</v>
      </c>
    </row>
    <row r="46" spans="1:4" x14ac:dyDescent="0.25">
      <c r="A46" s="1">
        <v>3</v>
      </c>
      <c r="B46" s="9" t="s">
        <v>81</v>
      </c>
      <c r="C46" s="2">
        <v>1</v>
      </c>
      <c r="D46" s="10">
        <v>1</v>
      </c>
    </row>
    <row r="47" spans="1:4" x14ac:dyDescent="0.25">
      <c r="A47" s="1">
        <v>3</v>
      </c>
      <c r="B47" s="9" t="s">
        <v>82</v>
      </c>
      <c r="C47" s="2">
        <v>1</v>
      </c>
      <c r="D47" s="10">
        <v>1</v>
      </c>
    </row>
    <row r="48" spans="1:4" x14ac:dyDescent="0.25">
      <c r="A48" s="1">
        <v>3</v>
      </c>
      <c r="B48" s="9" t="s">
        <v>83</v>
      </c>
      <c r="C48" s="2">
        <v>1</v>
      </c>
      <c r="D48" s="10">
        <v>1</v>
      </c>
    </row>
    <row r="49" spans="1:4" x14ac:dyDescent="0.25">
      <c r="A49" s="1">
        <v>3</v>
      </c>
      <c r="B49" s="9" t="s">
        <v>84</v>
      </c>
      <c r="C49" s="2">
        <v>1</v>
      </c>
      <c r="D49" s="10">
        <v>1</v>
      </c>
    </row>
    <row r="50" spans="1:4" x14ac:dyDescent="0.25">
      <c r="A50" s="1">
        <v>3</v>
      </c>
      <c r="B50" s="9" t="s">
        <v>85</v>
      </c>
      <c r="C50" s="2">
        <v>1</v>
      </c>
      <c r="D50" s="10">
        <v>1</v>
      </c>
    </row>
    <row r="51" spans="1:4" x14ac:dyDescent="0.25">
      <c r="A51" s="1">
        <v>3</v>
      </c>
      <c r="B51" s="9" t="s">
        <v>86</v>
      </c>
      <c r="C51" s="2">
        <v>1</v>
      </c>
      <c r="D51" s="10">
        <v>1</v>
      </c>
    </row>
    <row r="52" spans="1:4" x14ac:dyDescent="0.25">
      <c r="A52" s="1">
        <v>3</v>
      </c>
      <c r="B52" s="9" t="s">
        <v>87</v>
      </c>
      <c r="C52" s="2">
        <v>1</v>
      </c>
      <c r="D52" s="10">
        <v>1</v>
      </c>
    </row>
    <row r="53" spans="1:4" x14ac:dyDescent="0.25">
      <c r="A53" s="1">
        <v>3</v>
      </c>
      <c r="B53" s="9" t="s">
        <v>88</v>
      </c>
      <c r="C53" s="2">
        <v>1</v>
      </c>
      <c r="D53" s="10">
        <v>1</v>
      </c>
    </row>
    <row r="54" spans="1:4" x14ac:dyDescent="0.25">
      <c r="A54" s="1">
        <v>3</v>
      </c>
      <c r="B54" s="9" t="s">
        <v>89</v>
      </c>
      <c r="C54" s="2">
        <v>0.96</v>
      </c>
      <c r="D54" s="10">
        <v>0.9285714285714286</v>
      </c>
    </row>
    <row r="55" spans="1:4" x14ac:dyDescent="0.25">
      <c r="A55" s="1">
        <v>3</v>
      </c>
      <c r="B55" s="9" t="s">
        <v>90</v>
      </c>
      <c r="C55" s="2">
        <v>1</v>
      </c>
      <c r="D55" s="10">
        <v>0.9285714285714286</v>
      </c>
    </row>
    <row r="56" spans="1:4" x14ac:dyDescent="0.25">
      <c r="A56" s="1">
        <v>3</v>
      </c>
      <c r="B56" s="9" t="s">
        <v>91</v>
      </c>
      <c r="C56" s="2">
        <v>0.96153846153846156</v>
      </c>
      <c r="D56" s="10">
        <v>0.92307692307692313</v>
      </c>
    </row>
    <row r="57" spans="1:4" x14ac:dyDescent="0.25">
      <c r="A57" s="1">
        <v>3</v>
      </c>
      <c r="B57" s="9" t="s">
        <v>92</v>
      </c>
      <c r="C57" s="2">
        <v>1</v>
      </c>
      <c r="D57" s="10">
        <v>1</v>
      </c>
    </row>
    <row r="58" spans="1:4" x14ac:dyDescent="0.25">
      <c r="A58" s="1">
        <v>3</v>
      </c>
      <c r="B58" s="9" t="s">
        <v>93</v>
      </c>
      <c r="C58" s="2">
        <v>1</v>
      </c>
      <c r="D58" s="10">
        <v>0.92307692307692313</v>
      </c>
    </row>
    <row r="59" spans="1:4" x14ac:dyDescent="0.25">
      <c r="A59" s="1">
        <v>3</v>
      </c>
      <c r="B59" s="9" t="s">
        <v>94</v>
      </c>
      <c r="C59" s="2">
        <v>1</v>
      </c>
      <c r="D59" s="10">
        <v>1</v>
      </c>
    </row>
    <row r="60" spans="1:4" x14ac:dyDescent="0.25">
      <c r="A60" s="1">
        <v>3</v>
      </c>
      <c r="B60" s="9" t="s">
        <v>95</v>
      </c>
      <c r="C60" s="2">
        <v>1</v>
      </c>
      <c r="D60" s="10">
        <v>1</v>
      </c>
    </row>
    <row r="61" spans="1:4" x14ac:dyDescent="0.25">
      <c r="A61" s="1">
        <v>3</v>
      </c>
      <c r="B61" s="9" t="s">
        <v>96</v>
      </c>
      <c r="C61" s="2">
        <v>1</v>
      </c>
      <c r="D61" s="10">
        <v>1</v>
      </c>
    </row>
    <row r="62" spans="1:4" x14ac:dyDescent="0.25">
      <c r="A62" s="1">
        <v>3</v>
      </c>
      <c r="B62" s="9" t="s">
        <v>97</v>
      </c>
      <c r="C62" s="2">
        <v>1</v>
      </c>
      <c r="D62" s="10">
        <v>1</v>
      </c>
    </row>
    <row r="63" spans="1:4" x14ac:dyDescent="0.25">
      <c r="A63" s="1">
        <v>3</v>
      </c>
      <c r="B63" s="9" t="s">
        <v>98</v>
      </c>
      <c r="C63" s="2">
        <v>0.90909090909090906</v>
      </c>
      <c r="D63" s="10">
        <v>0.9285714285714286</v>
      </c>
    </row>
    <row r="64" spans="1:4" x14ac:dyDescent="0.25">
      <c r="A64" s="1">
        <v>4</v>
      </c>
      <c r="B64" s="11" t="s">
        <v>99</v>
      </c>
      <c r="C64" s="2">
        <v>1</v>
      </c>
      <c r="D64" s="10">
        <v>1</v>
      </c>
    </row>
    <row r="65" spans="1:4" x14ac:dyDescent="0.25">
      <c r="A65" s="1">
        <v>4</v>
      </c>
      <c r="B65" s="11" t="s">
        <v>100</v>
      </c>
      <c r="C65" s="2">
        <v>1</v>
      </c>
      <c r="D65" s="10">
        <v>1</v>
      </c>
    </row>
    <row r="66" spans="1:4" x14ac:dyDescent="0.25">
      <c r="A66" s="1">
        <v>4</v>
      </c>
      <c r="B66" s="11" t="s">
        <v>101</v>
      </c>
      <c r="C66" s="2">
        <v>1</v>
      </c>
      <c r="D66" s="10">
        <v>0.84615384615384615</v>
      </c>
    </row>
    <row r="67" spans="1:4" x14ac:dyDescent="0.25">
      <c r="A67" s="1">
        <v>4</v>
      </c>
      <c r="B67" s="11" t="s">
        <v>102</v>
      </c>
      <c r="C67" s="2">
        <v>1</v>
      </c>
      <c r="D67" s="10">
        <v>1</v>
      </c>
    </row>
    <row r="68" spans="1:4" x14ac:dyDescent="0.25">
      <c r="A68" s="1">
        <v>4</v>
      </c>
      <c r="B68" s="11" t="s">
        <v>103</v>
      </c>
      <c r="C68" s="2">
        <v>1</v>
      </c>
      <c r="D68" s="10">
        <v>1</v>
      </c>
    </row>
    <row r="69" spans="1:4" x14ac:dyDescent="0.25">
      <c r="A69" s="1">
        <v>4</v>
      </c>
      <c r="B69" s="11" t="s">
        <v>104</v>
      </c>
      <c r="C69" s="2">
        <v>0.92592592592592593</v>
      </c>
      <c r="D69" s="10">
        <v>0.84615384615384615</v>
      </c>
    </row>
    <row r="70" spans="1:4" x14ac:dyDescent="0.25">
      <c r="A70" s="1">
        <v>4</v>
      </c>
      <c r="B70" s="11" t="s">
        <v>105</v>
      </c>
      <c r="C70" s="2">
        <v>0.96296296296296291</v>
      </c>
      <c r="D70" s="10">
        <v>1</v>
      </c>
    </row>
    <row r="71" spans="1:4" x14ac:dyDescent="0.25">
      <c r="A71" s="1">
        <v>4</v>
      </c>
      <c r="B71" s="11" t="s">
        <v>106</v>
      </c>
      <c r="C71" s="2">
        <v>1</v>
      </c>
      <c r="D71" s="10">
        <v>1</v>
      </c>
    </row>
    <row r="72" spans="1:4" x14ac:dyDescent="0.25">
      <c r="A72" s="1">
        <v>4</v>
      </c>
      <c r="B72" s="11" t="s">
        <v>107</v>
      </c>
      <c r="C72" s="2">
        <v>0.92592592592592593</v>
      </c>
      <c r="D72" s="10">
        <v>0.84615384615384615</v>
      </c>
    </row>
    <row r="73" spans="1:4" x14ac:dyDescent="0.25">
      <c r="A73" s="1">
        <v>4</v>
      </c>
      <c r="B73" s="11" t="s">
        <v>108</v>
      </c>
      <c r="C73" s="2">
        <v>1</v>
      </c>
      <c r="D73" s="10">
        <v>0.92307692307692313</v>
      </c>
    </row>
    <row r="74" spans="1:4" x14ac:dyDescent="0.25">
      <c r="A74" s="1">
        <v>4</v>
      </c>
      <c r="B74" s="11" t="s">
        <v>109</v>
      </c>
      <c r="C74" s="2">
        <v>0.92307692307692313</v>
      </c>
      <c r="D74" s="10">
        <v>1</v>
      </c>
    </row>
    <row r="75" spans="1:4" x14ac:dyDescent="0.25">
      <c r="A75" s="1">
        <v>4</v>
      </c>
      <c r="B75" s="11" t="s">
        <v>110</v>
      </c>
      <c r="C75" s="2">
        <v>0.96296296296296291</v>
      </c>
      <c r="D75" s="10">
        <v>0.9285714285714286</v>
      </c>
    </row>
    <row r="76" spans="1:4" x14ac:dyDescent="0.25">
      <c r="A76" s="1">
        <v>4</v>
      </c>
      <c r="B76" s="11" t="s">
        <v>111</v>
      </c>
      <c r="C76" s="2">
        <v>1</v>
      </c>
      <c r="D76" s="10">
        <v>0.84615384615384615</v>
      </c>
    </row>
    <row r="77" spans="1:4" x14ac:dyDescent="0.25">
      <c r="A77" s="1">
        <v>4</v>
      </c>
      <c r="B77" s="11" t="s">
        <v>112</v>
      </c>
      <c r="C77" s="2">
        <v>1</v>
      </c>
      <c r="D77" s="10">
        <v>1</v>
      </c>
    </row>
    <row r="78" spans="1:4" x14ac:dyDescent="0.25">
      <c r="A78" s="1">
        <v>4</v>
      </c>
      <c r="B78" s="11" t="s">
        <v>113</v>
      </c>
      <c r="C78" s="2">
        <v>1</v>
      </c>
      <c r="D78" s="10">
        <v>1</v>
      </c>
    </row>
    <row r="79" spans="1:4" x14ac:dyDescent="0.25">
      <c r="A79" s="1">
        <v>4</v>
      </c>
      <c r="B79" s="11" t="s">
        <v>114</v>
      </c>
      <c r="C79" s="2">
        <v>1</v>
      </c>
      <c r="D79" s="10">
        <v>0.92307692307692313</v>
      </c>
    </row>
    <row r="80" spans="1:4" x14ac:dyDescent="0.25">
      <c r="A80" s="1">
        <v>4</v>
      </c>
      <c r="B80" s="11" t="s">
        <v>115</v>
      </c>
      <c r="C80" s="2">
        <v>1</v>
      </c>
      <c r="D80" s="10">
        <v>1</v>
      </c>
    </row>
    <row r="81" spans="1:4" x14ac:dyDescent="0.25">
      <c r="A81" s="1">
        <v>4</v>
      </c>
      <c r="B81" s="11" t="s">
        <v>116</v>
      </c>
      <c r="C81" s="2">
        <v>1</v>
      </c>
      <c r="D81" s="10">
        <v>1</v>
      </c>
    </row>
    <row r="82" spans="1:4" x14ac:dyDescent="0.25">
      <c r="A82" s="1">
        <v>4</v>
      </c>
      <c r="B82" s="11" t="s">
        <v>117</v>
      </c>
      <c r="C82" s="2">
        <v>0.96153846153846156</v>
      </c>
      <c r="D82" s="10">
        <v>0.92307692307692313</v>
      </c>
    </row>
    <row r="83" spans="1:4" x14ac:dyDescent="0.25">
      <c r="A83" s="1">
        <v>4</v>
      </c>
      <c r="B83" s="11" t="s">
        <v>118</v>
      </c>
      <c r="C83" s="2">
        <v>1</v>
      </c>
      <c r="D83" s="10">
        <v>1</v>
      </c>
    </row>
    <row r="84" spans="1:4" x14ac:dyDescent="0.25">
      <c r="A84" s="1">
        <v>4</v>
      </c>
      <c r="B84" s="11" t="s">
        <v>119</v>
      </c>
      <c r="C84" s="2">
        <v>0.96153846153846156</v>
      </c>
      <c r="D84" s="10">
        <v>1</v>
      </c>
    </row>
    <row r="85" spans="1:4" x14ac:dyDescent="0.25">
      <c r="C85" s="12"/>
      <c r="D85" s="12"/>
    </row>
  </sheetData>
  <pageMargins left="0.7" right="0.7" top="0.75" bottom="0.75" header="0.3" footer="0.3"/>
  <pageSetup paperSize="9" scale="45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15</xdr:col>
                <xdr:colOff>285750</xdr:colOff>
                <xdr:row>5</xdr:row>
                <xdr:rowOff>38100</xdr:rowOff>
              </from>
              <to>
                <xdr:col>17</xdr:col>
                <xdr:colOff>514350</xdr:colOff>
                <xdr:row>8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SafetyCalendar</vt:lpstr>
      <vt:lpstr>Unusual Ky</vt:lpstr>
      <vt:lpstr>SAudit</vt:lpstr>
      <vt:lpstr>KY</vt:lpstr>
      <vt:lpstr>KY!Print_Area</vt:lpstr>
      <vt:lpstr>SafetyCalendar!Print_Area</vt:lpstr>
      <vt:lpstr>SAudit!Print_Area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P. Baclayo</dc:creator>
  <cp:lastModifiedBy>Victor P. Lumapat Jr</cp:lastModifiedBy>
  <dcterms:created xsi:type="dcterms:W3CDTF">2015-06-05T18:17:20Z</dcterms:created>
  <dcterms:modified xsi:type="dcterms:W3CDTF">2025-02-18T19:12:21Z</dcterms:modified>
</cp:coreProperties>
</file>