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Prod\312 Safety MS\000 Safety monitoring masterlist\Pages\"/>
    </mc:Choice>
  </mc:AlternateContent>
  <bookViews>
    <workbookView xWindow="0" yWindow="0" windowWidth="20490" windowHeight="7245" activeTab="3"/>
  </bookViews>
  <sheets>
    <sheet name="SafetyCalendar" sheetId="1" r:id="rId1"/>
    <sheet name="SafetyAudit" sheetId="2" r:id="rId2"/>
    <sheet name="Safety_Declaration" sheetId="3" r:id="rId3"/>
    <sheet name="KY" sheetId="4" r:id="rId4"/>
    <sheet name="KY2" sheetId="5" r:id="rId5"/>
    <sheet name="4RKY" sheetId="6" r:id="rId6"/>
    <sheet name="Unusual Ky" sheetId="7" r:id="rId7"/>
    <sheet name="Exam_Results" sheetId="8" r:id="rId8"/>
    <sheet name="Core Objectives" sheetId="9" r:id="rId9"/>
  </sheets>
  <externalReferences>
    <externalReference r:id="rId10"/>
    <externalReference r:id="rId11"/>
  </externalReferences>
  <definedNames>
    <definedName name="_xlnm._FilterDatabase" localSheetId="7" hidden="1">Exam_Results!$A$1:$I$114</definedName>
    <definedName name="_xlnm._FilterDatabase" localSheetId="2" hidden="1">Safety_Declaration!$A$1:$L$1</definedName>
    <definedName name="_xlnm._FilterDatabase" localSheetId="0" hidden="1">SafetyCalendar!$A$1:$J$53</definedName>
    <definedName name="FNTRL">Safety_Declaration!$J$82:$J$98</definedName>
    <definedName name="H2S">Safety_Declaration!$J$60:$J$81</definedName>
    <definedName name="LS">Safety_Declaration!$J$48:$J$59</definedName>
    <definedName name="MDCS">Safety_Declaration!$J$2:$J$13</definedName>
    <definedName name="MS">Safety_Declaration!$J$21:$J$47</definedName>
    <definedName name="_xlnm.Print_Area" localSheetId="8">'Core Objectives'!$A$1:$T$19</definedName>
    <definedName name="_xlnm.Print_Area" localSheetId="7">Exam_Results!$A$1:$J$114</definedName>
    <definedName name="_xlnm.Print_Area" localSheetId="3">KY!$A$1:$AQ$94</definedName>
    <definedName name="_xlnm.Print_Area" localSheetId="4">'KY2'!$A$1:$G$37</definedName>
    <definedName name="_xlnm.Print_Area" localSheetId="2">Safety_Declaration!$A$1:$L$97</definedName>
    <definedName name="_xlnm.Print_Area" localSheetId="1">SafetyAudit!$A$1:$I$84</definedName>
    <definedName name="_xlnm.Print_Area" localSheetId="0">SafetyCalendar!$A$1:$J$67</definedName>
    <definedName name="SDCS">Safety_Declaration!$J$14:$J$20</definedName>
    <definedName name="Z_95B9DE93_5E26_48CF_B2F2_F6D6799F59EE_.wvu.Cols" localSheetId="3" hidden="1">KY!$H:$N,KY!$T:$Z</definedName>
    <definedName name="Z_95B9DE93_5E26_48CF_B2F2_F6D6799F59EE_.wvu.FilterData" localSheetId="7" hidden="1">Exam_Results!$A$1:$H$113</definedName>
    <definedName name="Z_95B9DE93_5E26_48CF_B2F2_F6D6799F59EE_.wvu.FilterData" localSheetId="2" hidden="1">Safety_Declaration!$A$1:$L$1</definedName>
    <definedName name="Z_95B9DE93_5E26_48CF_B2F2_F6D6799F59EE_.wvu.FilterData" localSheetId="0" hidden="1">SafetyCalendar!$A$1:$J$53</definedName>
    <definedName name="Z_95B9DE93_5E26_48CF_B2F2_F6D6799F59EE_.wvu.PrintArea" localSheetId="8" hidden="1">'Core Objectives'!$A$1:$T$17</definedName>
    <definedName name="Z_95B9DE93_5E26_48CF_B2F2_F6D6799F59EE_.wvu.PrintArea" localSheetId="7" hidden="1">Exam_Results!$A$1:$H$110</definedName>
    <definedName name="Z_95B9DE93_5E26_48CF_B2F2_F6D6799F59EE_.wvu.PrintArea" localSheetId="3" hidden="1">KY!$A$1:$AQ$94</definedName>
    <definedName name="Z_95B9DE93_5E26_48CF_B2F2_F6D6799F59EE_.wvu.PrintArea" localSheetId="4" hidden="1">'KY2'!$A$1:$G$37</definedName>
    <definedName name="Z_95B9DE93_5E26_48CF_B2F2_F6D6799F59EE_.wvu.PrintArea" localSheetId="2" hidden="1">Safety_Declaration!$A$1:$L$97</definedName>
    <definedName name="Z_95B9DE93_5E26_48CF_B2F2_F6D6799F59EE_.wvu.PrintArea" localSheetId="1" hidden="1">SafetyAudit!$A$1:$I$84</definedName>
    <definedName name="Z_95B9DE93_5E26_48CF_B2F2_F6D6799F59EE_.wvu.PrintArea" localSheetId="0" hidden="1">SafetyCalendar!$A$1:$J$67</definedName>
  </definedNames>
  <calcPr calcId="162913" iterate="1"/>
  <customWorkbookViews>
    <customWorkbookView name="Christian P. Baclayo - Personal View" guid="{95B9DE93-5E26-48CF-B2F2-F6D6799F59EE}" mergeInterval="0" personalView="1" maximized="1" xWindow="-1928" yWindow="-262" windowWidth="1936" windowHeight="1048"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2" i="4"/>
  <c r="E3" i="4"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2" i="4"/>
  <c r="G3" i="9" l="1"/>
  <c r="B14" i="9" l="1"/>
  <c r="G19" i="9" l="1"/>
  <c r="G18" i="9"/>
  <c r="G17" i="9"/>
  <c r="G15" i="9"/>
  <c r="G8" i="9" l="1"/>
  <c r="G6" i="9"/>
  <c r="H18" i="9" l="1"/>
  <c r="H19" i="9"/>
  <c r="AF3" i="9"/>
  <c r="AE3" i="9"/>
  <c r="AD3" i="9"/>
  <c r="AC3" i="9"/>
  <c r="AB3" i="9"/>
  <c r="AA3" i="9"/>
  <c r="Z3" i="9"/>
  <c r="Y3" i="9"/>
  <c r="X3" i="9"/>
  <c r="W3" i="9"/>
  <c r="V3" i="9"/>
  <c r="U3" i="9"/>
  <c r="H3" i="9"/>
  <c r="G2" i="9"/>
  <c r="H2" i="9"/>
  <c r="G4" i="9"/>
  <c r="H4" i="9"/>
  <c r="G5" i="9"/>
  <c r="H5" i="9"/>
  <c r="H6" i="9"/>
  <c r="G7" i="9"/>
  <c r="H7" i="9"/>
  <c r="H8" i="9"/>
  <c r="G9" i="9"/>
  <c r="H9" i="9"/>
  <c r="G10" i="9"/>
  <c r="H10" i="9"/>
  <c r="G11" i="9"/>
  <c r="H11" i="9"/>
  <c r="G12" i="9"/>
  <c r="H12" i="9"/>
  <c r="G13" i="9"/>
  <c r="H13" i="9"/>
  <c r="G14" i="9"/>
  <c r="H14" i="9"/>
  <c r="H15" i="9"/>
  <c r="G16" i="9"/>
  <c r="H16" i="9"/>
  <c r="H17" i="9"/>
  <c r="B17" i="9"/>
  <c r="B16" i="9"/>
  <c r="B11" i="9"/>
  <c r="B12" i="9" s="1"/>
  <c r="B8" i="9"/>
  <c r="B9" i="9" s="1"/>
  <c r="B6" i="9"/>
  <c r="B3" i="9"/>
  <c r="G111" i="8" l="1"/>
  <c r="H111" i="8"/>
  <c r="I111" i="8"/>
  <c r="F111" i="8"/>
  <c r="I112" i="8" l="1"/>
  <c r="I114" i="8" s="1"/>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5" i="8"/>
  <c r="N6" i="8"/>
  <c r="N7"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R3" i="4" l="1"/>
  <c r="R4" i="4"/>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6" i="4"/>
  <c r="R47" i="4"/>
  <c r="R48" i="4"/>
  <c r="R49" i="4"/>
  <c r="R50" i="4"/>
  <c r="R51" i="4"/>
  <c r="R52" i="4"/>
  <c r="R53" i="4"/>
  <c r="R54" i="4"/>
  <c r="R55" i="4"/>
  <c r="R56" i="4"/>
  <c r="R57" i="4"/>
  <c r="R58" i="4"/>
  <c r="R59" i="4"/>
  <c r="R60" i="4"/>
  <c r="R61" i="4"/>
  <c r="R62" i="4"/>
  <c r="R63" i="4"/>
  <c r="R64" i="4"/>
  <c r="R65" i="4"/>
  <c r="R66" i="4"/>
  <c r="R67" i="4"/>
  <c r="R68" i="4"/>
  <c r="R69" i="4"/>
  <c r="R70" i="4"/>
  <c r="R71" i="4"/>
  <c r="R72" i="4"/>
  <c r="R74" i="4"/>
  <c r="R75" i="4"/>
  <c r="R76" i="4"/>
  <c r="R77" i="4"/>
  <c r="R78" i="4"/>
  <c r="R79" i="4"/>
  <c r="R80" i="4"/>
  <c r="R81" i="4"/>
  <c r="R82" i="4"/>
  <c r="R83" i="4"/>
  <c r="R84" i="4"/>
  <c r="R2" i="4"/>
  <c r="F13" i="5" l="1"/>
  <c r="E13" i="5"/>
  <c r="D13" i="5"/>
  <c r="C13" i="5"/>
  <c r="F12" i="5"/>
  <c r="E12" i="5"/>
  <c r="D12" i="5"/>
  <c r="C12" i="5"/>
  <c r="F11" i="5"/>
  <c r="E11" i="5"/>
  <c r="D11" i="5"/>
  <c r="C11" i="5"/>
  <c r="G12" i="5" l="1"/>
  <c r="Q76" i="4"/>
  <c r="Q56" i="4"/>
  <c r="Q32" i="4"/>
  <c r="G6" i="5" l="1"/>
  <c r="G3" i="5"/>
  <c r="F10" i="5" l="1"/>
  <c r="F9" i="5"/>
  <c r="F8" i="5"/>
  <c r="E10" i="5"/>
  <c r="E9" i="5"/>
  <c r="E8" i="5"/>
  <c r="D10" i="5"/>
  <c r="D9" i="5"/>
  <c r="D8" i="5"/>
  <c r="C10" i="5"/>
  <c r="C9" i="5"/>
  <c r="C8" i="5"/>
  <c r="G9" i="5" l="1"/>
  <c r="Q77" i="4"/>
  <c r="Q78" i="4"/>
  <c r="Q79" i="4"/>
  <c r="Q80" i="4"/>
  <c r="Q81" i="4"/>
  <c r="Q82" i="4"/>
  <c r="Q83" i="4"/>
  <c r="Q84" i="4"/>
  <c r="Q74" i="4"/>
  <c r="Q73" i="4"/>
  <c r="Q64" i="4"/>
  <c r="Q65" i="4"/>
  <c r="Q66" i="4"/>
  <c r="Q67" i="4"/>
  <c r="Q68" i="4"/>
  <c r="Q69" i="4"/>
  <c r="Q70" i="4"/>
  <c r="Q71" i="4"/>
  <c r="Q72" i="4"/>
  <c r="Q57" i="4"/>
  <c r="Q58" i="4"/>
  <c r="Q59" i="4"/>
  <c r="Q60" i="4"/>
  <c r="Q61" i="4"/>
  <c r="Q62" i="4"/>
  <c r="Q63" i="4"/>
  <c r="Q4" i="4"/>
  <c r="Q53" i="4"/>
  <c r="Q54" i="4"/>
  <c r="Q55" i="4"/>
  <c r="Q46" i="4"/>
  <c r="Q47" i="4"/>
  <c r="Q48" i="4"/>
  <c r="Q49" i="4"/>
  <c r="Q50" i="4"/>
  <c r="Q51" i="4"/>
  <c r="Q52" i="4"/>
  <c r="Q44" i="4"/>
  <c r="Q45" i="4"/>
  <c r="Q23" i="4"/>
  <c r="Q24" i="4"/>
  <c r="Q25" i="4"/>
  <c r="Q26" i="4"/>
  <c r="Q27" i="4"/>
  <c r="Q28" i="4"/>
  <c r="Q29" i="4"/>
  <c r="Q30" i="4"/>
  <c r="Q31" i="4"/>
  <c r="Q33" i="4"/>
  <c r="Q34" i="4"/>
  <c r="Q35" i="4"/>
  <c r="Q36" i="4"/>
  <c r="Q37" i="4"/>
  <c r="Q38" i="4"/>
  <c r="Q39" i="4"/>
  <c r="Q40" i="4"/>
  <c r="Q41" i="4"/>
  <c r="Q42" i="4"/>
  <c r="Q43" i="4"/>
  <c r="Q5" i="4"/>
  <c r="Q6" i="4"/>
  <c r="Q7" i="4"/>
  <c r="Q8" i="4"/>
  <c r="Q9" i="4"/>
  <c r="Q10" i="4"/>
  <c r="Q11" i="4"/>
  <c r="Q12" i="4"/>
  <c r="Q13" i="4"/>
  <c r="Q14" i="4"/>
  <c r="Q15" i="4"/>
  <c r="Q16" i="4"/>
  <c r="Q17" i="4"/>
  <c r="Q18" i="4"/>
  <c r="Q19" i="4"/>
  <c r="Q20" i="4"/>
  <c r="Q21" i="4"/>
  <c r="Q22" i="4"/>
  <c r="Q2" i="4"/>
  <c r="Q3" i="4"/>
  <c r="AC4" i="4"/>
  <c r="AA4" i="4"/>
  <c r="D2" i="4"/>
  <c r="AC3" i="4" l="1"/>
  <c r="AC5" i="4"/>
  <c r="AC6" i="4"/>
  <c r="AC7" i="4"/>
  <c r="AC8" i="4"/>
  <c r="AC9" i="4"/>
  <c r="AC10" i="4"/>
  <c r="AC11" i="4"/>
  <c r="AC12" i="4"/>
  <c r="AC13" i="4"/>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2" i="4"/>
  <c r="AB3" i="4"/>
  <c r="AB4" i="4"/>
  <c r="AB5" i="4"/>
  <c r="AB6" i="4"/>
  <c r="AB7" i="4"/>
  <c r="AB8" i="4"/>
  <c r="AB9" i="4"/>
  <c r="AB10" i="4"/>
  <c r="AB11" i="4"/>
  <c r="AB12" i="4"/>
  <c r="AB13" i="4"/>
  <c r="AB14" i="4"/>
  <c r="AB15" i="4"/>
  <c r="AB16" i="4"/>
  <c r="AB17" i="4"/>
  <c r="AB18" i="4"/>
  <c r="AB19" i="4"/>
  <c r="AB20" i="4"/>
  <c r="AB21" i="4"/>
  <c r="AB22" i="4"/>
  <c r="AB23" i="4"/>
  <c r="AB24" i="4"/>
  <c r="AB25"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2" i="4"/>
  <c r="AA3" i="4"/>
  <c r="AA5" i="4"/>
  <c r="AA6" i="4"/>
  <c r="AA7" i="4"/>
  <c r="AA8" i="4"/>
  <c r="AA9" i="4"/>
  <c r="AA10" i="4"/>
  <c r="AA11" i="4"/>
  <c r="AA12" i="4"/>
  <c r="AA13" i="4"/>
  <c r="AA14" i="4"/>
  <c r="AA15" i="4"/>
  <c r="AA16" i="4"/>
  <c r="AA17" i="4"/>
  <c r="AA18" i="4"/>
  <c r="AA19" i="4"/>
  <c r="AA20" i="4"/>
  <c r="AA21" i="4"/>
  <c r="AA22" i="4"/>
  <c r="AA23" i="4"/>
  <c r="AA24" i="4"/>
  <c r="AA25" i="4"/>
  <c r="AA26" i="4"/>
  <c r="AA27" i="4"/>
  <c r="AA28" i="4"/>
  <c r="AA29" i="4"/>
  <c r="AA30" i="4"/>
  <c r="AA31" i="4"/>
  <c r="AA32" i="4"/>
  <c r="AA33" i="4"/>
  <c r="AA34" i="4"/>
  <c r="AA35" i="4"/>
  <c r="AA36" i="4"/>
  <c r="AA37" i="4"/>
  <c r="AA38" i="4"/>
  <c r="AA39" i="4"/>
  <c r="AA40" i="4"/>
  <c r="AA41" i="4"/>
  <c r="AA42" i="4"/>
  <c r="AA43" i="4"/>
  <c r="AA44" i="4"/>
  <c r="AA45" i="4"/>
  <c r="AA46" i="4"/>
  <c r="AA47" i="4"/>
  <c r="AA48" i="4"/>
  <c r="AA49" i="4"/>
  <c r="AA50" i="4"/>
  <c r="AA51" i="4"/>
  <c r="AA52" i="4"/>
  <c r="AA53" i="4"/>
  <c r="AA54" i="4"/>
  <c r="AA55" i="4"/>
  <c r="AA56" i="4"/>
  <c r="AA57" i="4"/>
  <c r="AA58" i="4"/>
  <c r="AA59" i="4"/>
  <c r="AA60" i="4"/>
  <c r="AA61" i="4"/>
  <c r="AA62" i="4"/>
  <c r="AA63" i="4"/>
  <c r="AA64" i="4"/>
  <c r="AA65" i="4"/>
  <c r="AA66" i="4"/>
  <c r="AA67" i="4"/>
  <c r="AA68" i="4"/>
  <c r="AA69" i="4"/>
  <c r="AA70" i="4"/>
  <c r="AA71" i="4"/>
  <c r="AA72" i="4"/>
  <c r="AA73" i="4"/>
  <c r="AA74" i="4"/>
  <c r="AA75" i="4"/>
  <c r="AA76" i="4"/>
  <c r="AA77" i="4"/>
  <c r="AA78" i="4"/>
  <c r="AA79" i="4"/>
  <c r="AA80" i="4"/>
  <c r="AA81" i="4"/>
  <c r="AA82" i="4"/>
  <c r="AA83" i="4"/>
  <c r="AA84" i="4"/>
  <c r="AA2" i="4"/>
  <c r="Q3" i="8" l="1"/>
  <c r="T2" i="8"/>
  <c r="S2" i="8"/>
  <c r="R2" i="8"/>
  <c r="Q2" i="8"/>
  <c r="G112" i="8"/>
  <c r="G114" i="8" s="1"/>
  <c r="H112" i="8"/>
  <c r="H114" i="8" s="1"/>
  <c r="F112" i="8"/>
  <c r="F114" i="8" s="1"/>
  <c r="N3" i="8"/>
  <c r="N4" i="8"/>
  <c r="N2" i="8"/>
  <c r="D111" i="8"/>
  <c r="I113" i="8" s="1"/>
  <c r="N111" i="8" l="1"/>
  <c r="K111" i="8" s="1"/>
  <c r="G113" i="8" s="1"/>
  <c r="F113" i="8"/>
  <c r="L97" i="3"/>
  <c r="A88" i="3" l="1"/>
  <c r="A89" i="3"/>
  <c r="A90" i="3"/>
  <c r="A91" i="3"/>
  <c r="A92" i="3"/>
  <c r="A93" i="3"/>
  <c r="A94" i="3"/>
  <c r="A95" i="3"/>
  <c r="A96" i="3"/>
  <c r="A97"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8" i="3"/>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O64" i="4" l="1"/>
  <c r="O65" i="4"/>
  <c r="O66" i="4"/>
  <c r="O67" i="4"/>
  <c r="O68" i="4"/>
  <c r="O69" i="4"/>
  <c r="O70" i="4"/>
  <c r="O71" i="4"/>
  <c r="O72" i="4"/>
  <c r="O73" i="4"/>
  <c r="O74" i="4"/>
  <c r="O75" i="4"/>
  <c r="O76" i="4"/>
  <c r="O77" i="4"/>
  <c r="O78" i="4"/>
  <c r="O79" i="4"/>
  <c r="O80" i="4"/>
  <c r="O81" i="4"/>
  <c r="O82" i="4"/>
  <c r="O83" i="4"/>
  <c r="O84" i="4"/>
  <c r="O44" i="4"/>
  <c r="O45" i="4"/>
  <c r="O46" i="4"/>
  <c r="O47" i="4"/>
  <c r="O48" i="4"/>
  <c r="O49" i="4"/>
  <c r="O50" i="4"/>
  <c r="O51" i="4"/>
  <c r="O52" i="4"/>
  <c r="O53" i="4"/>
  <c r="O54" i="4"/>
  <c r="O55" i="4"/>
  <c r="O56" i="4"/>
  <c r="O57" i="4"/>
  <c r="O58" i="4"/>
  <c r="O59" i="4"/>
  <c r="O60" i="4"/>
  <c r="O61" i="4"/>
  <c r="O62" i="4"/>
  <c r="O63" i="4"/>
  <c r="O23" i="4"/>
  <c r="O24" i="4"/>
  <c r="O25" i="4"/>
  <c r="O26" i="4"/>
  <c r="O27" i="4"/>
  <c r="O28" i="4"/>
  <c r="O29" i="4"/>
  <c r="O30" i="4"/>
  <c r="O31" i="4"/>
  <c r="O32" i="4"/>
  <c r="O33" i="4"/>
  <c r="O34" i="4"/>
  <c r="O35" i="4"/>
  <c r="O36" i="4"/>
  <c r="O37" i="4"/>
  <c r="O38" i="4"/>
  <c r="O39" i="4"/>
  <c r="O40" i="4"/>
  <c r="O41" i="4"/>
  <c r="O42" i="4"/>
  <c r="O43" i="4"/>
  <c r="O2" i="4"/>
  <c r="O3" i="4"/>
  <c r="O4" i="4"/>
  <c r="O5" i="4"/>
  <c r="O6" i="4"/>
  <c r="O7" i="4"/>
  <c r="O8" i="4"/>
  <c r="O9" i="4"/>
  <c r="O10" i="4"/>
  <c r="O11" i="4"/>
  <c r="O12" i="4"/>
  <c r="O13" i="4"/>
  <c r="O14" i="4"/>
  <c r="O15" i="4"/>
  <c r="O16" i="4"/>
  <c r="O17" i="4"/>
  <c r="O18" i="4"/>
  <c r="O19" i="4"/>
  <c r="O20" i="4"/>
  <c r="O21" i="4"/>
  <c r="O22" i="4"/>
  <c r="P23" i="4" l="1"/>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3" i="4"/>
  <c r="P4" i="4"/>
  <c r="P5" i="4"/>
  <c r="P6" i="4"/>
  <c r="P7" i="4"/>
  <c r="P8" i="4"/>
  <c r="P9" i="4"/>
  <c r="P10" i="4"/>
  <c r="P11" i="4"/>
  <c r="P12" i="4"/>
  <c r="P13" i="4"/>
  <c r="P14" i="4"/>
  <c r="P15" i="4"/>
  <c r="P16" i="4"/>
  <c r="P17" i="4"/>
  <c r="P18" i="4"/>
  <c r="P19" i="4"/>
  <c r="P20" i="4"/>
  <c r="P21" i="4"/>
  <c r="P22" i="4"/>
  <c r="P2" i="4"/>
  <c r="D64" i="4" l="1"/>
  <c r="D65" i="4"/>
  <c r="D66" i="4"/>
  <c r="D67" i="4"/>
  <c r="D68" i="4"/>
  <c r="D69" i="4"/>
  <c r="D70" i="4"/>
  <c r="D71" i="4"/>
  <c r="D72" i="4"/>
  <c r="D73" i="4"/>
  <c r="D74" i="4"/>
  <c r="D75" i="4"/>
  <c r="D76" i="4"/>
  <c r="D77" i="4"/>
  <c r="D78" i="4"/>
  <c r="D79" i="4"/>
  <c r="D80" i="4"/>
  <c r="D81" i="4"/>
  <c r="D82" i="4"/>
  <c r="D83" i="4"/>
  <c r="D84" i="4"/>
  <c r="D44" i="4"/>
  <c r="D45" i="4"/>
  <c r="D46" i="4"/>
  <c r="D47" i="4"/>
  <c r="D48" i="4"/>
  <c r="D49" i="4"/>
  <c r="D50" i="4"/>
  <c r="D51" i="4"/>
  <c r="D52" i="4"/>
  <c r="D53" i="4"/>
  <c r="D54" i="4"/>
  <c r="D55" i="4"/>
  <c r="D56" i="4"/>
  <c r="D57" i="4"/>
  <c r="D58" i="4"/>
  <c r="D59" i="4"/>
  <c r="D60" i="4"/>
  <c r="D61" i="4"/>
  <c r="D62" i="4"/>
  <c r="D63" i="4"/>
  <c r="D23" i="4"/>
  <c r="D24" i="4"/>
  <c r="D25" i="4"/>
  <c r="D26" i="4"/>
  <c r="D27" i="4"/>
  <c r="D28" i="4"/>
  <c r="D29" i="4"/>
  <c r="D30" i="4"/>
  <c r="D31" i="4"/>
  <c r="D32" i="4"/>
  <c r="D33" i="4"/>
  <c r="D34" i="4"/>
  <c r="D35" i="4"/>
  <c r="D36" i="4"/>
  <c r="D37" i="4"/>
  <c r="D38" i="4"/>
  <c r="D39" i="4"/>
  <c r="D40" i="4"/>
  <c r="D41" i="4"/>
  <c r="D42" i="4"/>
  <c r="D43" i="4"/>
  <c r="D3" i="4"/>
  <c r="D4" i="4"/>
  <c r="D5" i="4"/>
  <c r="D6" i="4"/>
  <c r="D7" i="4"/>
  <c r="D8" i="4"/>
  <c r="D9" i="4"/>
  <c r="D10" i="4"/>
  <c r="D11" i="4"/>
  <c r="D12" i="4"/>
  <c r="D13" i="4"/>
  <c r="D14" i="4"/>
  <c r="D15" i="4"/>
  <c r="D16" i="4"/>
  <c r="D17" i="4"/>
  <c r="D18" i="4"/>
  <c r="D19" i="4"/>
  <c r="D20" i="4"/>
  <c r="D21" i="4"/>
  <c r="D22" i="4"/>
  <c r="I3" i="2" l="1"/>
  <c r="I4" i="2"/>
  <c r="I5" i="2"/>
  <c r="I6" i="2"/>
  <c r="I7" i="2"/>
  <c r="I8" i="2"/>
  <c r="I9" i="2"/>
  <c r="I10" i="2"/>
  <c r="I11"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2" i="2"/>
  <c r="A14" i="2" l="1"/>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3" i="2"/>
  <c r="A4" i="2" s="1"/>
  <c r="A5" i="2" s="1"/>
  <c r="A6" i="2" s="1"/>
  <c r="A7" i="2" s="1"/>
  <c r="A8" i="2" s="1"/>
  <c r="A9" i="2" s="1"/>
  <c r="A10" i="2" s="1"/>
  <c r="A11" i="2" s="1"/>
  <c r="A12" i="2" s="1"/>
  <c r="A13" i="2" s="1"/>
</calcChain>
</file>

<file path=xl/comments1.xml><?xml version="1.0" encoding="utf-8"?>
<comments xmlns="http://schemas.openxmlformats.org/spreadsheetml/2006/main">
  <authors>
    <author>Christian P. Baclayo</author>
  </authors>
  <commentList>
    <comment ref="F113" authorId="0" shapeId="0">
      <text>
        <r>
          <rPr>
            <b/>
            <sz val="9"/>
            <color indexed="81"/>
            <rFont val="Tahoma"/>
            <family val="2"/>
          </rPr>
          <t>Feb</t>
        </r>
      </text>
    </comment>
    <comment ref="G113" authorId="0" shapeId="0">
      <text>
        <r>
          <rPr>
            <b/>
            <sz val="9"/>
            <color indexed="81"/>
            <rFont val="Tahoma"/>
            <family val="2"/>
          </rPr>
          <t>March</t>
        </r>
      </text>
    </comment>
  </commentList>
</comments>
</file>

<file path=xl/sharedStrings.xml><?xml version="1.0" encoding="utf-8"?>
<sst xmlns="http://schemas.openxmlformats.org/spreadsheetml/2006/main" count="1629" uniqueCount="603">
  <si>
    <t>Group</t>
  </si>
  <si>
    <t>No.</t>
  </si>
  <si>
    <t>Audit Type</t>
  </si>
  <si>
    <t>Audit Title</t>
  </si>
  <si>
    <t>Audit Date</t>
  </si>
  <si>
    <t>No. Observation</t>
  </si>
  <si>
    <t>Rectified items</t>
  </si>
  <si>
    <t>% Completion</t>
  </si>
  <si>
    <t xml:space="preserve">MS Reactor Sampling - SCC </t>
  </si>
  <si>
    <t>111ML01 steel balls charging (auditor EI)</t>
  </si>
  <si>
    <t>VSLC Cross Audit (only MOM)</t>
  </si>
  <si>
    <t>106ML02 operation</t>
  </si>
  <si>
    <t>111BC05 flushing and clean-up</t>
  </si>
  <si>
    <t>Name</t>
  </si>
  <si>
    <t>Jan</t>
  </si>
  <si>
    <t>Feb</t>
  </si>
  <si>
    <t>Mar</t>
  </si>
  <si>
    <t>Apr</t>
  </si>
  <si>
    <t>May</t>
  </si>
  <si>
    <t>Jun</t>
  </si>
  <si>
    <t>Jul</t>
  </si>
  <si>
    <t>Aug</t>
  </si>
  <si>
    <t>Sep</t>
  </si>
  <si>
    <t>Oct</t>
  </si>
  <si>
    <t>Nov</t>
  </si>
  <si>
    <t>Dec</t>
  </si>
  <si>
    <t>ESTOLANO, Ronnie</t>
  </si>
  <si>
    <t>BOSQUE, Jonry</t>
  </si>
  <si>
    <t>ORCEJOLA, Karen Mae</t>
  </si>
  <si>
    <t>PLATERO, Paul</t>
  </si>
  <si>
    <t>BAYETA, Louie</t>
  </si>
  <si>
    <t>CINCO, Richard</t>
  </si>
  <si>
    <t>BILAD, Marvin A.</t>
  </si>
  <si>
    <t>NASAYAO, Flordecante</t>
  </si>
  <si>
    <t>HILVANO, Christian Joul P.</t>
  </si>
  <si>
    <t>NUÑEZ, Reus</t>
  </si>
  <si>
    <t>JABINAL, Jewel Mae</t>
  </si>
  <si>
    <t>ELCULLADA, Junmor S.</t>
  </si>
  <si>
    <t>CAGATA, Renan A.</t>
  </si>
  <si>
    <t>CAGAMPANG, Josan C.</t>
  </si>
  <si>
    <t>JAMERO, Donald</t>
  </si>
  <si>
    <t>BANZON Jr., Nicanor R.</t>
  </si>
  <si>
    <t>ESTILLORE, Marbert</t>
  </si>
  <si>
    <t>KHO, Jansen D.</t>
  </si>
  <si>
    <t>CARACOL, Marwin</t>
  </si>
  <si>
    <t>CONSIGNA, Joel L.</t>
  </si>
  <si>
    <t>PEROL, Remart</t>
  </si>
  <si>
    <t>NECESARIO, Christie P.</t>
  </si>
  <si>
    <t>COMPASIVO, Jomar</t>
  </si>
  <si>
    <t>ROBLES, Felmir</t>
  </si>
  <si>
    <t>BAYANG, Algemero</t>
  </si>
  <si>
    <t>LUMAYNO, Junrey</t>
  </si>
  <si>
    <t>BADIANG, Luciano Jr.</t>
  </si>
  <si>
    <t>GALVEZ, Jaypoy</t>
  </si>
  <si>
    <t>GIDA, Lenie Mae R.</t>
  </si>
  <si>
    <t>WONG, Harold G.</t>
  </si>
  <si>
    <t>BALACUIT, Jonesa Queen</t>
  </si>
  <si>
    <t>ERCILLO, Marvin J.</t>
  </si>
  <si>
    <t>PRESILDA, Winston</t>
  </si>
  <si>
    <t>NASAYAO, Jesus</t>
  </si>
  <si>
    <t>BALACUIT,  Prince Joewen</t>
  </si>
  <si>
    <t>DELA PENA, Rapie S.</t>
  </si>
  <si>
    <t>BUYO, Rico Jay</t>
  </si>
  <si>
    <t>RUDIS, June Mar</t>
  </si>
  <si>
    <t>GASAPO, Alladin</t>
  </si>
  <si>
    <t>AMALIAS, Carlo</t>
  </si>
  <si>
    <t>DAGASDAS, Gregorio Jr.</t>
  </si>
  <si>
    <t>SIMBAJON, Sherman Nove B.</t>
  </si>
  <si>
    <t>MORDENO, Chelsea</t>
  </si>
  <si>
    <t>CORMINAL, Roland</t>
  </si>
  <si>
    <t>MAGLINTE, Jerryll</t>
  </si>
  <si>
    <t>MANILI, Jessie</t>
  </si>
  <si>
    <t>CATONG, Abel</t>
  </si>
  <si>
    <t xml:space="preserve">SAMONTINA, Michael Jhun </t>
  </si>
  <si>
    <t xml:space="preserve">DEGOLTO, Joel </t>
  </si>
  <si>
    <t>TAYOR,  Rocar John Paul P.</t>
  </si>
  <si>
    <t>CAMINO, Jyzl E.</t>
  </si>
  <si>
    <t>COCAMAS, Louie R</t>
  </si>
  <si>
    <t>NECESARIO, Nhergil</t>
  </si>
  <si>
    <t>OCON, Jonathan P.</t>
  </si>
  <si>
    <t>DOCOR, Romeo</t>
  </si>
  <si>
    <t>VALLEJOS, Ronelo</t>
  </si>
  <si>
    <t xml:space="preserve">GALENDEZ, Reyden </t>
  </si>
  <si>
    <t>CERIO, Jenny Mae A.</t>
  </si>
  <si>
    <t>LAPINING, Sanny Boy S.</t>
  </si>
  <si>
    <t>SANCHEZ, Pablo</t>
  </si>
  <si>
    <t>GALOS, Marlon</t>
  </si>
  <si>
    <t>ELLO, Janine</t>
  </si>
  <si>
    <t>URBIZTONDO, Grace</t>
  </si>
  <si>
    <t>LAUREJAS, Eduardo Jr. A.</t>
  </si>
  <si>
    <t>ROSILLO, King Mark</t>
  </si>
  <si>
    <t>PADILLA, Chris Anthony</t>
  </si>
  <si>
    <t>SOLAR, Ricardo Jr.</t>
  </si>
  <si>
    <t>SALABE, Mando C.</t>
  </si>
  <si>
    <t>CALIMBO, Romel</t>
  </si>
  <si>
    <t>EUPEÑA. Joshua</t>
  </si>
  <si>
    <t>LAURON, Dini Daw M.</t>
  </si>
  <si>
    <t>ANIB, Karl Patrick S.</t>
  </si>
  <si>
    <t xml:space="preserve">SALON, Michael </t>
  </si>
  <si>
    <t>DELCORRO, Edgar S., Jr.</t>
  </si>
  <si>
    <t xml:space="preserve">SERAFIN, Fortunato L. Jr. </t>
  </si>
  <si>
    <t>ROZAL, DJ O.</t>
  </si>
  <si>
    <t>JORTA, Jowei C.</t>
  </si>
  <si>
    <t>NASAYAO, Dionesio</t>
  </si>
  <si>
    <t>GRAN, April Jane</t>
  </si>
  <si>
    <t>YAMIT, John Paul P.</t>
  </si>
  <si>
    <t>DECAP, Anthony</t>
  </si>
  <si>
    <t>PATINO, Hernan L.</t>
  </si>
  <si>
    <t>Year</t>
  </si>
  <si>
    <t>Month</t>
  </si>
  <si>
    <t>Safety Program</t>
  </si>
  <si>
    <t>Remarks</t>
  </si>
  <si>
    <t>January</t>
  </si>
  <si>
    <t>Topics</t>
  </si>
  <si>
    <t>Internal Safety Audit</t>
  </si>
  <si>
    <t>February</t>
  </si>
  <si>
    <t>4RKY Presentation</t>
  </si>
  <si>
    <t>Area</t>
  </si>
  <si>
    <t>H2S</t>
  </si>
  <si>
    <t>209VE03 cold leg declogging</t>
  </si>
  <si>
    <t>MS</t>
  </si>
  <si>
    <t>Internal Safety Audit for Contractors</t>
  </si>
  <si>
    <t>All</t>
  </si>
  <si>
    <t>Safety Cross Audit with VSLC</t>
  </si>
  <si>
    <t>LS</t>
  </si>
  <si>
    <t>Date Conducted</t>
  </si>
  <si>
    <t>Status</t>
  </si>
  <si>
    <t>FNTRL</t>
  </si>
  <si>
    <t>Completed</t>
  </si>
  <si>
    <t>March</t>
  </si>
  <si>
    <t>April</t>
  </si>
  <si>
    <t>SD Re-education</t>
  </si>
  <si>
    <t>June</t>
  </si>
  <si>
    <t>Safety Cross Audit for Contractor Activities</t>
  </si>
  <si>
    <t>4RKY Presentation (Competition)</t>
  </si>
  <si>
    <t>HPAL Winner</t>
  </si>
  <si>
    <t>MS Winner</t>
  </si>
  <si>
    <t>Flocculant Charging</t>
  </si>
  <si>
    <t>108 launder sampling</t>
  </si>
  <si>
    <t>106 Reactor sampling</t>
  </si>
  <si>
    <t>H2/Sulfur /H2S Area/MS/DeZn</t>
  </si>
  <si>
    <t>HPAL Activity</t>
  </si>
  <si>
    <t>Schedule for small group safety discussion</t>
  </si>
  <si>
    <t>July</t>
  </si>
  <si>
    <t>Safety Cross Audit for THPAL Activities</t>
  </si>
  <si>
    <t>Elimination of traffic accidents</t>
  </si>
  <si>
    <t>RE-sducation sched</t>
  </si>
  <si>
    <t>August</t>
  </si>
  <si>
    <t>September</t>
  </si>
  <si>
    <t>111PU02 suction strainer clean-up</t>
  </si>
  <si>
    <t>H2/Sulfur /H2S Area</t>
  </si>
  <si>
    <t>October</t>
  </si>
  <si>
    <t>November</t>
  </si>
  <si>
    <t>December</t>
  </si>
  <si>
    <t>cancelled</t>
  </si>
  <si>
    <t>Polishing filter Cloth washing</t>
  </si>
  <si>
    <t>Scandium</t>
  </si>
  <si>
    <t>Admin</t>
  </si>
  <si>
    <t>THPAL</t>
  </si>
  <si>
    <t>VSLC</t>
  </si>
  <si>
    <t>109TK02 vent line declogging</t>
  </si>
  <si>
    <t>HPAL</t>
  </si>
  <si>
    <t>Host (HPAL)</t>
  </si>
  <si>
    <t>Host (MS)</t>
  </si>
  <si>
    <t>Internal Safety Audit (THPAL/CTS)</t>
  </si>
  <si>
    <t>Plant wide 4RKY Presentation (Competition)</t>
  </si>
  <si>
    <t>Auditor: SC</t>
  </si>
  <si>
    <t>Auditor: E&amp;I</t>
  </si>
  <si>
    <t>Auditee: Chromite</t>
  </si>
  <si>
    <t>TBD</t>
  </si>
  <si>
    <t>111BC02/04 Catcher clean-up</t>
  </si>
  <si>
    <t>111ML01 steelballs charging</t>
  </si>
  <si>
    <t>WWA Transfer and Management</t>
  </si>
  <si>
    <t>Date</t>
  </si>
  <si>
    <t>CHAPTER</t>
  </si>
  <si>
    <t>SECTION</t>
  </si>
  <si>
    <t>SUBTOPIC</t>
  </si>
  <si>
    <t>Assigned</t>
  </si>
  <si>
    <t>2nd</t>
  </si>
  <si>
    <t>3rd</t>
  </si>
  <si>
    <t>1st</t>
  </si>
  <si>
    <t>1 General Plant Rules</t>
  </si>
  <si>
    <t xml:space="preserve">1 General Rules </t>
  </si>
  <si>
    <t>1. 2 Behaviour</t>
  </si>
  <si>
    <t>1.3 Canteen</t>
  </si>
  <si>
    <t>1.7 Information Control</t>
  </si>
  <si>
    <t>4 Housekeeping</t>
  </si>
  <si>
    <t>1. 4 General Safety Management</t>
  </si>
  <si>
    <t>2 Basic Safety Rule</t>
  </si>
  <si>
    <t>2 PPE Rules</t>
  </si>
  <si>
    <t>2.1 Special PPE (Inspection and Mangement)</t>
  </si>
  <si>
    <t>3 Work Permit</t>
  </si>
  <si>
    <t>4 Isolation Policy</t>
  </si>
  <si>
    <t>5 Lock Out/Tag Out Program</t>
  </si>
  <si>
    <t>6 Hot work (Welding, oxy-acetylene cutting, chamfering, etc&gt;)</t>
  </si>
  <si>
    <t>8.2 Coordination</t>
  </si>
  <si>
    <t>7 Basic Rules for Tools</t>
  </si>
  <si>
    <t>8 Basic Electical Rules</t>
  </si>
  <si>
    <t>9 Basic Mechanical Rule</t>
  </si>
  <si>
    <t>9.1 General Safety Pre</t>
  </si>
  <si>
    <t>10 SAFETY SIGNAGE AND BARRICADES</t>
  </si>
  <si>
    <t>11 HIGH POWER TOOLS/RISK OF HIGH POWER</t>
  </si>
  <si>
    <t>12 MANAGEMENT AT CHANGING POINT</t>
  </si>
  <si>
    <t>3 RULES FOR SPECIAL WORK AND TOOLS/EQUIPMENT</t>
  </si>
  <si>
    <t>1 PALLET UTILITZATION AND MANAGEMEN</t>
  </si>
  <si>
    <t>2 WORKING AT HEIGHTS</t>
  </si>
  <si>
    <t>2.1 On Falling Objects Protection</t>
  </si>
  <si>
    <t>2.2 On Power and Elevating Work Platforms</t>
  </si>
  <si>
    <t>2.3 On Scaffolding</t>
  </si>
  <si>
    <t>2.4 On Stairs</t>
  </si>
  <si>
    <t>2.5 On Ladders</t>
  </si>
  <si>
    <t>2.6 On Personal Fall Arrest Systems</t>
  </si>
  <si>
    <t>2.6 Requirements for working at heights with life line</t>
  </si>
  <si>
    <t>2.7.B. Fall Restraint System</t>
  </si>
  <si>
    <t>2.7.C. Pendulum Falls</t>
  </si>
  <si>
    <t>2.7.D. Safety Belt Falls</t>
  </si>
  <si>
    <t>2.7.E. Examples of Improper Connections</t>
  </si>
  <si>
    <t>3 SCAFFOLDING ACTIVITY</t>
  </si>
  <si>
    <t>3.1 Erection- 3.2  Installation</t>
  </si>
  <si>
    <t>3.3 Using of scaffolding ladder</t>
  </si>
  <si>
    <t>4 WORKING NEAR VEHICLE OR EQUIPMENT</t>
  </si>
  <si>
    <t>4.1 CONDUCT WORK AREA ASSESSMEN</t>
  </si>
  <si>
    <t>4.1 PREPARATION and GUIDELINES</t>
  </si>
  <si>
    <t>4.2 Working on Areas with Wheel Loader operation</t>
  </si>
  <si>
    <t>4.3 Working on Areas with Forklift Operation</t>
  </si>
  <si>
    <t>4.4 Working on Flat Truck</t>
  </si>
  <si>
    <t>5.1 Hose Application</t>
  </si>
  <si>
    <t>Exam</t>
  </si>
  <si>
    <t>6.3.3 Lifting and lowering risk filter</t>
  </si>
  <si>
    <t>6.3.5 Carrying risk filter</t>
  </si>
  <si>
    <t>6.3.6 Pushing and pulling risk filter</t>
  </si>
  <si>
    <t>7: Lifting and Slinging</t>
  </si>
  <si>
    <t>8.1 Chemical Safety Rules</t>
  </si>
  <si>
    <t>8.2 Compressed Gas Safety Rules</t>
  </si>
  <si>
    <t>8 HANDLING CHEMICALS AND COMPRESSED GAS</t>
  </si>
  <si>
    <t>3.1 Sulfuric Acid (H2SO4 98%)</t>
  </si>
  <si>
    <t>3.4 Methanol</t>
  </si>
  <si>
    <t>3.3 Caustic Soda</t>
  </si>
  <si>
    <t>3.2 Slaked Lime</t>
  </si>
  <si>
    <t>3.5 Hydrogen Sulfide/H2S gas</t>
  </si>
  <si>
    <t>3.6 Carbon Monoxide (Co Gas)</t>
  </si>
  <si>
    <t>Employee_Name</t>
  </si>
  <si>
    <t>MALONG, Brenda Glez</t>
  </si>
  <si>
    <t>DAYOT, Ivy Mae</t>
  </si>
  <si>
    <t>ARBIOL, Dann Jason A.</t>
  </si>
  <si>
    <t>PAGATPAT, Jeffrey C.</t>
  </si>
  <si>
    <t>LOZADA, Agafe Joy C.</t>
  </si>
  <si>
    <t>COLE, Kizza Yrl Wyeth</t>
  </si>
  <si>
    <t>CAPIÑA, Jillian Marie B.</t>
  </si>
  <si>
    <t>YAMIT, Junnil N.</t>
  </si>
  <si>
    <t>CIMAFRANCA, Emmanuel C.</t>
  </si>
  <si>
    <t>OCHAGAVIA, Johndel A.</t>
  </si>
  <si>
    <t>DAPOSALA, Lenjo G.</t>
  </si>
  <si>
    <t>MORILLA, Alora Kristy B.</t>
  </si>
  <si>
    <t>PLATERO, Paul Windell</t>
  </si>
  <si>
    <t>COMPASIVO, Jomar G.</t>
  </si>
  <si>
    <t>LAUREJAS, Eduardo Jr. A</t>
  </si>
  <si>
    <t>MARATAS, Ernie Mark</t>
  </si>
  <si>
    <t>MAGLINTE, Jerryll A.</t>
  </si>
  <si>
    <t>BEROY, Jansenne Nicole</t>
  </si>
  <si>
    <t>SERAFIN, Fortunato L. Jr.</t>
  </si>
  <si>
    <t>SL/MDCS</t>
  </si>
  <si>
    <t>SDCS</t>
  </si>
  <si>
    <t>aaaa</t>
  </si>
  <si>
    <t>Count</t>
  </si>
  <si>
    <t>Safey Signage</t>
  </si>
  <si>
    <t>ZipGrade ID</t>
  </si>
  <si>
    <t>External ID</t>
  </si>
  <si>
    <t>First Name</t>
  </si>
  <si>
    <t>Last Name</t>
  </si>
  <si>
    <t>1</t>
  </si>
  <si>
    <t>Michael</t>
  </si>
  <si>
    <t>AQUINO</t>
  </si>
  <si>
    <t>Dann Jason</t>
  </si>
  <si>
    <t>ARBIOL</t>
  </si>
  <si>
    <t>Nicanor</t>
  </si>
  <si>
    <t>BANZON</t>
  </si>
  <si>
    <t>Louie</t>
  </si>
  <si>
    <t>BAYETA</t>
  </si>
  <si>
    <t>Marvin</t>
  </si>
  <si>
    <t>BILAD</t>
  </si>
  <si>
    <t>Jonry</t>
  </si>
  <si>
    <t>BOSQUE</t>
  </si>
  <si>
    <t>Josan</t>
  </si>
  <si>
    <t>CAGAMPANG</t>
  </si>
  <si>
    <t>Renan</t>
  </si>
  <si>
    <t>CAGATA</t>
  </si>
  <si>
    <t>Crestore Lex</t>
  </si>
  <si>
    <t>CAPIÑA</t>
  </si>
  <si>
    <t>Marwin</t>
  </si>
  <si>
    <t>CARACOL</t>
  </si>
  <si>
    <t>Richard</t>
  </si>
  <si>
    <t>CINCO</t>
  </si>
  <si>
    <t>Joel</t>
  </si>
  <si>
    <t>CONSIGNA</t>
  </si>
  <si>
    <t>Ivy</t>
  </si>
  <si>
    <t>DAYOT</t>
  </si>
  <si>
    <t>Junmor</t>
  </si>
  <si>
    <t>ELCULLADA</t>
  </si>
  <si>
    <t>Marbert</t>
  </si>
  <si>
    <t>ESTILLORE</t>
  </si>
  <si>
    <t>Ronnie</t>
  </si>
  <si>
    <t>ESTOLANO</t>
  </si>
  <si>
    <t>Christian Joul</t>
  </si>
  <si>
    <t>HILVANO</t>
  </si>
  <si>
    <t>Jewel</t>
  </si>
  <si>
    <t>JABINAL</t>
  </si>
  <si>
    <t>Donald</t>
  </si>
  <si>
    <t>JAMERO</t>
  </si>
  <si>
    <t>Jansen</t>
  </si>
  <si>
    <t>KHO</t>
  </si>
  <si>
    <t>Brenda</t>
  </si>
  <si>
    <t>MALONG</t>
  </si>
  <si>
    <t>Flordecante</t>
  </si>
  <si>
    <t>NASAYAO</t>
  </si>
  <si>
    <t>Reus</t>
  </si>
  <si>
    <t>NUÑEZ</t>
  </si>
  <si>
    <t>Karen</t>
  </si>
  <si>
    <t>ORCEJOLA</t>
  </si>
  <si>
    <t>Remart</t>
  </si>
  <si>
    <t>PEROL</t>
  </si>
  <si>
    <t>Paul</t>
  </si>
  <si>
    <t>PLATERO</t>
  </si>
  <si>
    <t>2</t>
  </si>
  <si>
    <t>Carlo</t>
  </si>
  <si>
    <t>Luciano</t>
  </si>
  <si>
    <t>BADIANG</t>
  </si>
  <si>
    <t>Jonesa</t>
  </si>
  <si>
    <t>BALACUIT</t>
  </si>
  <si>
    <t>Prince</t>
  </si>
  <si>
    <t>Algemero</t>
  </si>
  <si>
    <t>BAYANG</t>
  </si>
  <si>
    <t>Rico</t>
  </si>
  <si>
    <t>BUYO</t>
  </si>
  <si>
    <t>Kizza Yrl</t>
  </si>
  <si>
    <t>COLE</t>
  </si>
  <si>
    <t>Jomar</t>
  </si>
  <si>
    <t>COMPASIVO</t>
  </si>
  <si>
    <t>Gregorio</t>
  </si>
  <si>
    <t>DAGASDAS</t>
  </si>
  <si>
    <t>Jaybert</t>
  </si>
  <si>
    <t>DAVIS</t>
  </si>
  <si>
    <t>Rapie</t>
  </si>
  <si>
    <t>DELA</t>
  </si>
  <si>
    <t>ERCILLO</t>
  </si>
  <si>
    <t>Jaypoy</t>
  </si>
  <si>
    <t>GALVEZ</t>
  </si>
  <si>
    <t>Alladin</t>
  </si>
  <si>
    <t>GASAPO</t>
  </si>
  <si>
    <t>Lenie Mae</t>
  </si>
  <si>
    <t>GIDA</t>
  </si>
  <si>
    <t>Agafe Joy</t>
  </si>
  <si>
    <t>LOZADA</t>
  </si>
  <si>
    <t>Junrey</t>
  </si>
  <si>
    <t>LUMAYNO</t>
  </si>
  <si>
    <t>Jesus</t>
  </si>
  <si>
    <t>Christie</t>
  </si>
  <si>
    <t>NECESARIO</t>
  </si>
  <si>
    <t>Jeffrey</t>
  </si>
  <si>
    <t>PAGATPAT</t>
  </si>
  <si>
    <t>Winston</t>
  </si>
  <si>
    <t>PRESILDA</t>
  </si>
  <si>
    <t>Felmir</t>
  </si>
  <si>
    <t>ROBLES</t>
  </si>
  <si>
    <t>RUDIS</t>
  </si>
  <si>
    <t>Grace</t>
  </si>
  <si>
    <t>URBIZTONDO</t>
  </si>
  <si>
    <t>Harold</t>
  </si>
  <si>
    <t>WONG</t>
  </si>
  <si>
    <t>3</t>
  </si>
  <si>
    <t>Christian Cesar</t>
  </si>
  <si>
    <t>BACLAYO</t>
  </si>
  <si>
    <t>Jansenne</t>
  </si>
  <si>
    <t>BEROY</t>
  </si>
  <si>
    <t>Jyzl</t>
  </si>
  <si>
    <t>CAMINO</t>
  </si>
  <si>
    <t>Jillian Marie</t>
  </si>
  <si>
    <t>Abel</t>
  </si>
  <si>
    <t>CATONG</t>
  </si>
  <si>
    <t>Jenny Mae</t>
  </si>
  <si>
    <t>CERIO</t>
  </si>
  <si>
    <t>Emmanuel</t>
  </si>
  <si>
    <t>CIMAFRANCA</t>
  </si>
  <si>
    <t>COCAMAS</t>
  </si>
  <si>
    <t>Roland</t>
  </si>
  <si>
    <t>CORMINAL</t>
  </si>
  <si>
    <t>DEGOLTO</t>
  </si>
  <si>
    <t>Romeo</t>
  </si>
  <si>
    <t>DOCOR</t>
  </si>
  <si>
    <t>Reyden</t>
  </si>
  <si>
    <t>GALENDEZ</t>
  </si>
  <si>
    <t>Marlon</t>
  </si>
  <si>
    <t>GALOS</t>
  </si>
  <si>
    <t>Sanny Boy</t>
  </si>
  <si>
    <t>LAPINING</t>
  </si>
  <si>
    <t>Victor</t>
  </si>
  <si>
    <t>LUMAPAT</t>
  </si>
  <si>
    <t>Jerryll</t>
  </si>
  <si>
    <t>MAGLINTE</t>
  </si>
  <si>
    <t>Jessie</t>
  </si>
  <si>
    <t>MANILI</t>
  </si>
  <si>
    <t>Chelsea</t>
  </si>
  <si>
    <t>MORDENO</t>
  </si>
  <si>
    <t>Nhergil</t>
  </si>
  <si>
    <t>Jonathan</t>
  </si>
  <si>
    <t>OCON</t>
  </si>
  <si>
    <t>SAMONTINA</t>
  </si>
  <si>
    <t>Pablo</t>
  </si>
  <si>
    <t>SANCHEZ</t>
  </si>
  <si>
    <t>Sherman Nove</t>
  </si>
  <si>
    <t>SIMBAJON</t>
  </si>
  <si>
    <t>Rocar John Paul</t>
  </si>
  <si>
    <t>TAYOR</t>
  </si>
  <si>
    <t>Ronelo</t>
  </si>
  <si>
    <t>VALLEJOS</t>
  </si>
  <si>
    <t>Junnil</t>
  </si>
  <si>
    <t>YAMIT</t>
  </si>
  <si>
    <t>4</t>
  </si>
  <si>
    <t>Karl Patrick</t>
  </si>
  <si>
    <t>ANIB</t>
  </si>
  <si>
    <t>Romel</t>
  </si>
  <si>
    <t>CALIMBO</t>
  </si>
  <si>
    <t>Lenjo</t>
  </si>
  <si>
    <t>DAPOSALA</t>
  </si>
  <si>
    <t>Anthony</t>
  </si>
  <si>
    <t>DECAP</t>
  </si>
  <si>
    <t>Edgar S</t>
  </si>
  <si>
    <t>DELCORRO</t>
  </si>
  <si>
    <t>Janine</t>
  </si>
  <si>
    <t>ELLO</t>
  </si>
  <si>
    <t>Joshua</t>
  </si>
  <si>
    <t>EUPEÑA</t>
  </si>
  <si>
    <t>GRAN</t>
  </si>
  <si>
    <t>Jowei</t>
  </si>
  <si>
    <t>JORTA</t>
  </si>
  <si>
    <t>Eduardo Jr</t>
  </si>
  <si>
    <t>LAUREJAS</t>
  </si>
  <si>
    <t>Novie</t>
  </si>
  <si>
    <t>LAURON</t>
  </si>
  <si>
    <t>Dini Daw</t>
  </si>
  <si>
    <t>Ernie</t>
  </si>
  <si>
    <t>MARATAS</t>
  </si>
  <si>
    <t>Alora Kristy</t>
  </si>
  <si>
    <t>MORILLA</t>
  </si>
  <si>
    <t>Dionesio</t>
  </si>
  <si>
    <t>Johndel</t>
  </si>
  <si>
    <t>OCHAGAVIA</t>
  </si>
  <si>
    <t>Chris</t>
  </si>
  <si>
    <t>PADILLA</t>
  </si>
  <si>
    <t>Hernan</t>
  </si>
  <si>
    <t>PATINO</t>
  </si>
  <si>
    <t>King</t>
  </si>
  <si>
    <t>ROSILLO</t>
  </si>
  <si>
    <t>DJ</t>
  </si>
  <si>
    <t>ROZAL</t>
  </si>
  <si>
    <t>Mando</t>
  </si>
  <si>
    <t>SALABE</t>
  </si>
  <si>
    <t>SALON</t>
  </si>
  <si>
    <t>Fortunato L</t>
  </si>
  <si>
    <t>SERAFIN</t>
  </si>
  <si>
    <t>Ricardo</t>
  </si>
  <si>
    <t>SOLAR</t>
  </si>
  <si>
    <t>John Paul</t>
  </si>
  <si>
    <t>N/A</t>
  </si>
  <si>
    <t>Peter</t>
  </si>
  <si>
    <t>9.6 General Procedure to Follow Using Cutter</t>
  </si>
  <si>
    <t>9 USING CUTTER AND SHARP TOOLS</t>
  </si>
  <si>
    <t>u</t>
  </si>
  <si>
    <t>A</t>
  </si>
  <si>
    <t>LMC</t>
  </si>
  <si>
    <t>VL</t>
  </si>
  <si>
    <t>UL</t>
  </si>
  <si>
    <t>SL</t>
  </si>
  <si>
    <t>10 RAM SOURCES</t>
  </si>
  <si>
    <t>12.1 Energization/De-Energization</t>
  </si>
  <si>
    <t>9.2 Scope and Definition of terms</t>
  </si>
  <si>
    <t>9.4 General Guidelines</t>
  </si>
  <si>
    <t>9.3 Required PPE</t>
  </si>
  <si>
    <t>9.1, 9.2. 9.7 Intro, Scope and Precautionary Measure</t>
  </si>
  <si>
    <t>2.1 Definition</t>
  </si>
  <si>
    <t>4. ROLES AND RESPONSIBILITY</t>
  </si>
  <si>
    <t>5</t>
  </si>
  <si>
    <t>Functional Objectives</t>
  </si>
  <si>
    <t>Program</t>
  </si>
  <si>
    <t>KPI</t>
  </si>
  <si>
    <t>Target</t>
  </si>
  <si>
    <t>Actual</t>
  </si>
  <si>
    <t>Data</t>
  </si>
  <si>
    <t>Functional Objectives Category</t>
  </si>
  <si>
    <t>id</t>
  </si>
  <si>
    <t>-</t>
  </si>
  <si>
    <t>SD period</t>
  </si>
  <si>
    <t>n/a</t>
  </si>
  <si>
    <t>YTD</t>
  </si>
  <si>
    <t>4/9</t>
  </si>
  <si>
    <t>--</t>
  </si>
  <si>
    <t>Total</t>
  </si>
  <si>
    <t>Take (Monthly)</t>
  </si>
  <si>
    <t>Passing rate</t>
  </si>
  <si>
    <t>Actual who take</t>
  </si>
  <si>
    <t>111BC05 Flushing</t>
  </si>
  <si>
    <t>completed</t>
  </si>
  <si>
    <t>Group_May</t>
  </si>
  <si>
    <t>Group_January</t>
  </si>
  <si>
    <t>Group_February</t>
  </si>
  <si>
    <t>Group_March</t>
  </si>
  <si>
    <t>Group_April</t>
  </si>
  <si>
    <t>Group_June</t>
  </si>
  <si>
    <t>Group_July</t>
  </si>
  <si>
    <t>Group_August</t>
  </si>
  <si>
    <t>Group_September</t>
  </si>
  <si>
    <t>Group_October</t>
  </si>
  <si>
    <t>Group_November</t>
  </si>
  <si>
    <t>Group_December</t>
  </si>
  <si>
    <t>Overall Team Rating</t>
  </si>
  <si>
    <t>Average Team Rating</t>
  </si>
  <si>
    <t>Average Team Compliance</t>
  </si>
  <si>
    <t>Overall</t>
  </si>
  <si>
    <t>11 CONFINE SPACE ENTRY CLEARANCE POLICY</t>
  </si>
  <si>
    <t>STANDARD AND MANAGEMENT</t>
  </si>
  <si>
    <t>Exam (cancelled)</t>
  </si>
  <si>
    <t>13 PREVENTION OF HEAT ILLNESSS</t>
  </si>
  <si>
    <t>EDUCATION AND TRAINING</t>
  </si>
  <si>
    <t>COUNTERMEASURE AND TRAINING</t>
  </si>
  <si>
    <t>Rescheduled by THPAL Safety</t>
  </si>
  <si>
    <t>Elioenai Ann</t>
  </si>
  <si>
    <t>Arnulfo</t>
  </si>
  <si>
    <t>Chuck Neko</t>
  </si>
  <si>
    <t>Jane</t>
  </si>
  <si>
    <t>Ephraim</t>
  </si>
  <si>
    <t>John</t>
  </si>
  <si>
    <t>BL</t>
  </si>
  <si>
    <t>R</t>
  </si>
  <si>
    <t>109TK02 Vent Line Declogging</t>
  </si>
  <si>
    <t>ISA-THPAL</t>
  </si>
  <si>
    <t>Safety Cross</t>
  </si>
  <si>
    <t>ISA-CTS</t>
  </si>
  <si>
    <t>111BC02-04 Catcher Cleanup (ISA with Contractors)</t>
  </si>
  <si>
    <t>108TK04 Sampling using newly fabricated scoop</t>
  </si>
  <si>
    <t>114 flocculant charging (ISA)</t>
  </si>
  <si>
    <t>111PU02-03 suction strainer clean up</t>
  </si>
  <si>
    <t>Polishing cloth rewashing</t>
  </si>
  <si>
    <t>Polishing Filter Cloth Cutting</t>
  </si>
  <si>
    <t>Links</t>
  </si>
  <si>
    <t>\\thsugvmfs1\Department\Prod\312 Safety MS\05 MS Section Safety Audit\000 Previous Years\20240130 - VE03 cold leg declogging\MS Section Audit Report_209VE03 cold leg declogging.pdf</t>
  </si>
  <si>
    <t>\\thsugvmfs1\Department\Prod\312 Safety MS\05 MS Section Safety Audit\000 Previous Years\20240229 - 111BC02-04 Catcher Cleanup (ISA with Contractors)\MS Section Audit Report_111BC02-04 catcher clean-up.pdf</t>
  </si>
  <si>
    <t>\\thsugvmfs1\Department\Prod\312 Safety MS\05 MS Section Safety Audit\000 Previous Years\20240321 - 106ML02 operation\MS Section Audit Report_106ML02 for printing.pdf</t>
  </si>
  <si>
    <t>\\thsugvmfs1\Department\Prod\312 Safety MS\05 MS Section Safety Audit\000 Previous Years\20240708 - 108TK04 Sampling using newly fabricated scoop\MS Section Audit Report_108Sampling.pdf</t>
  </si>
  <si>
    <t>\\thsugvmfs1\Department\Prod\312 Safety MS\05 MS Section Safety Audit\000 Previous Years\20240713 - 114 flocculant charging (ISA)\MS Section Audit Report_114 floc charging.pdf</t>
  </si>
  <si>
    <t>\\thsugvmfs1\Department\Prod\312 Safety MS\05 MS Section Safety Audit\000 Previous Years\20240831 - 111PU02-03 suction strainer clean up\111PU02-03 Suction Strainer Cleanup Internal Safety Audit Report.pdf</t>
  </si>
  <si>
    <t>\\thsugvmfs1\Department\Prod\312 Safety MS\05 MS Section Safety Audit\000 Previous Years\20241030 - Polishing cloth rewashing\Polishing Filter Cloth Rewashing Report.pdf</t>
  </si>
  <si>
    <t>\\thsugvmfs1\Department\Prod\312 Safety MS\05 MS Section Safety Audit\000 Previous Years\20241129 - Polishing Filter Cloth Cutting\Internal Safety Audit Report Polishing Filter Cloth cutting.pdf</t>
  </si>
  <si>
    <t>\\thsugvmfs1\Department\Prod\312 Safety MS\05 MS Section Safety Audit\2025\01092025 111BC05 flushing and clean-up\MS Section Audit Report_111BC05 flushing.pdf</t>
  </si>
  <si>
    <t>\\thsugvmfs1\Department\Prod\312 Safety MS\06 MS Section Cross Audit\2025\111ML01 steel balls charging (auditor EI)\Safety Cross Audit_111ML01 Steel Ball Charging.pdf</t>
  </si>
  <si>
    <t>\\thsugvmfs1\Department\Prod\312 Safety MS\05 MS Section Safety Audit\2025\2025\109TK02 Vent line Declogging\MS Section Audit Report-109TK02 vent line declogging.pdf</t>
  </si>
  <si>
    <t>\\thsugvmfs1\Department\Prod\312 Safety MS\06 MS Section Cross Audit\2025\VSLC Waste Water Safety Audit with VSLC\MOM Cross Safety Audit with VSLC.pdf</t>
  </si>
  <si>
    <t>109/209VE03 cold leg declogging</t>
  </si>
  <si>
    <t>2/11</t>
  </si>
  <si>
    <t>2.1a Conduct 5 Internal Safety Audit per year (THPAL/CTS)</t>
  </si>
  <si>
    <t>2.1b 0 unresolved/ Open status Safety Audit findings after target date of completion</t>
  </si>
  <si>
    <t>2.2 Safety Cross Audit for THPAL/Contractors Activities per year</t>
  </si>
  <si>
    <t>2.3 a Past Incident Categorization and Improvement of education methods and content (past incidents, SDS, rules, SOPs, KY, etc.)</t>
  </si>
  <si>
    <t>2.3b Re-evaluation and education of countermeasures for past major incidents and environmental troubles</t>
  </si>
  <si>
    <t>2.4a  Daily KY Card preparation before start of shift activities with Performace ratings</t>
  </si>
  <si>
    <t>2.4b Conduct four (4) 4RKY Presentation per year + Twice (2) 1st and 2nd round 4RKY presentation for Plant wide (For the month of Nov - Dec)</t>
  </si>
  <si>
    <t>2.4c  Unusual KY Card preparation and discussion to members before performing any Unusual Activity</t>
  </si>
  <si>
    <t>2.6a Monthly Group Meeting related to Safety concerns per Group with MOM</t>
  </si>
  <si>
    <t>2.6b Daily Toolbox Meeting compliance with Senior Foreman weekly observation</t>
  </si>
  <si>
    <t>2.7a Monthly PPE Inspection</t>
  </si>
  <si>
    <t>2.7b Monthly Lifting Gears and Accessories Inspection by Safety and Maintenance Department</t>
  </si>
  <si>
    <t>2.7c Monthly Sulfur Building Water Flushing and Heat Stress Data Gathering</t>
  </si>
  <si>
    <t>2.1 Promotion of  equipment safety based on safety audit(observation) for activities related to serious accident risks (such as falling, caught by, heavy equipment, chemical burns, burns, and electric shock)</t>
  </si>
  <si>
    <t>2.2 Promotion of equipment safety through mutual safety audit ((observation) of routine activities by each departments and contractors</t>
  </si>
  <si>
    <t>2.3 Preventing similar incidents by reorganizing the safety education system for supervisors to provide effective safety instruction</t>
  </si>
  <si>
    <t>2.4  Improving risk management capabilities through effective KY education for each department member</t>
  </si>
  <si>
    <t>2.5 Improve employees' knowledge and awareness on safety through continuous education</t>
  </si>
  <si>
    <t>2.7 Reduce risk and maintain safe working conditions by conducting scheduled safety activities</t>
  </si>
  <si>
    <t>3.1 Promotion of priority SD intiatives</t>
  </si>
  <si>
    <t>3.2 Holding regular safety meetings (Monthly meeting with OSH-Safety)</t>
  </si>
  <si>
    <t>times per year</t>
  </si>
  <si>
    <t>once per month</t>
  </si>
  <si>
    <t>12</t>
  </si>
  <si>
    <t>2.5a Daily Safety Declaration incorporating Safety Handbook</t>
  </si>
  <si>
    <t>2.5b &gt; 90% attendance of MS Safety Examination (MS Safety Group will make a scenario examination based from the updated Safety Handbook)</t>
  </si>
  <si>
    <t>2.5c &gt; 70% passing rate of MS personnels in Internal MS Safety Examination</t>
  </si>
  <si>
    <t>No. of Internal Safety Audit/year</t>
  </si>
  <si>
    <t>No. of unresolved/Open status Safety Audit findings after target date of completion</t>
  </si>
  <si>
    <t>No. of Safety Cross Audit</t>
  </si>
  <si>
    <t>Percentage of attendance of re-education</t>
  </si>
  <si>
    <t>No. of Completed Review of Past Incident countermeasures</t>
  </si>
  <si>
    <t>Percentage of compliance monthly</t>
  </si>
  <si>
    <t>No of 4RKY Presentation/year</t>
  </si>
  <si>
    <t>Percentage of compliance in any Unusual Activity</t>
  </si>
  <si>
    <t>Percentage of compliance</t>
  </si>
  <si>
    <t>Percentage of attendance and compliance based from the MS Safety Examination</t>
  </si>
  <si>
    <t>Percentage of Examination taken by MS personnels (Given every Saturday)</t>
  </si>
  <si>
    <t>Percentage of attendance</t>
  </si>
  <si>
    <t>Percentage of attendance and compliance monthly</t>
  </si>
  <si>
    <t>No. of compliance monthly</t>
  </si>
  <si>
    <r>
      <t xml:space="preserve">For minor SD: Focus on strengthening barricade management. Measures for major SD to be determined after minor SD review. </t>
    </r>
    <r>
      <rPr>
        <b/>
        <sz val="12"/>
        <color indexed="8"/>
        <rFont val="Arial"/>
        <family val="2"/>
      </rPr>
      <t xml:space="preserve">Barricading Theme Actions: </t>
    </r>
    <r>
      <rPr>
        <sz val="12"/>
        <color indexed="8"/>
        <rFont val="Arial"/>
        <family val="2"/>
      </rPr>
      <t>Educate on barricading procedures based on the Safety Manual. Ensure supplies for proper barricading are available. Incorporate barricading into daily and SD activities. Conduct patrols to assess barricading effectiveness in the field. Re-educate and address gaps found during patrols. Document barricading practices and share with OSH-Safety.</t>
    </r>
  </si>
  <si>
    <t>Summarize and report departmental safety issues. Attend monthly safety meetings and discuss action points. Update management on safety issues and reinforce messages in TO meetings.</t>
  </si>
  <si>
    <t>2.6 Promotion of measures to make up for weaknesses in each department that were identified during Safety Discussion</t>
  </si>
  <si>
    <t>Host: HPAL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</si>
</sst>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d/yyyy;@"/>
    <numFmt numFmtId="165" formatCode="0.0%"/>
    <numFmt numFmtId="166" formatCode="\&gt;0%"/>
  </numFmts>
  <fonts count="16" x14ac:knownFonts="1">
    <font>
      <sz val="11"/>
      <color theme="1"/>
      <name val="Calibri"/>
      <family val="2"/>
      <scheme val="minor"/>
    </font>
    <font>
      <u/>
      <sz val="11"/>
      <color theme="10"/>
      <name val="Calibri"/>
      <family val="2"/>
      <scheme val="minor"/>
    </font>
    <font>
      <sz val="11"/>
      <name val="Calibri"/>
      <family val="2"/>
      <scheme val="minor"/>
    </font>
    <font>
      <b/>
      <sz val="11"/>
      <color theme="1"/>
      <name val="Calibri"/>
      <family val="2"/>
      <scheme val="minor"/>
    </font>
    <font>
      <sz val="10"/>
      <name val="Arial"/>
      <family val="2"/>
    </font>
    <font>
      <sz val="11"/>
      <color theme="1"/>
      <name val="Calibri"/>
      <family val="2"/>
      <scheme val="minor"/>
    </font>
    <font>
      <sz val="16"/>
      <name val="Arial"/>
      <family val="2"/>
    </font>
    <font>
      <sz val="16"/>
      <color theme="1"/>
      <name val="Calibri"/>
      <family val="2"/>
      <scheme val="minor"/>
    </font>
    <font>
      <sz val="11"/>
      <color indexed="8"/>
      <name val="Calibri"/>
      <family val="2"/>
    </font>
    <font>
      <sz val="10"/>
      <color indexed="8"/>
      <name val="Arial"/>
      <family val="2"/>
    </font>
    <font>
      <sz val="11"/>
      <color indexed="8"/>
      <name val="Book Antiqua"/>
      <family val="1"/>
    </font>
    <font>
      <b/>
      <sz val="9"/>
      <color indexed="81"/>
      <name val="Tahoma"/>
      <family val="2"/>
    </font>
    <font>
      <sz val="12"/>
      <name val="Arial"/>
      <family val="2"/>
    </font>
    <font>
      <sz val="10"/>
      <color theme="1"/>
      <name val="Calibri"/>
      <family val="2"/>
      <scheme val="minor"/>
    </font>
    <font>
      <sz val="12"/>
      <color indexed="8"/>
      <name val="Arial"/>
      <family val="2"/>
    </font>
    <font>
      <b/>
      <sz val="12"/>
      <color indexed="8"/>
      <name val="Arial"/>
      <family val="2"/>
    </font>
  </fonts>
  <fills count="8">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C00000"/>
        <bgColor indexed="64"/>
      </patternFill>
    </fill>
    <fill>
      <patternFill patternType="solid">
        <fgColor theme="7"/>
        <bgColor indexed="64"/>
      </patternFill>
    </fill>
    <fill>
      <patternFill patternType="solid">
        <fgColor theme="4" tint="0.59999389629810485"/>
        <bgColor indexed="64"/>
      </patternFill>
    </fill>
    <fill>
      <patternFill patternType="solid">
        <fgColor rgb="FFFFC000"/>
        <bgColor indexed="64"/>
      </patternFill>
    </fill>
  </fills>
  <borders count="8">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s>
  <cellStyleXfs count="6">
    <xf numFmtId="0" fontId="0" fillId="0" borderId="0"/>
    <xf numFmtId="0" fontId="1" fillId="0" borderId="0" applyNumberFormat="0" applyFill="0" applyBorder="0" applyAlignment="0" applyProtection="0"/>
    <xf numFmtId="0" fontId="4" fillId="0" borderId="0"/>
    <xf numFmtId="9" fontId="5" fillId="0" borderId="0" applyFont="0" applyFill="0" applyBorder="0" applyAlignment="0" applyProtection="0"/>
    <xf numFmtId="0" fontId="8" fillId="0" borderId="0"/>
    <xf numFmtId="9" fontId="8" fillId="0" borderId="0" applyFont="0" applyFill="0" applyBorder="0" applyAlignment="0" applyProtection="0"/>
  </cellStyleXfs>
  <cellXfs count="98">
    <xf numFmtId="0" fontId="0" fillId="0" borderId="0" xfId="0"/>
    <xf numFmtId="0" fontId="0" fillId="0" borderId="0" xfId="0" applyAlignment="1">
      <alignment horizontal="center"/>
    </xf>
    <xf numFmtId="9" fontId="0" fillId="0" borderId="0" xfId="0" applyNumberFormat="1" applyAlignment="1">
      <alignment horizontal="center"/>
    </xf>
    <xf numFmtId="164" fontId="0" fillId="0" borderId="0" xfId="0" applyNumberFormat="1" applyAlignment="1">
      <alignment horizontal="center"/>
    </xf>
    <xf numFmtId="164" fontId="0" fillId="0" borderId="0" xfId="0" applyNumberFormat="1"/>
    <xf numFmtId="165" fontId="0" fillId="0" borderId="0" xfId="0" applyNumberFormat="1" applyAlignment="1">
      <alignment horizontal="center"/>
    </xf>
    <xf numFmtId="0" fontId="1" fillId="0" borderId="0" xfId="1"/>
    <xf numFmtId="2" fontId="0" fillId="0" borderId="0" xfId="0" applyNumberFormat="1" applyAlignment="1">
      <alignment horizontal="center"/>
    </xf>
    <xf numFmtId="9" fontId="2" fillId="2" borderId="0" xfId="0" applyNumberFormat="1" applyFont="1" applyFill="1"/>
    <xf numFmtId="0" fontId="0" fillId="0" borderId="0" xfId="0" applyAlignment="1">
      <alignment horizontal="left"/>
    </xf>
    <xf numFmtId="9" fontId="0" fillId="0" borderId="0" xfId="0" applyNumberFormat="1"/>
    <xf numFmtId="2" fontId="0" fillId="0" borderId="0" xfId="0" applyNumberFormat="1" applyAlignment="1">
      <alignment horizontal="left"/>
    </xf>
    <xf numFmtId="10" fontId="0" fillId="0" borderId="0" xfId="0" applyNumberFormat="1"/>
    <xf numFmtId="0" fontId="3" fillId="0" borderId="0" xfId="0" applyFont="1" applyAlignment="1">
      <alignment horizontal="center" vertical="center" wrapText="1"/>
    </xf>
    <xf numFmtId="14" fontId="0" fillId="0" borderId="0" xfId="0" applyNumberFormat="1"/>
    <xf numFmtId="0" fontId="0" fillId="0" borderId="0" xfId="0" applyAlignment="1">
      <alignment wrapText="1"/>
    </xf>
    <xf numFmtId="17" fontId="0" fillId="0" borderId="0" xfId="0" applyNumberFormat="1"/>
    <xf numFmtId="0" fontId="4" fillId="0" borderId="0" xfId="2" applyAlignment="1">
      <alignment horizontal="center"/>
    </xf>
    <xf numFmtId="0" fontId="4" fillId="0" borderId="0" xfId="2" applyAlignment="1">
      <alignment horizontal="left"/>
    </xf>
    <xf numFmtId="0" fontId="4" fillId="0" borderId="0" xfId="2" applyBorder="1" applyAlignment="1">
      <alignment horizontal="center"/>
    </xf>
    <xf numFmtId="15" fontId="4" fillId="0" borderId="0" xfId="2" applyNumberFormat="1" applyAlignment="1">
      <alignment horizontal="left"/>
    </xf>
    <xf numFmtId="0" fontId="4" fillId="0" borderId="0" xfId="2"/>
    <xf numFmtId="0" fontId="4" fillId="0" borderId="0" xfId="2" applyAlignment="1">
      <alignment wrapText="1"/>
    </xf>
    <xf numFmtId="0" fontId="5" fillId="0" borderId="0" xfId="2" applyFont="1" applyFill="1"/>
    <xf numFmtId="0" fontId="0" fillId="0" borderId="0" xfId="0" applyFill="1" applyAlignment="1">
      <alignment horizontal="center"/>
    </xf>
    <xf numFmtId="0" fontId="6" fillId="0" borderId="0" xfId="2" applyFont="1" applyBorder="1" applyAlignment="1">
      <alignment horizontal="center" vertical="center"/>
    </xf>
    <xf numFmtId="0" fontId="7" fillId="0" borderId="0" xfId="2" applyFont="1" applyFill="1" applyAlignment="1">
      <alignment horizontal="center" vertical="center"/>
    </xf>
    <xf numFmtId="0" fontId="7" fillId="0" borderId="0" xfId="2" applyFont="1" applyAlignment="1">
      <alignment horizontal="center" vertical="center"/>
    </xf>
    <xf numFmtId="16" fontId="0" fillId="0" borderId="0" xfId="0" applyNumberFormat="1" applyAlignment="1">
      <alignment horizontal="center"/>
    </xf>
    <xf numFmtId="0" fontId="0" fillId="0" borderId="0" xfId="0" applyFill="1"/>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66" fontId="0" fillId="0" borderId="0" xfId="0" applyNumberFormat="1" applyAlignment="1">
      <alignment horizontal="center" vertical="center"/>
    </xf>
    <xf numFmtId="9" fontId="0" fillId="0" borderId="0" xfId="0" applyNumberFormat="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vertical="center"/>
    </xf>
    <xf numFmtId="0" fontId="4" fillId="0" borderId="0" xfId="2" applyFont="1" applyBorder="1" applyAlignment="1">
      <alignment horizontal="center" vertical="center" shrinkToFit="1"/>
    </xf>
    <xf numFmtId="0" fontId="4" fillId="3" borderId="0" xfId="2" applyFont="1" applyFill="1" applyBorder="1" applyAlignment="1">
      <alignment horizontal="center" vertical="center" wrapText="1"/>
    </xf>
    <xf numFmtId="0" fontId="9" fillId="0" borderId="0" xfId="2" applyFont="1" applyBorder="1" applyAlignment="1">
      <alignment horizontal="center" vertical="center" wrapText="1"/>
    </xf>
    <xf numFmtId="0" fontId="4" fillId="0" borderId="0" xfId="2" quotePrefix="1" applyFont="1" applyBorder="1" applyAlignment="1">
      <alignment horizontal="center" vertical="center" shrinkToFit="1"/>
    </xf>
    <xf numFmtId="0" fontId="4" fillId="0" borderId="0" xfId="2" applyNumberFormat="1" applyFont="1" applyBorder="1" applyAlignment="1">
      <alignment horizontal="center" vertical="center" wrapText="1"/>
    </xf>
    <xf numFmtId="1" fontId="9" fillId="0" borderId="0" xfId="2" quotePrefix="1" applyNumberFormat="1" applyFont="1" applyBorder="1" applyAlignment="1">
      <alignment horizontal="center" vertical="center" wrapText="1"/>
    </xf>
    <xf numFmtId="9" fontId="4" fillId="0" borderId="0" xfId="2" applyNumberFormat="1" applyFont="1" applyBorder="1" applyAlignment="1">
      <alignment horizontal="center" vertical="center" wrapText="1"/>
    </xf>
    <xf numFmtId="0" fontId="9" fillId="0" borderId="0" xfId="2" applyFont="1" applyFill="1" applyBorder="1" applyAlignment="1">
      <alignment horizontal="center" vertical="center" wrapText="1"/>
    </xf>
    <xf numFmtId="9" fontId="4" fillId="0" borderId="0" xfId="2" applyNumberFormat="1" applyFont="1" applyFill="1" applyBorder="1" applyAlignment="1">
      <alignment horizontal="center" vertical="center" wrapText="1"/>
    </xf>
    <xf numFmtId="9" fontId="4" fillId="0" borderId="0" xfId="2" quotePrefix="1" applyNumberFormat="1" applyFont="1" applyFill="1" applyBorder="1" applyAlignment="1">
      <alignment horizontal="center" vertical="center" shrinkToFit="1"/>
    </xf>
    <xf numFmtId="0" fontId="9" fillId="0" borderId="0" xfId="2" quotePrefix="1" applyFont="1" applyFill="1" applyBorder="1" applyAlignment="1">
      <alignment horizontal="center" vertical="center" wrapText="1"/>
    </xf>
    <xf numFmtId="9" fontId="9" fillId="0" borderId="0" xfId="2" quotePrefix="1" applyNumberFormat="1" applyFont="1" applyFill="1" applyBorder="1" applyAlignment="1">
      <alignment horizontal="center" vertical="center" wrapText="1"/>
    </xf>
    <xf numFmtId="9" fontId="9" fillId="0" borderId="0" xfId="2" applyNumberFormat="1" applyFont="1" applyBorder="1" applyAlignment="1">
      <alignment horizontal="center" vertical="center" wrapText="1"/>
    </xf>
    <xf numFmtId="9" fontId="4" fillId="0" borderId="0" xfId="2" applyNumberFormat="1" applyFont="1" applyBorder="1" applyAlignment="1">
      <alignment horizontal="center" vertical="center" shrinkToFit="1"/>
    </xf>
    <xf numFmtId="9" fontId="4" fillId="0" borderId="0" xfId="2" quotePrefix="1" applyNumberFormat="1" applyFont="1" applyFill="1" applyBorder="1" applyAlignment="1">
      <alignment horizontal="center" vertical="center" wrapText="1"/>
    </xf>
    <xf numFmtId="49" fontId="4" fillId="0" borderId="0" xfId="3" quotePrefix="1" applyNumberFormat="1" applyFont="1" applyBorder="1" applyAlignment="1">
      <alignment horizontal="center" vertical="center" shrinkToFit="1"/>
    </xf>
    <xf numFmtId="49" fontId="0" fillId="0" borderId="0" xfId="0" applyNumberFormat="1"/>
    <xf numFmtId="49" fontId="4" fillId="0" borderId="0" xfId="2" quotePrefix="1" applyNumberFormat="1" applyFont="1" applyBorder="1" applyAlignment="1">
      <alignment horizontal="center" vertical="center" wrapText="1"/>
    </xf>
    <xf numFmtId="0" fontId="0" fillId="0" borderId="0" xfId="0" quotePrefix="1" applyAlignment="1">
      <alignment horizontal="center"/>
    </xf>
    <xf numFmtId="10" fontId="0" fillId="0" borderId="0" xfId="0" applyNumberFormat="1" applyAlignment="1">
      <alignment horizontal="center"/>
    </xf>
    <xf numFmtId="0" fontId="0" fillId="4" borderId="0" xfId="0" applyFill="1" applyAlignment="1">
      <alignment horizontal="left"/>
    </xf>
    <xf numFmtId="0" fontId="2" fillId="6" borderId="0" xfId="0" applyFont="1" applyFill="1" applyAlignment="1">
      <alignment horizontal="left"/>
    </xf>
    <xf numFmtId="2" fontId="0" fillId="4" borderId="0" xfId="0" applyNumberFormat="1" applyFill="1" applyAlignment="1">
      <alignment horizontal="left"/>
    </xf>
    <xf numFmtId="2" fontId="0" fillId="6" borderId="0" xfId="0" applyNumberFormat="1" applyFill="1" applyAlignment="1">
      <alignment horizontal="left"/>
    </xf>
    <xf numFmtId="0" fontId="0" fillId="6" borderId="0" xfId="0" applyFill="1" applyAlignment="1">
      <alignment horizontal="left"/>
    </xf>
    <xf numFmtId="165" fontId="0" fillId="0" borderId="0" xfId="0" applyNumberFormat="1"/>
    <xf numFmtId="0" fontId="0" fillId="5" borderId="0" xfId="0" applyFill="1"/>
    <xf numFmtId="0" fontId="0" fillId="0" borderId="0" xfId="0" applyFill="1" applyAlignment="1">
      <alignment horizontal="left"/>
    </xf>
    <xf numFmtId="0" fontId="10" fillId="0" borderId="0" xfId="0" applyFont="1" applyFill="1" applyBorder="1" applyAlignment="1" applyProtection="1">
      <alignment horizontal="right" vertical="center"/>
    </xf>
    <xf numFmtId="165" fontId="0" fillId="0" borderId="0" xfId="0" quotePrefix="1" applyNumberFormat="1"/>
    <xf numFmtId="0" fontId="4" fillId="0" borderId="0" xfId="2" applyFill="1"/>
    <xf numFmtId="0" fontId="4" fillId="0" borderId="0" xfId="2" applyFill="1" applyAlignment="1">
      <alignment wrapText="1"/>
    </xf>
    <xf numFmtId="0" fontId="0" fillId="0" borderId="0" xfId="0" quotePrefix="1"/>
    <xf numFmtId="10" fontId="0" fillId="7" borderId="0" xfId="0" applyNumberFormat="1" applyFill="1" applyAlignment="1">
      <alignment horizontal="center"/>
    </xf>
    <xf numFmtId="0" fontId="12" fillId="0" borderId="2" xfId="4" applyFont="1" applyFill="1" applyBorder="1" applyAlignment="1">
      <alignment horizontal="center" vertical="center" wrapText="1"/>
    </xf>
    <xf numFmtId="0" fontId="13" fillId="0" borderId="0" xfId="0" applyFont="1" applyAlignment="1">
      <alignment horizontal="left" vertical="top" wrapText="1"/>
    </xf>
    <xf numFmtId="0" fontId="4" fillId="0" borderId="1" xfId="4" applyFont="1" applyFill="1" applyBorder="1" applyAlignment="1">
      <alignment horizontal="left" vertical="top" wrapText="1"/>
    </xf>
    <xf numFmtId="0" fontId="4" fillId="0" borderId="2" xfId="4" applyFont="1" applyFill="1" applyBorder="1" applyAlignment="1">
      <alignment horizontal="left" vertical="top" wrapText="1"/>
    </xf>
    <xf numFmtId="0" fontId="4" fillId="0" borderId="3" xfId="4" applyFont="1" applyFill="1" applyBorder="1" applyAlignment="1">
      <alignment horizontal="left" vertical="top" wrapText="1"/>
    </xf>
    <xf numFmtId="0" fontId="14" fillId="0" borderId="4" xfId="2" applyFont="1" applyBorder="1" applyAlignment="1">
      <alignment horizontal="left" vertical="center" wrapText="1"/>
    </xf>
    <xf numFmtId="0" fontId="14" fillId="0" borderId="5" xfId="2" applyFont="1" applyBorder="1" applyAlignment="1">
      <alignment horizontal="left" vertical="center" wrapText="1"/>
    </xf>
    <xf numFmtId="0" fontId="12" fillId="0" borderId="6" xfId="4" applyFont="1" applyFill="1" applyBorder="1" applyAlignment="1">
      <alignment horizontal="center" vertical="center" wrapText="1"/>
    </xf>
    <xf numFmtId="0" fontId="12" fillId="0" borderId="7" xfId="4" applyFont="1" applyFill="1" applyBorder="1" applyAlignment="1">
      <alignment horizontal="center" vertical="center" wrapText="1"/>
    </xf>
    <xf numFmtId="0" fontId="14" fillId="0" borderId="4" xfId="2" applyFont="1" applyFill="1" applyBorder="1" applyAlignment="1">
      <alignment vertical="center" wrapText="1"/>
    </xf>
    <xf numFmtId="0" fontId="0" fillId="0" borderId="0" xfId="0" applyNumberFormat="1" applyAlignment="1">
      <alignment horizontal="center" vertical="center"/>
    </xf>
    <xf numFmtId="1" fontId="4" fillId="0" borderId="0" xfId="2" applyNumberFormat="1" applyFont="1" applyFill="1" applyBorder="1" applyAlignment="1">
      <alignment horizontal="center" vertical="center" wrapText="1"/>
    </xf>
    <xf numFmtId="165" fontId="0" fillId="0" borderId="0" xfId="0" applyNumberFormat="1" applyAlignment="1">
      <alignment horizontal="center" vertical="center"/>
    </xf>
    <xf numFmtId="165" fontId="4" fillId="0" borderId="0" xfId="3" applyNumberFormat="1" applyFont="1" applyBorder="1" applyAlignment="1">
      <alignment horizontal="center" vertical="center" shrinkToFit="1"/>
    </xf>
    <xf numFmtId="165" fontId="4" fillId="0" borderId="0" xfId="2" applyNumberFormat="1" applyFont="1" applyBorder="1" applyAlignment="1">
      <alignment horizontal="center" vertical="center" wrapText="1"/>
    </xf>
    <xf numFmtId="9" fontId="4" fillId="0" borderId="0" xfId="3" applyNumberFormat="1" applyFont="1" applyBorder="1" applyAlignment="1">
      <alignment horizontal="center" vertical="center" shrinkToFit="1"/>
    </xf>
    <xf numFmtId="9" fontId="9" fillId="0" borderId="0" xfId="2" quotePrefix="1" applyNumberFormat="1" applyFont="1" applyBorder="1" applyAlignment="1">
      <alignment horizontal="center" vertical="center" wrapText="1"/>
    </xf>
    <xf numFmtId="49" fontId="0" fillId="0" borderId="0" xfId="0" applyNumberFormat="1" applyAlignment="1">
      <alignment horizontal="center" vertical="center" wrapText="1"/>
    </xf>
    <xf numFmtId="9" fontId="4" fillId="0" borderId="0" xfId="2" quotePrefix="1" applyNumberFormat="1" applyFont="1" applyBorder="1" applyAlignment="1">
      <alignment horizontal="center" vertical="center" wrapText="1"/>
    </xf>
    <xf numFmtId="0" fontId="4" fillId="0" borderId="0" xfId="2" applyNumberFormat="1" applyFont="1" applyBorder="1" applyAlignment="1">
      <alignment horizontal="center" vertical="center" shrinkToFit="1"/>
    </xf>
    <xf numFmtId="0" fontId="0" fillId="0" borderId="0" xfId="0" applyNumberFormat="1"/>
    <xf numFmtId="0" fontId="0" fillId="0" borderId="0" xfId="0" quotePrefix="1" applyNumberFormat="1" applyAlignment="1">
      <alignment horizontal="center" vertical="center"/>
    </xf>
    <xf numFmtId="0" fontId="12" fillId="0" borderId="1" xfId="4" applyFont="1" applyFill="1" applyBorder="1" applyAlignment="1">
      <alignment horizontal="center" vertical="center" wrapText="1"/>
    </xf>
    <xf numFmtId="0" fontId="12" fillId="0" borderId="3" xfId="4" applyFont="1" applyFill="1" applyBorder="1" applyAlignment="1">
      <alignment horizontal="center" vertical="center" wrapText="1"/>
    </xf>
    <xf numFmtId="0" fontId="12" fillId="0" borderId="2" xfId="4" applyFont="1" applyFill="1" applyBorder="1" applyAlignment="1">
      <alignment horizontal="center" vertical="center" wrapText="1"/>
    </xf>
    <xf numFmtId="16" fontId="0" fillId="0" borderId="0" xfId="0" applyNumberFormat="1"/>
  </cellXfs>
  <cellStyles count="6">
    <cellStyle name="Hyperlink" xfId="1" builtinId="8"/>
    <cellStyle name="Normal" xfId="0" builtinId="0"/>
    <cellStyle name="Normal 2" xfId="2"/>
    <cellStyle name="Normal 3" xfId="4"/>
    <cellStyle name="Percent" xfId="3" builtinId="5"/>
    <cellStyle name="Percent 2" xfId="5"/>
  </cellStyles>
  <dxfs count="6">
    <dxf>
      <font>
        <color rgb="FF9C0006"/>
      </font>
      <fill>
        <patternFill>
          <bgColor rgb="FFFFC7CE"/>
        </patternFill>
      </fill>
    </dxf>
    <dxf>
      <fill>
        <patternFill>
          <bgColor theme="7" tint="0.79998168889431442"/>
        </patternFill>
      </fill>
    </dxf>
    <dxf>
      <fill>
        <patternFill>
          <bgColor rgb="FF92D050"/>
        </patternFill>
      </fill>
    </dxf>
    <dxf>
      <fill>
        <patternFill>
          <bgColor theme="9" tint="0.59996337778862885"/>
        </patternFill>
      </fill>
    </dxf>
    <dxf>
      <fill>
        <patternFill>
          <bgColor theme="5" tint="0.79998168889431442"/>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542925</xdr:colOff>
          <xdr:row>29</xdr:row>
          <xdr:rowOff>180975</xdr:rowOff>
        </xdr:from>
        <xdr:to>
          <xdr:col>12</xdr:col>
          <xdr:colOff>466725</xdr:colOff>
          <xdr:row>31</xdr:row>
          <xdr:rowOff>152400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28</xdr:row>
          <xdr:rowOff>123825</xdr:rowOff>
        </xdr:from>
        <xdr:to>
          <xdr:col>1</xdr:col>
          <xdr:colOff>1724025</xdr:colOff>
          <xdr:row>31</xdr:row>
          <xdr:rowOff>114300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28</xdr:row>
          <xdr:rowOff>171450</xdr:rowOff>
        </xdr:from>
        <xdr:to>
          <xdr:col>2</xdr:col>
          <xdr:colOff>1228725</xdr:colOff>
          <xdr:row>31</xdr:row>
          <xdr:rowOff>19050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390525</xdr:colOff>
          <xdr:row>0</xdr:row>
          <xdr:rowOff>209550</xdr:rowOff>
        </xdr:from>
        <xdr:to>
          <xdr:col>16</xdr:col>
          <xdr:colOff>76200</xdr:colOff>
          <xdr:row>0</xdr:row>
          <xdr:rowOff>676275</xdr:rowOff>
        </xdr:to>
        <xdr:sp macro="" textlink="">
          <xdr:nvSpPr>
            <xdr:cNvPr id="6147" name="CommandButton1"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47625</xdr:colOff>
          <xdr:row>2</xdr:row>
          <xdr:rowOff>28575</xdr:rowOff>
        </xdr:from>
        <xdr:to>
          <xdr:col>32</xdr:col>
          <xdr:colOff>466725</xdr:colOff>
          <xdr:row>5</xdr:row>
          <xdr:rowOff>114300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76200</xdr:colOff>
          <xdr:row>6</xdr:row>
          <xdr:rowOff>180975</xdr:rowOff>
        </xdr:from>
        <xdr:to>
          <xdr:col>33</xdr:col>
          <xdr:colOff>200026</xdr:colOff>
          <xdr:row>10</xdr:row>
          <xdr:rowOff>104775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600075</xdr:colOff>
          <xdr:row>7</xdr:row>
          <xdr:rowOff>171450</xdr:rowOff>
        </xdr:from>
        <xdr:to>
          <xdr:col>11</xdr:col>
          <xdr:colOff>114300</xdr:colOff>
          <xdr:row>10</xdr:row>
          <xdr:rowOff>9525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11</xdr:row>
          <xdr:rowOff>180975</xdr:rowOff>
        </xdr:from>
        <xdr:to>
          <xdr:col>12</xdr:col>
          <xdr:colOff>295275</xdr:colOff>
          <xdr:row>15</xdr:row>
          <xdr:rowOff>104775</xdr:rowOff>
        </xdr:to>
        <xdr:sp macro="" textlink="">
          <xdr:nvSpPr>
            <xdr:cNvPr id="14338" name="CommandButton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2</xdr:row>
          <xdr:rowOff>152400</xdr:rowOff>
        </xdr:from>
        <xdr:to>
          <xdr:col>12</xdr:col>
          <xdr:colOff>123825</xdr:colOff>
          <xdr:row>4</xdr:row>
          <xdr:rowOff>171450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428625</xdr:colOff>
          <xdr:row>1</xdr:row>
          <xdr:rowOff>342900</xdr:rowOff>
        </xdr:from>
        <xdr:to>
          <xdr:col>22</xdr:col>
          <xdr:colOff>561975</xdr:colOff>
          <xdr:row>1</xdr:row>
          <xdr:rowOff>733425</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d/312%20Safety%20MS/08%20KY%20Monitoring/Daily%20KY%20Card%20Monitoring/2025/MS%20Personnel%20KY%20Competency%20Record%202025%20rev%2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d/312%20Safety%20MS/14%20Daily%20KY%20Card%20Monitoring/2025/MS%20Personnel%20KY%20Competency%20Record%202025%20Rev%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lines"/>
      <sheetName val="Jan"/>
      <sheetName val="Feb"/>
      <sheetName val="Mar"/>
      <sheetName val="Apr"/>
    </sheetNames>
    <sheetDataSet>
      <sheetData sheetId="0" refreshError="1"/>
      <sheetData sheetId="1">
        <row r="6">
          <cell r="E6" t="str">
            <v>ESTOLANO, Ronnie</v>
          </cell>
          <cell r="F6">
            <v>1</v>
          </cell>
        </row>
        <row r="7">
          <cell r="E7" t="str">
            <v>BOSQUE, Jonry</v>
          </cell>
          <cell r="F7">
            <v>1</v>
          </cell>
        </row>
        <row r="8">
          <cell r="E8" t="str">
            <v>ORCEJOLA, Karen Mae</v>
          </cell>
          <cell r="F8">
            <v>1</v>
          </cell>
        </row>
        <row r="9">
          <cell r="E9" t="str">
            <v>PLATERO, Paul</v>
          </cell>
          <cell r="F9">
            <v>1</v>
          </cell>
        </row>
        <row r="10">
          <cell r="E10" t="str">
            <v>BAYETA, Louie</v>
          </cell>
          <cell r="F10">
            <v>1</v>
          </cell>
        </row>
        <row r="11">
          <cell r="E11" t="str">
            <v>CINCO, Richard</v>
          </cell>
          <cell r="F11">
            <v>1</v>
          </cell>
        </row>
        <row r="12">
          <cell r="E12" t="str">
            <v>BILAD, Marvin A.</v>
          </cell>
          <cell r="F12">
            <v>1</v>
          </cell>
        </row>
        <row r="13">
          <cell r="E13" t="str">
            <v>NASAYAO, Flordecante</v>
          </cell>
          <cell r="F13">
            <v>1</v>
          </cell>
        </row>
        <row r="14">
          <cell r="E14" t="str">
            <v>HILVANO, Christian Joul P.</v>
          </cell>
          <cell r="F14">
            <v>1</v>
          </cell>
        </row>
        <row r="15">
          <cell r="E15" t="str">
            <v>NUÑEZ, Reus</v>
          </cell>
          <cell r="F15">
            <v>1</v>
          </cell>
        </row>
        <row r="16">
          <cell r="E16" t="str">
            <v>JABINAL, Jewel Mae</v>
          </cell>
          <cell r="F16">
            <v>1</v>
          </cell>
        </row>
        <row r="17">
          <cell r="E17" t="str">
            <v>ELCULLADA, Junmor S.</v>
          </cell>
          <cell r="F17">
            <v>1</v>
          </cell>
        </row>
        <row r="18">
          <cell r="E18" t="str">
            <v>CAGATA, Renan A.</v>
          </cell>
          <cell r="F18">
            <v>1</v>
          </cell>
        </row>
        <row r="19">
          <cell r="E19" t="str">
            <v>CAGAMPANG, Josan C.</v>
          </cell>
          <cell r="F19">
            <v>1</v>
          </cell>
        </row>
        <row r="20">
          <cell r="E20" t="str">
            <v>JAMERO, Donald</v>
          </cell>
          <cell r="F20">
            <v>1</v>
          </cell>
        </row>
        <row r="21">
          <cell r="E21" t="str">
            <v>BANZON Jr., Nicanor R.</v>
          </cell>
          <cell r="F21">
            <v>1</v>
          </cell>
        </row>
        <row r="22">
          <cell r="E22" t="str">
            <v>ESTILLORE, Marbert</v>
          </cell>
          <cell r="F22">
            <v>1</v>
          </cell>
        </row>
        <row r="23">
          <cell r="E23" t="str">
            <v>KHO, Jansen D.</v>
          </cell>
          <cell r="F23">
            <v>1</v>
          </cell>
        </row>
        <row r="24">
          <cell r="E24" t="str">
            <v>CARACOL, Marwin</v>
          </cell>
          <cell r="F24">
            <v>1</v>
          </cell>
        </row>
        <row r="25">
          <cell r="E25" t="str">
            <v>CONSIGNA, Joel L.</v>
          </cell>
          <cell r="F25">
            <v>1</v>
          </cell>
        </row>
        <row r="26">
          <cell r="E26" t="str">
            <v>PEROL, Remart</v>
          </cell>
          <cell r="F26">
            <v>1</v>
          </cell>
        </row>
        <row r="30">
          <cell r="E30" t="str">
            <v>GERALDINO, Chuck Neko T.</v>
          </cell>
          <cell r="F30" t="str">
            <v>All</v>
          </cell>
        </row>
        <row r="31">
          <cell r="E31" t="str">
            <v xml:space="preserve">BACLAYO, Christian Cesar P. </v>
          </cell>
          <cell r="F31" t="str">
            <v>SL/DCS</v>
          </cell>
        </row>
        <row r="32">
          <cell r="E32" t="str">
            <v>DAVIS, Jaybert E.</v>
          </cell>
          <cell r="F32" t="str">
            <v>SL/DCS</v>
          </cell>
        </row>
        <row r="34">
          <cell r="E34" t="str">
            <v>NECESARIO, Christie P.</v>
          </cell>
          <cell r="F34">
            <v>2</v>
          </cell>
        </row>
        <row r="35">
          <cell r="E35" t="str">
            <v>MARATAS, Ernie Mark</v>
          </cell>
          <cell r="F35">
            <v>2</v>
          </cell>
        </row>
        <row r="36">
          <cell r="E36" t="str">
            <v>COMPASIVO, Jomar</v>
          </cell>
          <cell r="F36">
            <v>2</v>
          </cell>
        </row>
        <row r="37">
          <cell r="E37" t="str">
            <v>ROBLES, Felmir</v>
          </cell>
          <cell r="F37">
            <v>2</v>
          </cell>
        </row>
        <row r="38">
          <cell r="E38" t="str">
            <v>BAYANG, Algemero</v>
          </cell>
          <cell r="F38">
            <v>2</v>
          </cell>
        </row>
        <row r="39">
          <cell r="E39" t="str">
            <v>LUMAYNO, Junrey</v>
          </cell>
          <cell r="F39">
            <v>2</v>
          </cell>
        </row>
        <row r="40">
          <cell r="E40" t="str">
            <v>BADIANG, Luciano Jr.</v>
          </cell>
          <cell r="F40">
            <v>2</v>
          </cell>
        </row>
        <row r="41">
          <cell r="E41" t="str">
            <v>GALVEZ, Jaypoy</v>
          </cell>
          <cell r="F41">
            <v>2</v>
          </cell>
        </row>
        <row r="42">
          <cell r="E42" t="str">
            <v>GIDA, Lenie Mae R.</v>
          </cell>
          <cell r="F42">
            <v>2</v>
          </cell>
        </row>
        <row r="43">
          <cell r="E43" t="str">
            <v>WONG, Harold G.</v>
          </cell>
          <cell r="F43">
            <v>2</v>
          </cell>
        </row>
        <row r="44">
          <cell r="E44" t="str">
            <v>BALACUIT, Jonesa Queen</v>
          </cell>
          <cell r="F44">
            <v>2</v>
          </cell>
        </row>
        <row r="45">
          <cell r="E45" t="str">
            <v>ERCILLO, Marvin J.</v>
          </cell>
          <cell r="F45">
            <v>2</v>
          </cell>
        </row>
        <row r="46">
          <cell r="E46" t="str">
            <v>PRESILDA, Winston</v>
          </cell>
          <cell r="F46">
            <v>2</v>
          </cell>
        </row>
        <row r="47">
          <cell r="E47" t="str">
            <v>NASAYAO, Jesus</v>
          </cell>
          <cell r="F47">
            <v>2</v>
          </cell>
        </row>
        <row r="48">
          <cell r="E48" t="str">
            <v>BALACUIT,  Prince Joewen</v>
          </cell>
          <cell r="F48">
            <v>2</v>
          </cell>
        </row>
        <row r="49">
          <cell r="E49" t="str">
            <v>DELA PENA, Rapie S.</v>
          </cell>
          <cell r="F49">
            <v>2</v>
          </cell>
        </row>
        <row r="50">
          <cell r="E50" t="str">
            <v>BUYO, Rico Jay</v>
          </cell>
          <cell r="F50">
            <v>2</v>
          </cell>
        </row>
        <row r="51">
          <cell r="E51" t="str">
            <v>RUDIS, June Mar</v>
          </cell>
          <cell r="F51">
            <v>2</v>
          </cell>
        </row>
        <row r="52">
          <cell r="E52" t="str">
            <v>GASAPO, Alladin</v>
          </cell>
          <cell r="F52">
            <v>2</v>
          </cell>
        </row>
        <row r="53">
          <cell r="E53" t="str">
            <v>AMALIAS, Carlo</v>
          </cell>
          <cell r="F53">
            <v>2</v>
          </cell>
        </row>
        <row r="54">
          <cell r="E54" t="str">
            <v>DAGASDAS, Gregorio Jr.</v>
          </cell>
          <cell r="F54">
            <v>2</v>
          </cell>
        </row>
        <row r="57">
          <cell r="E57" t="str">
            <v>GAYAPA, Joseph Kent</v>
          </cell>
          <cell r="F57" t="str">
            <v>All</v>
          </cell>
        </row>
        <row r="58">
          <cell r="E58" t="str">
            <v xml:space="preserve">BELARMINO, Arniel </v>
          </cell>
          <cell r="F58" t="str">
            <v>All</v>
          </cell>
        </row>
        <row r="59">
          <cell r="E59" t="str">
            <v xml:space="preserve">CORBO, Peter Ramje </v>
          </cell>
          <cell r="F59" t="str">
            <v>SL/DCS</v>
          </cell>
        </row>
        <row r="60">
          <cell r="E60" t="str">
            <v>ARTAZO, Catherine Joelor C.</v>
          </cell>
          <cell r="F60" t="str">
            <v>SL/DCS</v>
          </cell>
        </row>
        <row r="62">
          <cell r="E62" t="str">
            <v>SIMBAJON, Sherman Nove B.</v>
          </cell>
          <cell r="F62">
            <v>3</v>
          </cell>
        </row>
        <row r="63">
          <cell r="E63" t="str">
            <v>MORDENO, Chelsea</v>
          </cell>
          <cell r="F63">
            <v>3</v>
          </cell>
        </row>
        <row r="64">
          <cell r="E64" t="str">
            <v>CORMINAL, Roland</v>
          </cell>
          <cell r="F64">
            <v>3</v>
          </cell>
        </row>
        <row r="65">
          <cell r="E65" t="str">
            <v>MAGLINTE, Jerryll</v>
          </cell>
          <cell r="F65">
            <v>3</v>
          </cell>
        </row>
        <row r="66">
          <cell r="E66" t="str">
            <v>MANILI, Jessie</v>
          </cell>
          <cell r="F66">
            <v>3</v>
          </cell>
        </row>
        <row r="67">
          <cell r="E67" t="str">
            <v>CATONG, Abel</v>
          </cell>
          <cell r="F67">
            <v>3</v>
          </cell>
        </row>
        <row r="68">
          <cell r="E68" t="str">
            <v xml:space="preserve">SAMONTINA, Michael Jhun </v>
          </cell>
          <cell r="F68">
            <v>3</v>
          </cell>
        </row>
        <row r="69">
          <cell r="E69" t="str">
            <v xml:space="preserve">DEGOLTO, Joel </v>
          </cell>
          <cell r="F69">
            <v>3</v>
          </cell>
        </row>
        <row r="70">
          <cell r="E70" t="str">
            <v>TAYOR,  Rocar John Paul P.</v>
          </cell>
          <cell r="F70">
            <v>3</v>
          </cell>
        </row>
        <row r="71">
          <cell r="E71" t="str">
            <v>CAMINO, Jyzl E.</v>
          </cell>
          <cell r="F71">
            <v>3</v>
          </cell>
        </row>
        <row r="72">
          <cell r="E72" t="str">
            <v>COCAMAS, Louie R</v>
          </cell>
          <cell r="F72">
            <v>3</v>
          </cell>
        </row>
        <row r="73">
          <cell r="E73" t="str">
            <v>NECESARIO, Nhergil</v>
          </cell>
          <cell r="F73">
            <v>3</v>
          </cell>
        </row>
        <row r="74">
          <cell r="E74" t="str">
            <v>OCON, Jonathan P.</v>
          </cell>
          <cell r="F74">
            <v>3</v>
          </cell>
        </row>
        <row r="75">
          <cell r="E75" t="str">
            <v>DOCOR, Romeo</v>
          </cell>
          <cell r="F75">
            <v>3</v>
          </cell>
        </row>
        <row r="76">
          <cell r="E76" t="str">
            <v>VALLEJOS, Ronelo</v>
          </cell>
          <cell r="F76">
            <v>3</v>
          </cell>
        </row>
        <row r="77">
          <cell r="E77" t="str">
            <v xml:space="preserve">GALENDEZ, Reyden </v>
          </cell>
          <cell r="F77">
            <v>3</v>
          </cell>
        </row>
        <row r="78">
          <cell r="E78" t="str">
            <v>CERIO, Jenny Mae A.</v>
          </cell>
          <cell r="F78">
            <v>3</v>
          </cell>
        </row>
        <row r="79">
          <cell r="E79" t="str">
            <v>LAPINING, Sanny Boy S.</v>
          </cell>
          <cell r="F79">
            <v>3</v>
          </cell>
        </row>
        <row r="80">
          <cell r="E80" t="str">
            <v>SANCHEZ, Pablo</v>
          </cell>
          <cell r="F80">
            <v>3</v>
          </cell>
        </row>
        <row r="81">
          <cell r="E81" t="str">
            <v>GALOS, Marlon</v>
          </cell>
          <cell r="F81">
            <v>3</v>
          </cell>
        </row>
        <row r="85">
          <cell r="E85" t="str">
            <v>ELLO, Janine</v>
          </cell>
          <cell r="F85">
            <v>4</v>
          </cell>
        </row>
        <row r="86">
          <cell r="E86" t="str">
            <v>URBIZTONDO, Grace</v>
          </cell>
          <cell r="F86">
            <v>4</v>
          </cell>
        </row>
        <row r="87">
          <cell r="E87" t="str">
            <v>LAUREJAS, Eduardo Jr. A.</v>
          </cell>
          <cell r="F87">
            <v>4</v>
          </cell>
        </row>
        <row r="88">
          <cell r="E88" t="str">
            <v>ROSILLO, King Mark</v>
          </cell>
          <cell r="F88">
            <v>4</v>
          </cell>
        </row>
        <row r="89">
          <cell r="E89" t="str">
            <v>PADILLA, Chris Anthony</v>
          </cell>
          <cell r="F89">
            <v>4</v>
          </cell>
        </row>
        <row r="90">
          <cell r="E90" t="str">
            <v>SOLAR, Ricardo Jr.</v>
          </cell>
          <cell r="F90">
            <v>4</v>
          </cell>
        </row>
        <row r="91">
          <cell r="E91" t="str">
            <v>SALABE, Mando C.</v>
          </cell>
          <cell r="F91">
            <v>4</v>
          </cell>
        </row>
        <row r="92">
          <cell r="E92" t="str">
            <v>CALIMBO, Romel</v>
          </cell>
          <cell r="F92">
            <v>4</v>
          </cell>
        </row>
        <row r="93">
          <cell r="E93" t="str">
            <v>EUPEÑA. Joshua</v>
          </cell>
          <cell r="F93">
            <v>4</v>
          </cell>
        </row>
        <row r="94">
          <cell r="E94" t="str">
            <v>LAURON, Dini Daw M.</v>
          </cell>
          <cell r="F94">
            <v>4</v>
          </cell>
        </row>
        <row r="95">
          <cell r="E95" t="str">
            <v>ANIB, Karl Patrick S.</v>
          </cell>
          <cell r="F95">
            <v>4</v>
          </cell>
        </row>
        <row r="96">
          <cell r="E96" t="str">
            <v xml:space="preserve">SALON, Michael </v>
          </cell>
          <cell r="F96">
            <v>4</v>
          </cell>
        </row>
        <row r="97">
          <cell r="E97" t="str">
            <v>DELCORRO, Edgar S., Jr.</v>
          </cell>
          <cell r="F97">
            <v>4</v>
          </cell>
        </row>
        <row r="98">
          <cell r="E98" t="str">
            <v xml:space="preserve">SERAFIN, Fortunato L. Jr. </v>
          </cell>
          <cell r="F98">
            <v>4</v>
          </cell>
        </row>
        <row r="99">
          <cell r="E99" t="str">
            <v>ROZAL, DJ O.</v>
          </cell>
          <cell r="F99">
            <v>4</v>
          </cell>
        </row>
        <row r="100">
          <cell r="E100" t="str">
            <v>JORTA, Jowei C.</v>
          </cell>
          <cell r="F100">
            <v>4</v>
          </cell>
        </row>
        <row r="101">
          <cell r="E101" t="str">
            <v>NASAYAO, Dionesio</v>
          </cell>
          <cell r="F101">
            <v>4</v>
          </cell>
        </row>
        <row r="102">
          <cell r="E102" t="str">
            <v>GRAN, April Jane</v>
          </cell>
          <cell r="F102">
            <v>4</v>
          </cell>
        </row>
        <row r="103">
          <cell r="E103" t="str">
            <v>YAMIT, John Paul P.</v>
          </cell>
          <cell r="F103">
            <v>4</v>
          </cell>
        </row>
        <row r="104">
          <cell r="E104" t="str">
            <v>DECAP, Anthony</v>
          </cell>
          <cell r="F104">
            <v>4</v>
          </cell>
        </row>
        <row r="105">
          <cell r="E105" t="str">
            <v>PATINO, Hernan L.</v>
          </cell>
          <cell r="F105">
            <v>4</v>
          </cell>
        </row>
      </sheetData>
      <sheetData sheetId="2">
        <row r="6">
          <cell r="E6" t="str">
            <v>ESTOLANO, Ronnie</v>
          </cell>
          <cell r="F6">
            <v>1</v>
          </cell>
          <cell r="AI6">
            <v>1</v>
          </cell>
        </row>
        <row r="7">
          <cell r="E7" t="str">
            <v>BOSQUE, Jonry</v>
          </cell>
          <cell r="F7">
            <v>1</v>
          </cell>
        </row>
        <row r="8">
          <cell r="E8" t="str">
            <v>ORCEJOLA, Karen Mae</v>
          </cell>
          <cell r="F8">
            <v>1</v>
          </cell>
        </row>
        <row r="9">
          <cell r="E9" t="str">
            <v>PLATERO, Paul</v>
          </cell>
          <cell r="F9">
            <v>1</v>
          </cell>
        </row>
        <row r="10">
          <cell r="E10" t="str">
            <v>BAYETA, Louie</v>
          </cell>
          <cell r="F10">
            <v>1</v>
          </cell>
        </row>
        <row r="11">
          <cell r="E11" t="str">
            <v>CINCO, Richard</v>
          </cell>
          <cell r="F11">
            <v>1</v>
          </cell>
        </row>
        <row r="12">
          <cell r="E12" t="str">
            <v>BILAD, Marvin A.</v>
          </cell>
          <cell r="F12">
            <v>1</v>
          </cell>
        </row>
        <row r="13">
          <cell r="E13" t="str">
            <v>NASAYAO, Flordecante</v>
          </cell>
          <cell r="F13">
            <v>1</v>
          </cell>
        </row>
        <row r="14">
          <cell r="E14" t="str">
            <v>HILVANO, Christian Joul P.</v>
          </cell>
          <cell r="F14">
            <v>1</v>
          </cell>
        </row>
        <row r="15">
          <cell r="E15" t="str">
            <v>NUÑEZ, Reus</v>
          </cell>
          <cell r="F15">
            <v>1</v>
          </cell>
        </row>
        <row r="16">
          <cell r="E16" t="str">
            <v>JABINAL, Jewel Mae</v>
          </cell>
          <cell r="F16">
            <v>1</v>
          </cell>
        </row>
        <row r="17">
          <cell r="E17" t="str">
            <v>ELCULLADA, Junmor S.</v>
          </cell>
          <cell r="F17">
            <v>1</v>
          </cell>
        </row>
        <row r="18">
          <cell r="E18" t="str">
            <v>CAGATA, Renan A.</v>
          </cell>
          <cell r="F18">
            <v>1</v>
          </cell>
        </row>
        <row r="19">
          <cell r="E19" t="str">
            <v>CAGAMPANG, Josan C.</v>
          </cell>
          <cell r="F19">
            <v>1</v>
          </cell>
        </row>
        <row r="20">
          <cell r="E20" t="str">
            <v>JAMERO, Donald</v>
          </cell>
          <cell r="F20">
            <v>1</v>
          </cell>
        </row>
        <row r="21">
          <cell r="E21" t="str">
            <v>BANZON Jr., Nicanor R.</v>
          </cell>
          <cell r="F21">
            <v>1</v>
          </cell>
        </row>
        <row r="22">
          <cell r="E22" t="str">
            <v>ESTILLORE, Marbert</v>
          </cell>
          <cell r="F22">
            <v>1</v>
          </cell>
        </row>
        <row r="23">
          <cell r="E23" t="str">
            <v>KHO, Jansen D.</v>
          </cell>
          <cell r="F23">
            <v>1</v>
          </cell>
        </row>
        <row r="24">
          <cell r="E24" t="str">
            <v>CARACOL, Marwin</v>
          </cell>
          <cell r="F24">
            <v>1</v>
          </cell>
        </row>
        <row r="25">
          <cell r="E25" t="str">
            <v>CONSIGNA, Joel L.</v>
          </cell>
          <cell r="F25">
            <v>1</v>
          </cell>
        </row>
        <row r="26">
          <cell r="E26" t="str">
            <v>PEROL, Remart</v>
          </cell>
          <cell r="F26">
            <v>1</v>
          </cell>
        </row>
        <row r="30">
          <cell r="E30" t="str">
            <v>GERALDINO, Chuck Neko T.</v>
          </cell>
          <cell r="F30" t="str">
            <v>All</v>
          </cell>
        </row>
        <row r="31">
          <cell r="E31" t="str">
            <v xml:space="preserve">BACLAYO, Christian Cesar P. </v>
          </cell>
          <cell r="F31" t="str">
            <v>SL/DCS</v>
          </cell>
        </row>
        <row r="32">
          <cell r="E32" t="str">
            <v>DAVIS, Jaybert E.</v>
          </cell>
          <cell r="F32" t="str">
            <v>SL/DCS</v>
          </cell>
        </row>
        <row r="34">
          <cell r="E34" t="str">
            <v>NECESARIO, Christie P.</v>
          </cell>
          <cell r="F34">
            <v>2</v>
          </cell>
        </row>
        <row r="35">
          <cell r="E35" t="str">
            <v>MARATAS, Ernie Mark</v>
          </cell>
          <cell r="F35">
            <v>2</v>
          </cell>
        </row>
        <row r="36">
          <cell r="E36" t="str">
            <v>COMPASIVO, Jomar</v>
          </cell>
          <cell r="F36">
            <v>2</v>
          </cell>
        </row>
        <row r="37">
          <cell r="E37" t="str">
            <v>ROBLES, Felmir</v>
          </cell>
          <cell r="F37">
            <v>2</v>
          </cell>
        </row>
        <row r="38">
          <cell r="E38" t="str">
            <v>BAYANG, Algemero</v>
          </cell>
          <cell r="F38">
            <v>2</v>
          </cell>
        </row>
        <row r="39">
          <cell r="E39" t="str">
            <v>LUMAYNO, Junrey</v>
          </cell>
          <cell r="F39">
            <v>2</v>
          </cell>
        </row>
        <row r="40">
          <cell r="E40" t="str">
            <v>BADIANG, Luciano Jr.</v>
          </cell>
          <cell r="F40">
            <v>2</v>
          </cell>
        </row>
        <row r="41">
          <cell r="E41" t="str">
            <v>GALVEZ, Jaypoy</v>
          </cell>
          <cell r="F41">
            <v>2</v>
          </cell>
        </row>
        <row r="42">
          <cell r="E42" t="str">
            <v>GIDA, Lenie Mae R.</v>
          </cell>
          <cell r="F42">
            <v>2</v>
          </cell>
        </row>
        <row r="43">
          <cell r="E43" t="str">
            <v>WONG, Harold G.</v>
          </cell>
          <cell r="F43">
            <v>2</v>
          </cell>
        </row>
        <row r="44">
          <cell r="E44" t="str">
            <v>BALACUIT, Jonesa Queen</v>
          </cell>
          <cell r="F44">
            <v>2</v>
          </cell>
        </row>
        <row r="45">
          <cell r="E45" t="str">
            <v>ERCILLO, Marvin J.</v>
          </cell>
          <cell r="F45">
            <v>2</v>
          </cell>
        </row>
        <row r="46">
          <cell r="E46" t="str">
            <v>PRESILDA, Winston</v>
          </cell>
          <cell r="F46">
            <v>2</v>
          </cell>
        </row>
        <row r="47">
          <cell r="E47" t="str">
            <v>NASAYAO, Jesus</v>
          </cell>
          <cell r="F47">
            <v>2</v>
          </cell>
        </row>
        <row r="48">
          <cell r="E48" t="str">
            <v>BALACUIT,  Prince Joewen</v>
          </cell>
          <cell r="F48">
            <v>2</v>
          </cell>
        </row>
        <row r="49">
          <cell r="E49" t="str">
            <v>DELA PENA, Rapie S.</v>
          </cell>
          <cell r="F49">
            <v>2</v>
          </cell>
        </row>
        <row r="50">
          <cell r="E50" t="str">
            <v>BUYO, Rico Jay</v>
          </cell>
          <cell r="F50">
            <v>2</v>
          </cell>
        </row>
        <row r="51">
          <cell r="E51" t="str">
            <v>RUDIS, June Mar</v>
          </cell>
          <cell r="F51">
            <v>2</v>
          </cell>
        </row>
        <row r="52">
          <cell r="E52" t="str">
            <v>GASAPO, Alladin</v>
          </cell>
          <cell r="F52">
            <v>2</v>
          </cell>
        </row>
        <row r="53">
          <cell r="E53" t="str">
            <v>AMALIAS, Carlo</v>
          </cell>
          <cell r="F53">
            <v>2</v>
          </cell>
        </row>
        <row r="54">
          <cell r="E54" t="str">
            <v>DAGASDAS, Gregorio Jr.</v>
          </cell>
          <cell r="F54">
            <v>2</v>
          </cell>
        </row>
        <row r="57">
          <cell r="E57" t="str">
            <v>GAYAPA, Joseph Kent</v>
          </cell>
          <cell r="F57" t="str">
            <v>All</v>
          </cell>
        </row>
        <row r="58">
          <cell r="E58" t="str">
            <v xml:space="preserve">BELARMINO, Arniel </v>
          </cell>
          <cell r="F58" t="str">
            <v>All</v>
          </cell>
        </row>
        <row r="59">
          <cell r="E59" t="str">
            <v xml:space="preserve">CORBO, Peter Ramje </v>
          </cell>
          <cell r="F59" t="str">
            <v>SL/DCS</v>
          </cell>
        </row>
        <row r="60">
          <cell r="E60" t="str">
            <v>ARTAZO, Catherine Joelor C.</v>
          </cell>
          <cell r="F60" t="str">
            <v>SL/DCS</v>
          </cell>
        </row>
        <row r="62">
          <cell r="E62" t="str">
            <v>SIMBAJON, Sherman Nove B.</v>
          </cell>
          <cell r="F62">
            <v>3</v>
          </cell>
        </row>
        <row r="63">
          <cell r="E63" t="str">
            <v>MORDENO, Chelsea</v>
          </cell>
          <cell r="F63">
            <v>3</v>
          </cell>
        </row>
        <row r="64">
          <cell r="E64" t="str">
            <v>CORMINAL, Roland</v>
          </cell>
          <cell r="F64">
            <v>3</v>
          </cell>
        </row>
        <row r="65">
          <cell r="E65" t="str">
            <v>MAGLINTE, Jerryll</v>
          </cell>
          <cell r="F65">
            <v>3</v>
          </cell>
        </row>
        <row r="66">
          <cell r="E66" t="str">
            <v>MANILI, Jessie</v>
          </cell>
          <cell r="F66">
            <v>3</v>
          </cell>
        </row>
        <row r="67">
          <cell r="E67" t="str">
            <v>CATONG, Abel</v>
          </cell>
          <cell r="F67">
            <v>3</v>
          </cell>
        </row>
        <row r="68">
          <cell r="E68" t="str">
            <v xml:space="preserve">SAMONTINA, Michael Jhun </v>
          </cell>
          <cell r="F68">
            <v>3</v>
          </cell>
        </row>
        <row r="69">
          <cell r="E69" t="str">
            <v xml:space="preserve">DEGOLTO, Joel </v>
          </cell>
          <cell r="F69">
            <v>3</v>
          </cell>
        </row>
        <row r="70">
          <cell r="E70" t="str">
            <v>TAYOR,  Rocar John Paul P.</v>
          </cell>
          <cell r="F70">
            <v>3</v>
          </cell>
        </row>
        <row r="71">
          <cell r="E71" t="str">
            <v>CAMINO, Jyzl E.</v>
          </cell>
          <cell r="F71">
            <v>3</v>
          </cell>
        </row>
        <row r="72">
          <cell r="E72" t="str">
            <v>COCAMAS, Louie R</v>
          </cell>
          <cell r="F72">
            <v>3</v>
          </cell>
        </row>
        <row r="73">
          <cell r="E73" t="str">
            <v>NECESARIO, Nhergil</v>
          </cell>
          <cell r="F73">
            <v>3</v>
          </cell>
        </row>
        <row r="74">
          <cell r="E74" t="str">
            <v>OCON, Jonathan P.</v>
          </cell>
          <cell r="F74">
            <v>3</v>
          </cell>
        </row>
        <row r="75">
          <cell r="E75" t="str">
            <v>DOCOR, Romeo</v>
          </cell>
          <cell r="F75">
            <v>3</v>
          </cell>
        </row>
        <row r="76">
          <cell r="E76" t="str">
            <v>VALLEJOS, Ronelo</v>
          </cell>
          <cell r="F76">
            <v>3</v>
          </cell>
        </row>
        <row r="77">
          <cell r="E77" t="str">
            <v xml:space="preserve">GALENDEZ, Reyden </v>
          </cell>
          <cell r="F77">
            <v>3</v>
          </cell>
        </row>
        <row r="78">
          <cell r="E78" t="str">
            <v>CERIO, Jenny Mae A.</v>
          </cell>
          <cell r="F78">
            <v>3</v>
          </cell>
        </row>
        <row r="79">
          <cell r="E79" t="str">
            <v>LAPINING, Sanny Boy S.</v>
          </cell>
          <cell r="F79">
            <v>3</v>
          </cell>
        </row>
        <row r="80">
          <cell r="E80" t="str">
            <v>SANCHEZ, Pablo</v>
          </cell>
          <cell r="F80">
            <v>3</v>
          </cell>
        </row>
        <row r="81">
          <cell r="E81" t="str">
            <v>GALOS, Marlon</v>
          </cell>
          <cell r="F81">
            <v>3</v>
          </cell>
        </row>
        <row r="85">
          <cell r="E85" t="str">
            <v>ELLO, Janine</v>
          </cell>
          <cell r="F85">
            <v>4</v>
          </cell>
        </row>
        <row r="86">
          <cell r="E86" t="str">
            <v>URBIZTONDO, Grace</v>
          </cell>
          <cell r="F86">
            <v>4</v>
          </cell>
        </row>
        <row r="87">
          <cell r="E87" t="str">
            <v>LAUREJAS, Eduardo Jr. A.</v>
          </cell>
          <cell r="F87">
            <v>4</v>
          </cell>
        </row>
        <row r="88">
          <cell r="E88" t="str">
            <v>ROSILLO, King Mark</v>
          </cell>
          <cell r="F88">
            <v>4</v>
          </cell>
        </row>
        <row r="89">
          <cell r="E89" t="str">
            <v>PADILLA, Chris Anthony</v>
          </cell>
          <cell r="F89">
            <v>4</v>
          </cell>
        </row>
        <row r="90">
          <cell r="E90" t="str">
            <v>SOLAR, Ricardo Jr.</v>
          </cell>
          <cell r="F90">
            <v>4</v>
          </cell>
        </row>
        <row r="91">
          <cell r="E91" t="str">
            <v>SALABE, Mando C.</v>
          </cell>
          <cell r="F91">
            <v>4</v>
          </cell>
        </row>
        <row r="92">
          <cell r="E92" t="str">
            <v>CALIMBO, Romel</v>
          </cell>
          <cell r="F92">
            <v>4</v>
          </cell>
        </row>
        <row r="93">
          <cell r="E93" t="str">
            <v>EUPEÑA. Joshua</v>
          </cell>
          <cell r="F93">
            <v>4</v>
          </cell>
        </row>
        <row r="94">
          <cell r="E94" t="str">
            <v>LAURON, Dini Daw M.</v>
          </cell>
          <cell r="F94">
            <v>4</v>
          </cell>
        </row>
        <row r="95">
          <cell r="E95" t="str">
            <v>ANIB, Karl Patrick S.</v>
          </cell>
          <cell r="F95">
            <v>4</v>
          </cell>
        </row>
        <row r="96">
          <cell r="E96" t="str">
            <v xml:space="preserve">SALON, Michael </v>
          </cell>
          <cell r="F96">
            <v>4</v>
          </cell>
        </row>
        <row r="97">
          <cell r="E97" t="str">
            <v>DELCORRO, Edgar S., Jr.</v>
          </cell>
          <cell r="F97">
            <v>4</v>
          </cell>
        </row>
        <row r="98">
          <cell r="E98" t="str">
            <v xml:space="preserve">SERAFIN, Fortunato L. Jr. </v>
          </cell>
          <cell r="F98">
            <v>4</v>
          </cell>
        </row>
        <row r="99">
          <cell r="E99" t="str">
            <v>ROZAL, DJ O.</v>
          </cell>
          <cell r="F99">
            <v>4</v>
          </cell>
        </row>
        <row r="100">
          <cell r="E100" t="str">
            <v>JORTA, Jowei C.</v>
          </cell>
          <cell r="F100">
            <v>4</v>
          </cell>
        </row>
        <row r="101">
          <cell r="E101" t="str">
            <v>NASAYAO, Dionesio</v>
          </cell>
          <cell r="F101">
            <v>4</v>
          </cell>
        </row>
        <row r="102">
          <cell r="E102" t="str">
            <v>GRAN, April Jane</v>
          </cell>
          <cell r="F102">
            <v>4</v>
          </cell>
        </row>
        <row r="103">
          <cell r="E103" t="str">
            <v>YAMIT, John Paul P.</v>
          </cell>
          <cell r="F103">
            <v>4</v>
          </cell>
        </row>
        <row r="104">
          <cell r="E104" t="str">
            <v>DECAP, Anthony</v>
          </cell>
          <cell r="F104">
            <v>4</v>
          </cell>
        </row>
        <row r="105">
          <cell r="E105" t="str">
            <v>PATINO, Hernan L.</v>
          </cell>
          <cell r="F105">
            <v>4</v>
          </cell>
        </row>
      </sheetData>
      <sheetData sheetId="3">
        <row r="6">
          <cell r="E6" t="str">
            <v>ESTOLANO, Ronnie</v>
          </cell>
          <cell r="F6">
            <v>1</v>
          </cell>
          <cell r="G6">
            <v>3</v>
          </cell>
          <cell r="H6">
            <v>3</v>
          </cell>
          <cell r="I6" t="str">
            <v>VL</v>
          </cell>
          <cell r="J6" t="str">
            <v>RD</v>
          </cell>
          <cell r="K6">
            <v>4</v>
          </cell>
          <cell r="L6">
            <v>4</v>
          </cell>
          <cell r="M6">
            <v>4</v>
          </cell>
          <cell r="N6" t="str">
            <v>L</v>
          </cell>
          <cell r="O6">
            <v>4</v>
          </cell>
          <cell r="P6">
            <v>5</v>
          </cell>
          <cell r="Q6" t="str">
            <v>RD</v>
          </cell>
          <cell r="R6">
            <v>5</v>
          </cell>
          <cell r="S6">
            <v>5</v>
          </cell>
          <cell r="T6">
            <v>5</v>
          </cell>
          <cell r="U6" t="str">
            <v>RD</v>
          </cell>
          <cell r="V6">
            <v>5</v>
          </cell>
          <cell r="W6">
            <v>5</v>
          </cell>
          <cell r="X6">
            <v>0</v>
          </cell>
          <cell r="Y6">
            <v>5</v>
          </cell>
          <cell r="Z6" t="str">
            <v>RD</v>
          </cell>
          <cell r="AA6">
            <v>5</v>
          </cell>
          <cell r="AB6">
            <v>5</v>
          </cell>
          <cell r="AC6">
            <v>0</v>
          </cell>
          <cell r="AD6">
            <v>0</v>
          </cell>
          <cell r="AE6" t="str">
            <v>RD</v>
          </cell>
          <cell r="AF6">
            <v>5</v>
          </cell>
          <cell r="AG6">
            <v>5</v>
          </cell>
          <cell r="AH6">
            <v>5</v>
          </cell>
          <cell r="AI6">
            <v>5</v>
          </cell>
          <cell r="AK6" t="str">
            <v>RD</v>
          </cell>
          <cell r="AL6">
            <v>0.88971291866028701</v>
          </cell>
          <cell r="AM6">
            <v>0.9</v>
          </cell>
          <cell r="AN6">
            <v>0.87621858138350439</v>
          </cell>
          <cell r="AO6">
            <v>0.96276465185835391</v>
          </cell>
          <cell r="AP6">
            <v>0.91949161662092915</v>
          </cell>
          <cell r="AQ6">
            <v>22</v>
          </cell>
        </row>
        <row r="7">
          <cell r="E7" t="str">
            <v>BOSQUE, Jonry</v>
          </cell>
          <cell r="F7">
            <v>1</v>
          </cell>
          <cell r="G7">
            <v>3</v>
          </cell>
          <cell r="H7">
            <v>3</v>
          </cell>
          <cell r="I7">
            <v>3</v>
          </cell>
          <cell r="J7" t="str">
            <v>RD</v>
          </cell>
          <cell r="K7">
            <v>3</v>
          </cell>
          <cell r="L7">
            <v>3</v>
          </cell>
          <cell r="M7">
            <v>3</v>
          </cell>
          <cell r="N7">
            <v>3</v>
          </cell>
          <cell r="O7">
            <v>3</v>
          </cell>
          <cell r="P7">
            <v>3</v>
          </cell>
          <cell r="Q7" t="str">
            <v>RD</v>
          </cell>
          <cell r="R7">
            <v>3</v>
          </cell>
          <cell r="S7">
            <v>3</v>
          </cell>
          <cell r="T7">
            <v>3</v>
          </cell>
          <cell r="U7" t="str">
            <v>RD</v>
          </cell>
          <cell r="V7">
            <v>3</v>
          </cell>
          <cell r="W7">
            <v>3</v>
          </cell>
          <cell r="X7">
            <v>5</v>
          </cell>
          <cell r="Y7">
            <v>5</v>
          </cell>
          <cell r="Z7" t="str">
            <v>RD</v>
          </cell>
          <cell r="AA7">
            <v>5</v>
          </cell>
          <cell r="AB7">
            <v>5</v>
          </cell>
          <cell r="AC7">
            <v>5</v>
          </cell>
          <cell r="AD7">
            <v>3</v>
          </cell>
          <cell r="AE7" t="str">
            <v>RD</v>
          </cell>
          <cell r="AH7">
            <v>0</v>
          </cell>
          <cell r="AI7">
            <v>0</v>
          </cell>
          <cell r="AK7" t="str">
            <v>RD</v>
          </cell>
          <cell r="AL7">
            <v>0.80454545454545445</v>
          </cell>
          <cell r="AM7">
            <v>0.9285714285714286</v>
          </cell>
          <cell r="AQ7">
            <v>22</v>
          </cell>
        </row>
        <row r="8">
          <cell r="E8" t="str">
            <v>ORCEJOLA, Karen Mae</v>
          </cell>
          <cell r="F8">
            <v>1</v>
          </cell>
          <cell r="G8">
            <v>5</v>
          </cell>
          <cell r="H8">
            <v>5</v>
          </cell>
          <cell r="I8">
            <v>5</v>
          </cell>
          <cell r="J8" t="str">
            <v>RD</v>
          </cell>
          <cell r="K8">
            <v>4</v>
          </cell>
          <cell r="L8">
            <v>4</v>
          </cell>
          <cell r="M8">
            <v>0</v>
          </cell>
          <cell r="N8" t="str">
            <v>RD</v>
          </cell>
          <cell r="O8" t="str">
            <v>RD</v>
          </cell>
          <cell r="Z8" t="str">
            <v xml:space="preserve"> </v>
          </cell>
          <cell r="AL8">
            <v>0.87666666666666671</v>
          </cell>
          <cell r="AM8">
            <v>0.9</v>
          </cell>
          <cell r="AQ8">
            <v>6</v>
          </cell>
        </row>
        <row r="9">
          <cell r="E9" t="str">
            <v>PLATERO, Paul</v>
          </cell>
          <cell r="F9">
            <v>1</v>
          </cell>
          <cell r="G9">
            <v>3</v>
          </cell>
          <cell r="H9">
            <v>3</v>
          </cell>
          <cell r="I9">
            <v>3</v>
          </cell>
          <cell r="J9" t="str">
            <v>RD</v>
          </cell>
          <cell r="K9">
            <v>4</v>
          </cell>
          <cell r="L9">
            <v>4</v>
          </cell>
          <cell r="M9">
            <v>4</v>
          </cell>
          <cell r="N9">
            <v>4</v>
          </cell>
          <cell r="O9">
            <v>5</v>
          </cell>
          <cell r="P9">
            <v>5</v>
          </cell>
          <cell r="Q9" t="str">
            <v>RD</v>
          </cell>
          <cell r="R9">
            <v>5</v>
          </cell>
          <cell r="S9">
            <v>5</v>
          </cell>
          <cell r="T9">
            <v>5</v>
          </cell>
          <cell r="U9" t="str">
            <v>RD</v>
          </cell>
          <cell r="V9">
            <v>5</v>
          </cell>
          <cell r="W9">
            <v>5</v>
          </cell>
          <cell r="X9">
            <v>5</v>
          </cell>
          <cell r="Y9">
            <v>4</v>
          </cell>
          <cell r="Z9" t="str">
            <v>RD</v>
          </cell>
          <cell r="AA9">
            <v>5</v>
          </cell>
          <cell r="AB9">
            <v>5</v>
          </cell>
          <cell r="AC9">
            <v>5</v>
          </cell>
          <cell r="AD9">
            <v>5</v>
          </cell>
          <cell r="AE9" t="str">
            <v>RD</v>
          </cell>
          <cell r="AF9">
            <v>0</v>
          </cell>
          <cell r="AG9">
            <v>0</v>
          </cell>
          <cell r="AH9">
            <v>5</v>
          </cell>
          <cell r="AI9">
            <v>5</v>
          </cell>
          <cell r="AJ9">
            <v>5</v>
          </cell>
          <cell r="AK9" t="str">
            <v>RD</v>
          </cell>
          <cell r="AL9">
            <v>0.91217391304347828</v>
          </cell>
          <cell r="AM9">
            <v>0.93548387096774188</v>
          </cell>
          <cell r="AQ9">
            <v>25</v>
          </cell>
        </row>
        <row r="10">
          <cell r="E10" t="str">
            <v>BAYETA, Louie</v>
          </cell>
          <cell r="F10">
            <v>1</v>
          </cell>
          <cell r="G10">
            <v>3</v>
          </cell>
          <cell r="H10">
            <v>3</v>
          </cell>
          <cell r="I10">
            <v>3</v>
          </cell>
          <cell r="J10" t="str">
            <v>RD</v>
          </cell>
          <cell r="K10">
            <v>3</v>
          </cell>
          <cell r="L10">
            <v>3</v>
          </cell>
          <cell r="M10">
            <v>3</v>
          </cell>
          <cell r="N10">
            <v>3</v>
          </cell>
          <cell r="O10" t="str">
            <v>L</v>
          </cell>
          <cell r="P10">
            <v>0</v>
          </cell>
          <cell r="Q10" t="str">
            <v>RD</v>
          </cell>
          <cell r="R10">
            <v>3</v>
          </cell>
          <cell r="S10">
            <v>3</v>
          </cell>
          <cell r="T10">
            <v>3</v>
          </cell>
          <cell r="U10" t="str">
            <v>RD</v>
          </cell>
          <cell r="V10">
            <v>3</v>
          </cell>
          <cell r="W10">
            <v>3</v>
          </cell>
          <cell r="X10">
            <v>5</v>
          </cell>
          <cell r="Y10">
            <v>5</v>
          </cell>
          <cell r="Z10" t="str">
            <v>RD</v>
          </cell>
          <cell r="AA10" t="str">
            <v>EL</v>
          </cell>
          <cell r="AB10">
            <v>5</v>
          </cell>
          <cell r="AC10">
            <v>5</v>
          </cell>
          <cell r="AD10">
            <v>5</v>
          </cell>
          <cell r="AE10" t="str">
            <v>RD</v>
          </cell>
          <cell r="AF10">
            <v>5</v>
          </cell>
          <cell r="AG10" t="str">
            <v>L</v>
          </cell>
          <cell r="AH10" t="str">
            <v>L</v>
          </cell>
          <cell r="AI10" t="str">
            <v>L</v>
          </cell>
          <cell r="AJ10">
            <v>5</v>
          </cell>
          <cell r="AK10" t="str">
            <v>RD</v>
          </cell>
          <cell r="AL10">
            <v>0.84868421052631571</v>
          </cell>
          <cell r="AM10">
            <v>0.967741935483871</v>
          </cell>
          <cell r="AQ10">
            <v>20</v>
          </cell>
        </row>
        <row r="11">
          <cell r="E11" t="str">
            <v>CINCO, Richard</v>
          </cell>
          <cell r="F11">
            <v>1</v>
          </cell>
          <cell r="G11">
            <v>2</v>
          </cell>
          <cell r="H11">
            <v>2</v>
          </cell>
          <cell r="I11">
            <v>2</v>
          </cell>
          <cell r="J11" t="str">
            <v>RD</v>
          </cell>
          <cell r="K11" t="str">
            <v>L</v>
          </cell>
          <cell r="L11">
            <v>3</v>
          </cell>
          <cell r="M11">
            <v>3</v>
          </cell>
          <cell r="N11">
            <v>3</v>
          </cell>
          <cell r="O11">
            <v>5</v>
          </cell>
          <cell r="P11">
            <v>3</v>
          </cell>
          <cell r="Q11" t="str">
            <v>RD</v>
          </cell>
          <cell r="R11">
            <v>4</v>
          </cell>
          <cell r="S11">
            <v>4</v>
          </cell>
          <cell r="T11">
            <v>4</v>
          </cell>
          <cell r="U11" t="str">
            <v>RD</v>
          </cell>
          <cell r="V11">
            <v>4</v>
          </cell>
          <cell r="W11">
            <v>4</v>
          </cell>
          <cell r="X11">
            <v>5</v>
          </cell>
          <cell r="Y11">
            <v>5</v>
          </cell>
          <cell r="Z11" t="str">
            <v>RD</v>
          </cell>
          <cell r="AA11">
            <v>5</v>
          </cell>
          <cell r="AB11">
            <v>5</v>
          </cell>
          <cell r="AC11">
            <v>5</v>
          </cell>
          <cell r="AD11">
            <v>5</v>
          </cell>
          <cell r="AE11" t="str">
            <v>RD</v>
          </cell>
          <cell r="AF11">
            <v>5</v>
          </cell>
          <cell r="AG11">
            <v>5</v>
          </cell>
          <cell r="AH11">
            <v>5</v>
          </cell>
          <cell r="AI11" t="str">
            <v>L</v>
          </cell>
          <cell r="AK11" t="str">
            <v>RD</v>
          </cell>
          <cell r="AL11">
            <v>0.9</v>
          </cell>
          <cell r="AM11">
            <v>1</v>
          </cell>
          <cell r="AQ11">
            <v>22</v>
          </cell>
        </row>
        <row r="12">
          <cell r="E12" t="str">
            <v>BILAD, Marvin A.</v>
          </cell>
          <cell r="F12">
            <v>1</v>
          </cell>
          <cell r="G12" t="str">
            <v>L</v>
          </cell>
          <cell r="H12" t="str">
            <v>L</v>
          </cell>
          <cell r="I12">
            <v>3</v>
          </cell>
          <cell r="J12" t="str">
            <v>RD</v>
          </cell>
          <cell r="K12" t="str">
            <v>EL</v>
          </cell>
          <cell r="L12" t="str">
            <v>L</v>
          </cell>
          <cell r="M12" t="str">
            <v>L</v>
          </cell>
          <cell r="N12" t="str">
            <v>L</v>
          </cell>
          <cell r="O12">
            <v>5</v>
          </cell>
          <cell r="P12">
            <v>4</v>
          </cell>
          <cell r="Q12" t="str">
            <v>RD</v>
          </cell>
          <cell r="R12">
            <v>5</v>
          </cell>
          <cell r="S12">
            <v>5</v>
          </cell>
          <cell r="T12">
            <v>5</v>
          </cell>
          <cell r="U12" t="str">
            <v>RD</v>
          </cell>
          <cell r="V12">
            <v>5</v>
          </cell>
          <cell r="W12" t="str">
            <v>SL</v>
          </cell>
          <cell r="X12" t="str">
            <v>SL</v>
          </cell>
          <cell r="Y12" t="str">
            <v>SL</v>
          </cell>
          <cell r="Z12" t="str">
            <v>RD</v>
          </cell>
          <cell r="AA12" t="str">
            <v>SL</v>
          </cell>
          <cell r="AB12" t="str">
            <v>SL</v>
          </cell>
          <cell r="AC12" t="str">
            <v>SL</v>
          </cell>
          <cell r="AD12" t="str">
            <v>SL</v>
          </cell>
          <cell r="AE12" t="str">
            <v>RD</v>
          </cell>
          <cell r="AF12">
            <v>5</v>
          </cell>
          <cell r="AG12">
            <v>5</v>
          </cell>
          <cell r="AH12">
            <v>4</v>
          </cell>
          <cell r="AI12">
            <v>4</v>
          </cell>
          <cell r="AJ12">
            <v>5</v>
          </cell>
          <cell r="AK12" t="str">
            <v>RD</v>
          </cell>
          <cell r="AL12">
            <v>0.95833333333333326</v>
          </cell>
          <cell r="AM12">
            <v>1</v>
          </cell>
          <cell r="AQ12">
            <v>12</v>
          </cell>
        </row>
        <row r="13">
          <cell r="E13" t="str">
            <v>NASAYAO, Flordecante</v>
          </cell>
          <cell r="F13">
            <v>1</v>
          </cell>
          <cell r="G13" t="str">
            <v>L</v>
          </cell>
          <cell r="H13">
            <v>3</v>
          </cell>
          <cell r="I13">
            <v>3</v>
          </cell>
          <cell r="J13" t="str">
            <v>RD</v>
          </cell>
          <cell r="K13">
            <v>3</v>
          </cell>
          <cell r="L13">
            <v>0</v>
          </cell>
          <cell r="M13">
            <v>3</v>
          </cell>
          <cell r="N13">
            <v>3</v>
          </cell>
          <cell r="O13" t="str">
            <v>L</v>
          </cell>
          <cell r="P13">
            <v>3</v>
          </cell>
          <cell r="Q13" t="str">
            <v>RD</v>
          </cell>
          <cell r="R13">
            <v>4</v>
          </cell>
          <cell r="S13">
            <v>4</v>
          </cell>
          <cell r="T13">
            <v>4</v>
          </cell>
          <cell r="U13" t="str">
            <v>RD</v>
          </cell>
          <cell r="V13">
            <v>4</v>
          </cell>
          <cell r="W13">
            <v>4</v>
          </cell>
          <cell r="X13">
            <v>4</v>
          </cell>
          <cell r="Y13">
            <v>4</v>
          </cell>
          <cell r="Z13" t="str">
            <v>RD</v>
          </cell>
          <cell r="AA13">
            <v>5</v>
          </cell>
          <cell r="AB13">
            <v>4</v>
          </cell>
          <cell r="AC13">
            <v>5</v>
          </cell>
          <cell r="AD13">
            <v>4</v>
          </cell>
          <cell r="AE13" t="str">
            <v>RD</v>
          </cell>
          <cell r="AF13">
            <v>4</v>
          </cell>
          <cell r="AG13">
            <v>4</v>
          </cell>
          <cell r="AH13">
            <v>3</v>
          </cell>
          <cell r="AI13">
            <v>4</v>
          </cell>
          <cell r="AJ13">
            <v>4</v>
          </cell>
          <cell r="AK13" t="str">
            <v>RD</v>
          </cell>
          <cell r="AL13">
            <v>0.85553359683794472</v>
          </cell>
          <cell r="AM13">
            <v>0.967741935483871</v>
          </cell>
          <cell r="AQ13">
            <v>23</v>
          </cell>
        </row>
        <row r="14">
          <cell r="E14" t="str">
            <v>HILVANO, Christian Joul P.</v>
          </cell>
          <cell r="F14">
            <v>1</v>
          </cell>
          <cell r="G14">
            <v>2</v>
          </cell>
          <cell r="H14">
            <v>2</v>
          </cell>
          <cell r="I14">
            <v>2</v>
          </cell>
          <cell r="J14" t="str">
            <v>RD</v>
          </cell>
          <cell r="K14">
            <v>3</v>
          </cell>
          <cell r="L14">
            <v>3</v>
          </cell>
          <cell r="M14">
            <v>3</v>
          </cell>
          <cell r="N14">
            <v>3</v>
          </cell>
          <cell r="O14">
            <v>3</v>
          </cell>
          <cell r="P14" t="str">
            <v>L</v>
          </cell>
          <cell r="Q14" t="str">
            <v>RD</v>
          </cell>
          <cell r="R14" t="str">
            <v>SL</v>
          </cell>
          <cell r="S14">
            <v>3</v>
          </cell>
          <cell r="T14">
            <v>3</v>
          </cell>
          <cell r="U14" t="str">
            <v>RD</v>
          </cell>
          <cell r="V14">
            <v>4</v>
          </cell>
          <cell r="W14">
            <v>4</v>
          </cell>
          <cell r="X14">
            <v>4</v>
          </cell>
          <cell r="Y14">
            <v>4</v>
          </cell>
          <cell r="Z14" t="str">
            <v>RD</v>
          </cell>
          <cell r="AA14">
            <v>4</v>
          </cell>
          <cell r="AB14">
            <v>4</v>
          </cell>
          <cell r="AC14">
            <v>4</v>
          </cell>
          <cell r="AD14">
            <v>4</v>
          </cell>
          <cell r="AE14" t="str">
            <v>RD</v>
          </cell>
          <cell r="AH14" t="str">
            <v>L</v>
          </cell>
          <cell r="AI14" t="str">
            <v>L</v>
          </cell>
          <cell r="AK14" t="str">
            <v>RD</v>
          </cell>
          <cell r="AL14">
            <v>0.82777777777777772</v>
          </cell>
          <cell r="AM14">
            <v>1</v>
          </cell>
          <cell r="AQ14">
            <v>18</v>
          </cell>
        </row>
        <row r="15">
          <cell r="E15" t="str">
            <v>NUÑEZ, Reus</v>
          </cell>
          <cell r="F15">
            <v>1</v>
          </cell>
          <cell r="G15">
            <v>4</v>
          </cell>
          <cell r="H15">
            <v>3</v>
          </cell>
          <cell r="I15">
            <v>4</v>
          </cell>
          <cell r="J15" t="str">
            <v>RD</v>
          </cell>
          <cell r="K15">
            <v>5</v>
          </cell>
          <cell r="L15">
            <v>5</v>
          </cell>
          <cell r="M15">
            <v>5</v>
          </cell>
          <cell r="N15">
            <v>5</v>
          </cell>
          <cell r="O15">
            <v>5</v>
          </cell>
          <cell r="P15">
            <v>5</v>
          </cell>
          <cell r="Q15" t="str">
            <v>RD</v>
          </cell>
          <cell r="R15">
            <v>5</v>
          </cell>
          <cell r="S15">
            <v>5</v>
          </cell>
          <cell r="T15">
            <v>5</v>
          </cell>
          <cell r="U15" t="str">
            <v>RD</v>
          </cell>
          <cell r="V15">
            <v>5</v>
          </cell>
          <cell r="W15">
            <v>5</v>
          </cell>
          <cell r="X15">
            <v>5</v>
          </cell>
          <cell r="Y15">
            <v>5</v>
          </cell>
          <cell r="Z15" t="str">
            <v>RD</v>
          </cell>
          <cell r="AA15">
            <v>5</v>
          </cell>
          <cell r="AB15">
            <v>5</v>
          </cell>
          <cell r="AC15">
            <v>5</v>
          </cell>
          <cell r="AD15">
            <v>5</v>
          </cell>
          <cell r="AE15" t="str">
            <v>RD</v>
          </cell>
          <cell r="AF15">
            <v>5</v>
          </cell>
          <cell r="AG15">
            <v>5</v>
          </cell>
          <cell r="AH15">
            <v>2</v>
          </cell>
          <cell r="AI15">
            <v>5</v>
          </cell>
          <cell r="AK15" t="str">
            <v>RD</v>
          </cell>
          <cell r="AL15">
            <v>0.97083333333333333</v>
          </cell>
          <cell r="AM15">
            <v>1</v>
          </cell>
          <cell r="AQ15">
            <v>24</v>
          </cell>
        </row>
        <row r="16">
          <cell r="E16" t="str">
            <v>JABINAL, Jewel Mae</v>
          </cell>
          <cell r="F16">
            <v>1</v>
          </cell>
          <cell r="G16" t="str">
            <v>SL</v>
          </cell>
          <cell r="H16" t="str">
            <v>SL</v>
          </cell>
          <cell r="I16" t="str">
            <v>SL</v>
          </cell>
          <cell r="J16" t="str">
            <v>RD</v>
          </cell>
          <cell r="K16">
            <v>4</v>
          </cell>
          <cell r="L16">
            <v>4</v>
          </cell>
          <cell r="M16">
            <v>3</v>
          </cell>
          <cell r="N16">
            <v>4</v>
          </cell>
          <cell r="O16">
            <v>3</v>
          </cell>
          <cell r="P16">
            <v>5</v>
          </cell>
          <cell r="Q16" t="str">
            <v>RD</v>
          </cell>
          <cell r="R16">
            <v>5</v>
          </cell>
          <cell r="S16">
            <v>5</v>
          </cell>
          <cell r="T16">
            <v>5</v>
          </cell>
          <cell r="U16" t="str">
            <v>RD</v>
          </cell>
          <cell r="V16">
            <v>5</v>
          </cell>
          <cell r="W16">
            <v>5</v>
          </cell>
          <cell r="X16">
            <v>5</v>
          </cell>
          <cell r="Y16">
            <v>5</v>
          </cell>
          <cell r="Z16" t="str">
            <v>RD</v>
          </cell>
          <cell r="AA16">
            <v>5</v>
          </cell>
          <cell r="AB16">
            <v>5</v>
          </cell>
          <cell r="AC16">
            <v>5</v>
          </cell>
          <cell r="AD16">
            <v>5</v>
          </cell>
          <cell r="AE16" t="str">
            <v>RD</v>
          </cell>
          <cell r="AF16">
            <v>5</v>
          </cell>
          <cell r="AG16">
            <v>5</v>
          </cell>
          <cell r="AH16">
            <v>5</v>
          </cell>
          <cell r="AI16">
            <v>5</v>
          </cell>
          <cell r="AK16" t="str">
            <v>RD</v>
          </cell>
          <cell r="AL16">
            <v>0.96666666666666667</v>
          </cell>
          <cell r="AM16">
            <v>1</v>
          </cell>
          <cell r="AQ16">
            <v>21</v>
          </cell>
        </row>
        <row r="17">
          <cell r="E17" t="str">
            <v>ELCULLADA, Junmor S.</v>
          </cell>
          <cell r="F17">
            <v>1</v>
          </cell>
          <cell r="G17">
            <v>3</v>
          </cell>
          <cell r="H17">
            <v>3</v>
          </cell>
          <cell r="I17">
            <v>3</v>
          </cell>
          <cell r="J17" t="str">
            <v>RD</v>
          </cell>
          <cell r="K17">
            <v>3</v>
          </cell>
          <cell r="L17">
            <v>3</v>
          </cell>
          <cell r="M17">
            <v>3</v>
          </cell>
          <cell r="N17">
            <v>3</v>
          </cell>
          <cell r="O17">
            <v>3</v>
          </cell>
          <cell r="P17" t="str">
            <v>EL</v>
          </cell>
          <cell r="Q17" t="str">
            <v>RD</v>
          </cell>
          <cell r="R17">
            <v>4</v>
          </cell>
          <cell r="S17">
            <v>5</v>
          </cell>
          <cell r="T17">
            <v>5</v>
          </cell>
          <cell r="U17" t="str">
            <v>RD</v>
          </cell>
          <cell r="V17">
            <v>4</v>
          </cell>
          <cell r="W17">
            <v>4</v>
          </cell>
          <cell r="X17">
            <v>4</v>
          </cell>
          <cell r="Y17">
            <v>4</v>
          </cell>
          <cell r="Z17" t="str">
            <v>RD</v>
          </cell>
          <cell r="AA17" t="str">
            <v>L</v>
          </cell>
          <cell r="AB17">
            <v>4</v>
          </cell>
          <cell r="AC17">
            <v>4</v>
          </cell>
          <cell r="AD17">
            <v>4</v>
          </cell>
          <cell r="AE17" t="str">
            <v>RD</v>
          </cell>
          <cell r="AF17" t="str">
            <v>L</v>
          </cell>
          <cell r="AG17" t="str">
            <v>L</v>
          </cell>
          <cell r="AH17">
            <v>0</v>
          </cell>
          <cell r="AI17">
            <v>0</v>
          </cell>
          <cell r="AK17" t="str">
            <v>RD</v>
          </cell>
          <cell r="AL17">
            <v>0.81666666666666665</v>
          </cell>
          <cell r="AM17">
            <v>0.93333333333333335</v>
          </cell>
          <cell r="AQ17">
            <v>20</v>
          </cell>
        </row>
        <row r="18">
          <cell r="E18" t="str">
            <v>CAGATA, Renan A.</v>
          </cell>
          <cell r="F18">
            <v>1</v>
          </cell>
          <cell r="G18">
            <v>0</v>
          </cell>
          <cell r="H18">
            <v>3</v>
          </cell>
          <cell r="I18">
            <v>3</v>
          </cell>
          <cell r="J18" t="str">
            <v>RD</v>
          </cell>
          <cell r="K18">
            <v>5</v>
          </cell>
          <cell r="L18">
            <v>4</v>
          </cell>
          <cell r="M18">
            <v>4</v>
          </cell>
          <cell r="N18">
            <v>4</v>
          </cell>
          <cell r="O18">
            <v>5</v>
          </cell>
          <cell r="P18">
            <v>5</v>
          </cell>
          <cell r="Q18" t="str">
            <v>RD</v>
          </cell>
          <cell r="R18">
            <v>5</v>
          </cell>
          <cell r="S18">
            <v>5</v>
          </cell>
          <cell r="T18">
            <v>5</v>
          </cell>
          <cell r="U18" t="str">
            <v>RD</v>
          </cell>
          <cell r="V18">
            <v>5</v>
          </cell>
          <cell r="W18">
            <v>5</v>
          </cell>
          <cell r="X18">
            <v>5</v>
          </cell>
          <cell r="Y18">
            <v>5</v>
          </cell>
          <cell r="Z18" t="str">
            <v>RD</v>
          </cell>
          <cell r="AA18">
            <v>5</v>
          </cell>
          <cell r="AB18">
            <v>5</v>
          </cell>
          <cell r="AC18">
            <v>5</v>
          </cell>
          <cell r="AD18">
            <v>5</v>
          </cell>
          <cell r="AE18" t="str">
            <v>RD</v>
          </cell>
          <cell r="AF18">
            <v>5</v>
          </cell>
          <cell r="AG18" t="str">
            <v>L</v>
          </cell>
          <cell r="AH18" t="str">
            <v>L</v>
          </cell>
          <cell r="AI18" t="str">
            <v>L</v>
          </cell>
          <cell r="AK18" t="str">
            <v>RD</v>
          </cell>
          <cell r="AL18">
            <v>0.94119047619047613</v>
          </cell>
          <cell r="AM18">
            <v>0.96666666666666667</v>
          </cell>
          <cell r="AQ18">
            <v>21</v>
          </cell>
        </row>
        <row r="19">
          <cell r="E19" t="str">
            <v>CAGAMPANG, Josan C.</v>
          </cell>
          <cell r="F19">
            <v>1</v>
          </cell>
          <cell r="G19">
            <v>1</v>
          </cell>
          <cell r="H19">
            <v>1</v>
          </cell>
          <cell r="I19">
            <v>1</v>
          </cell>
          <cell r="J19" t="str">
            <v>RD</v>
          </cell>
          <cell r="K19">
            <v>1</v>
          </cell>
          <cell r="L19">
            <v>2</v>
          </cell>
          <cell r="M19">
            <v>2</v>
          </cell>
          <cell r="N19" t="str">
            <v>L</v>
          </cell>
          <cell r="O19" t="str">
            <v>L</v>
          </cell>
          <cell r="P19" t="str">
            <v>L</v>
          </cell>
          <cell r="Q19" t="str">
            <v>RD</v>
          </cell>
          <cell r="R19">
            <v>2</v>
          </cell>
          <cell r="S19">
            <v>2</v>
          </cell>
          <cell r="T19">
            <v>3</v>
          </cell>
          <cell r="U19" t="str">
            <v>RD</v>
          </cell>
          <cell r="V19">
            <v>2</v>
          </cell>
          <cell r="W19">
            <v>2</v>
          </cell>
          <cell r="X19">
            <v>2</v>
          </cell>
          <cell r="Y19">
            <v>2</v>
          </cell>
          <cell r="Z19" t="str">
            <v>RD</v>
          </cell>
          <cell r="AA19">
            <v>3</v>
          </cell>
          <cell r="AB19">
            <v>3</v>
          </cell>
          <cell r="AC19">
            <v>3</v>
          </cell>
          <cell r="AD19">
            <v>2</v>
          </cell>
          <cell r="AE19" t="str">
            <v>RD</v>
          </cell>
          <cell r="AF19">
            <v>3</v>
          </cell>
          <cell r="AG19">
            <v>0</v>
          </cell>
          <cell r="AH19">
            <v>0</v>
          </cell>
          <cell r="AI19">
            <v>2</v>
          </cell>
          <cell r="AK19" t="str">
            <v>RD</v>
          </cell>
          <cell r="AL19">
            <v>0.65764411027568925</v>
          </cell>
          <cell r="AM19">
            <v>0.93333333333333335</v>
          </cell>
          <cell r="AQ19">
            <v>21</v>
          </cell>
        </row>
        <row r="20">
          <cell r="E20" t="str">
            <v>JAMERO, Donald</v>
          </cell>
          <cell r="F20">
            <v>1</v>
          </cell>
          <cell r="G20">
            <v>3</v>
          </cell>
          <cell r="H20">
            <v>3</v>
          </cell>
          <cell r="I20">
            <v>4</v>
          </cell>
          <cell r="J20" t="str">
            <v>RD</v>
          </cell>
          <cell r="K20">
            <v>4</v>
          </cell>
          <cell r="L20">
            <v>4</v>
          </cell>
          <cell r="M20">
            <v>4</v>
          </cell>
          <cell r="N20">
            <v>4</v>
          </cell>
          <cell r="O20">
            <v>5</v>
          </cell>
          <cell r="P20">
            <v>4</v>
          </cell>
          <cell r="Q20" t="str">
            <v>RD</v>
          </cell>
          <cell r="R20">
            <v>4</v>
          </cell>
          <cell r="S20">
            <v>5</v>
          </cell>
          <cell r="T20">
            <v>5</v>
          </cell>
          <cell r="U20" t="str">
            <v>RD</v>
          </cell>
          <cell r="V20">
            <v>5</v>
          </cell>
          <cell r="W20">
            <v>5</v>
          </cell>
          <cell r="X20">
            <v>5</v>
          </cell>
          <cell r="Y20">
            <v>4</v>
          </cell>
          <cell r="Z20" t="str">
            <v>RD</v>
          </cell>
          <cell r="AA20">
            <v>5</v>
          </cell>
          <cell r="AB20">
            <v>5</v>
          </cell>
          <cell r="AC20">
            <v>5</v>
          </cell>
          <cell r="AD20">
            <v>5</v>
          </cell>
          <cell r="AE20" t="str">
            <v>RD</v>
          </cell>
          <cell r="AF20">
            <v>5</v>
          </cell>
          <cell r="AG20">
            <v>5</v>
          </cell>
          <cell r="AH20">
            <v>5</v>
          </cell>
          <cell r="AI20">
            <v>5</v>
          </cell>
          <cell r="AJ20">
            <v>5</v>
          </cell>
          <cell r="AK20" t="str">
            <v>RD</v>
          </cell>
          <cell r="AL20">
            <v>0.95199999999999996</v>
          </cell>
          <cell r="AM20">
            <v>1</v>
          </cell>
          <cell r="AQ20">
            <v>25</v>
          </cell>
        </row>
        <row r="21">
          <cell r="E21" t="str">
            <v>BANZON Jr., Nicanor R.</v>
          </cell>
          <cell r="F21">
            <v>1</v>
          </cell>
          <cell r="G21" t="str">
            <v>L</v>
          </cell>
          <cell r="H21">
            <v>1</v>
          </cell>
          <cell r="I21">
            <v>1</v>
          </cell>
          <cell r="J21" t="str">
            <v>RD</v>
          </cell>
          <cell r="K21">
            <v>3</v>
          </cell>
          <cell r="L21">
            <v>3</v>
          </cell>
          <cell r="M21">
            <v>0</v>
          </cell>
          <cell r="N21">
            <v>3</v>
          </cell>
          <cell r="O21">
            <v>3</v>
          </cell>
          <cell r="P21">
            <v>5</v>
          </cell>
          <cell r="Q21" t="str">
            <v>RD</v>
          </cell>
          <cell r="R21">
            <v>5</v>
          </cell>
          <cell r="S21">
            <v>5</v>
          </cell>
          <cell r="T21" t="str">
            <v>L</v>
          </cell>
          <cell r="U21" t="str">
            <v>RD</v>
          </cell>
          <cell r="V21">
            <v>5</v>
          </cell>
          <cell r="W21">
            <v>5</v>
          </cell>
          <cell r="X21">
            <v>5</v>
          </cell>
          <cell r="Y21">
            <v>5</v>
          </cell>
          <cell r="Z21" t="str">
            <v>RD</v>
          </cell>
          <cell r="AA21">
            <v>5</v>
          </cell>
          <cell r="AE21" t="str">
            <v>RD</v>
          </cell>
          <cell r="AF21">
            <v>0</v>
          </cell>
          <cell r="AG21">
            <v>0</v>
          </cell>
          <cell r="AH21">
            <v>5</v>
          </cell>
          <cell r="AI21">
            <v>0</v>
          </cell>
          <cell r="AK21" t="str">
            <v>RD</v>
          </cell>
          <cell r="AL21">
            <v>0.78807017543859648</v>
          </cell>
          <cell r="AM21">
            <v>0.85185185185185186</v>
          </cell>
          <cell r="AQ21">
            <v>19</v>
          </cell>
        </row>
        <row r="22">
          <cell r="E22" t="str">
            <v>ESTILLORE, Marbert</v>
          </cell>
          <cell r="F22">
            <v>1</v>
          </cell>
          <cell r="G22">
            <v>2</v>
          </cell>
          <cell r="H22">
            <v>2</v>
          </cell>
          <cell r="I22">
            <v>2</v>
          </cell>
          <cell r="J22" t="str">
            <v>RD</v>
          </cell>
          <cell r="K22">
            <v>4</v>
          </cell>
          <cell r="L22">
            <v>4</v>
          </cell>
          <cell r="M22">
            <v>4</v>
          </cell>
          <cell r="N22">
            <v>4</v>
          </cell>
          <cell r="O22">
            <v>4</v>
          </cell>
          <cell r="P22">
            <v>4</v>
          </cell>
          <cell r="Q22" t="str">
            <v>RD</v>
          </cell>
          <cell r="R22" t="str">
            <v>SL</v>
          </cell>
          <cell r="S22">
            <v>4</v>
          </cell>
          <cell r="T22">
            <v>4</v>
          </cell>
          <cell r="U22" t="str">
            <v>RD</v>
          </cell>
          <cell r="V22">
            <v>4</v>
          </cell>
          <cell r="W22">
            <v>4</v>
          </cell>
          <cell r="X22">
            <v>5</v>
          </cell>
          <cell r="Y22">
            <v>4</v>
          </cell>
          <cell r="Z22" t="str">
            <v>RD</v>
          </cell>
          <cell r="AA22">
            <v>5</v>
          </cell>
          <cell r="AB22">
            <v>5</v>
          </cell>
          <cell r="AC22">
            <v>5</v>
          </cell>
          <cell r="AD22">
            <v>5</v>
          </cell>
          <cell r="AE22" t="str">
            <v>RD</v>
          </cell>
          <cell r="AF22">
            <v>5</v>
          </cell>
          <cell r="AG22">
            <v>4</v>
          </cell>
          <cell r="AH22">
            <v>4</v>
          </cell>
          <cell r="AI22">
            <v>5</v>
          </cell>
          <cell r="AJ22">
            <v>5</v>
          </cell>
          <cell r="AK22" t="str">
            <v>RD</v>
          </cell>
          <cell r="AL22">
            <v>0.90833333333333333</v>
          </cell>
          <cell r="AM22">
            <v>1</v>
          </cell>
          <cell r="AQ22">
            <v>24</v>
          </cell>
        </row>
        <row r="23">
          <cell r="E23" t="str">
            <v>KHO, Jansen D.</v>
          </cell>
          <cell r="F23">
            <v>1</v>
          </cell>
          <cell r="G23">
            <v>3</v>
          </cell>
          <cell r="H23" t="str">
            <v>SL</v>
          </cell>
          <cell r="I23" t="str">
            <v>RD</v>
          </cell>
          <cell r="J23" t="str">
            <v>RD</v>
          </cell>
          <cell r="K23">
            <v>4</v>
          </cell>
          <cell r="L23">
            <v>4</v>
          </cell>
          <cell r="M23">
            <v>4</v>
          </cell>
          <cell r="N23">
            <v>4</v>
          </cell>
          <cell r="O23">
            <v>5</v>
          </cell>
          <cell r="P23" t="str">
            <v>SL</v>
          </cell>
          <cell r="Q23" t="str">
            <v>RD</v>
          </cell>
          <cell r="R23">
            <v>5</v>
          </cell>
          <cell r="S23">
            <v>4</v>
          </cell>
          <cell r="T23">
            <v>5</v>
          </cell>
          <cell r="U23" t="str">
            <v>RD</v>
          </cell>
          <cell r="V23">
            <v>5</v>
          </cell>
          <cell r="W23">
            <v>5</v>
          </cell>
          <cell r="X23">
            <v>5</v>
          </cell>
          <cell r="Y23">
            <v>5</v>
          </cell>
          <cell r="Z23" t="str">
            <v>RD</v>
          </cell>
          <cell r="AA23">
            <v>5</v>
          </cell>
          <cell r="AB23">
            <v>5</v>
          </cell>
          <cell r="AC23">
            <v>5</v>
          </cell>
          <cell r="AD23">
            <v>5</v>
          </cell>
          <cell r="AE23" t="str">
            <v>RD</v>
          </cell>
          <cell r="AF23">
            <v>5</v>
          </cell>
          <cell r="AG23">
            <v>5</v>
          </cell>
          <cell r="AH23">
            <v>5</v>
          </cell>
          <cell r="AI23">
            <v>5</v>
          </cell>
          <cell r="AK23" t="str">
            <v>RD</v>
          </cell>
          <cell r="AL23">
            <v>0.96666666666666667</v>
          </cell>
          <cell r="AM23">
            <v>1</v>
          </cell>
          <cell r="AQ23">
            <v>21</v>
          </cell>
        </row>
        <row r="24">
          <cell r="E24" t="str">
            <v>CARACOL, Marwin</v>
          </cell>
          <cell r="F24">
            <v>1</v>
          </cell>
          <cell r="G24">
            <v>1</v>
          </cell>
          <cell r="H24">
            <v>0</v>
          </cell>
          <cell r="I24">
            <v>1</v>
          </cell>
          <cell r="J24" t="str">
            <v>RD</v>
          </cell>
          <cell r="K24">
            <v>1</v>
          </cell>
          <cell r="L24">
            <v>2</v>
          </cell>
          <cell r="M24">
            <v>2</v>
          </cell>
          <cell r="N24">
            <v>0</v>
          </cell>
          <cell r="O24">
            <v>1</v>
          </cell>
          <cell r="P24">
            <v>4</v>
          </cell>
          <cell r="Q24" t="str">
            <v>RD</v>
          </cell>
          <cell r="R24">
            <v>2</v>
          </cell>
          <cell r="S24">
            <v>4</v>
          </cell>
          <cell r="T24">
            <v>3</v>
          </cell>
          <cell r="U24" t="str">
            <v>RD</v>
          </cell>
          <cell r="V24">
            <v>4</v>
          </cell>
          <cell r="W24">
            <v>4</v>
          </cell>
          <cell r="X24">
            <v>3</v>
          </cell>
          <cell r="Y24">
            <v>3</v>
          </cell>
          <cell r="Z24" t="str">
            <v>RD</v>
          </cell>
          <cell r="AA24">
            <v>4</v>
          </cell>
          <cell r="AB24">
            <v>4</v>
          </cell>
          <cell r="AC24">
            <v>3</v>
          </cell>
          <cell r="AD24">
            <v>3</v>
          </cell>
          <cell r="AE24" t="str">
            <v>RD</v>
          </cell>
          <cell r="AF24">
            <v>5</v>
          </cell>
          <cell r="AG24">
            <v>3</v>
          </cell>
          <cell r="AH24">
            <v>2</v>
          </cell>
          <cell r="AI24">
            <v>4</v>
          </cell>
          <cell r="AK24" t="str">
            <v>RD</v>
          </cell>
          <cell r="AL24">
            <v>0.74469696969696964</v>
          </cell>
          <cell r="AM24">
            <v>0.93333333333333335</v>
          </cell>
          <cell r="AQ24">
            <v>24</v>
          </cell>
        </row>
        <row r="25">
          <cell r="E25" t="str">
            <v>CONSIGNA, Joel L.</v>
          </cell>
          <cell r="F25">
            <v>1</v>
          </cell>
          <cell r="G25">
            <v>3</v>
          </cell>
          <cell r="H25">
            <v>3</v>
          </cell>
          <cell r="I25">
            <v>3</v>
          </cell>
          <cell r="J25" t="str">
            <v>RD</v>
          </cell>
          <cell r="K25">
            <v>3</v>
          </cell>
          <cell r="L25">
            <v>3</v>
          </cell>
          <cell r="M25">
            <v>3</v>
          </cell>
          <cell r="N25">
            <v>3</v>
          </cell>
          <cell r="O25" t="str">
            <v>L</v>
          </cell>
          <cell r="P25">
            <v>4</v>
          </cell>
          <cell r="Q25" t="str">
            <v>RD</v>
          </cell>
          <cell r="R25">
            <v>4</v>
          </cell>
          <cell r="S25">
            <v>4</v>
          </cell>
          <cell r="T25">
            <v>3</v>
          </cell>
          <cell r="U25" t="str">
            <v>RD</v>
          </cell>
          <cell r="V25">
            <v>4</v>
          </cell>
          <cell r="W25">
            <v>4</v>
          </cell>
          <cell r="X25">
            <v>5</v>
          </cell>
          <cell r="Y25">
            <v>4</v>
          </cell>
          <cell r="Z25" t="str">
            <v>RD</v>
          </cell>
          <cell r="AA25">
            <v>3</v>
          </cell>
          <cell r="AB25">
            <v>5</v>
          </cell>
          <cell r="AC25">
            <v>5</v>
          </cell>
          <cell r="AD25">
            <v>5</v>
          </cell>
          <cell r="AE25" t="str">
            <v>RD</v>
          </cell>
          <cell r="AF25">
            <v>5</v>
          </cell>
          <cell r="AG25">
            <v>4</v>
          </cell>
          <cell r="AH25">
            <v>5</v>
          </cell>
          <cell r="AI25">
            <v>4</v>
          </cell>
          <cell r="AJ25">
            <v>5</v>
          </cell>
          <cell r="AK25" t="str">
            <v>RD</v>
          </cell>
          <cell r="AL25">
            <v>0.89166666666666661</v>
          </cell>
          <cell r="AM25">
            <v>1</v>
          </cell>
          <cell r="AQ25">
            <v>24</v>
          </cell>
        </row>
        <row r="26">
          <cell r="E26" t="str">
            <v>PEROL, Remart</v>
          </cell>
          <cell r="F26">
            <v>1</v>
          </cell>
          <cell r="G26">
            <v>4</v>
          </cell>
          <cell r="H26">
            <v>4</v>
          </cell>
          <cell r="I26" t="str">
            <v>SL</v>
          </cell>
          <cell r="J26" t="str">
            <v>RD</v>
          </cell>
          <cell r="K26">
            <v>4</v>
          </cell>
          <cell r="L26">
            <v>4</v>
          </cell>
          <cell r="M26">
            <v>4</v>
          </cell>
          <cell r="N26">
            <v>3</v>
          </cell>
          <cell r="O26">
            <v>4</v>
          </cell>
          <cell r="P26">
            <v>4</v>
          </cell>
          <cell r="Q26" t="str">
            <v>RD</v>
          </cell>
          <cell r="R26">
            <v>4</v>
          </cell>
          <cell r="S26">
            <v>4</v>
          </cell>
          <cell r="T26">
            <v>5</v>
          </cell>
          <cell r="U26" t="str">
            <v>RD</v>
          </cell>
          <cell r="V26">
            <v>4</v>
          </cell>
          <cell r="W26">
            <v>4</v>
          </cell>
          <cell r="X26">
            <v>5</v>
          </cell>
          <cell r="Y26">
            <v>5</v>
          </cell>
          <cell r="Z26" t="str">
            <v>RD</v>
          </cell>
          <cell r="AA26">
            <v>5</v>
          </cell>
          <cell r="AB26">
            <v>4</v>
          </cell>
          <cell r="AC26" t="str">
            <v>SL</v>
          </cell>
          <cell r="AD26" t="str">
            <v>SL</v>
          </cell>
          <cell r="AE26" t="str">
            <v>RD</v>
          </cell>
          <cell r="AF26">
            <v>4</v>
          </cell>
          <cell r="AG26">
            <v>5</v>
          </cell>
          <cell r="AH26">
            <v>4</v>
          </cell>
          <cell r="AI26">
            <v>4</v>
          </cell>
          <cell r="AJ26">
            <v>5</v>
          </cell>
          <cell r="AK26" t="str">
            <v>RD</v>
          </cell>
          <cell r="AL26">
            <v>0.92272727272727273</v>
          </cell>
          <cell r="AM26">
            <v>1</v>
          </cell>
          <cell r="AQ26">
            <v>22</v>
          </cell>
        </row>
        <row r="27">
          <cell r="AM27" t="str">
            <v/>
          </cell>
        </row>
        <row r="29">
          <cell r="AM29" t="str">
            <v/>
          </cell>
        </row>
        <row r="30">
          <cell r="E30" t="str">
            <v>GERALDINO, Chuck Neko T.</v>
          </cell>
          <cell r="F30" t="str">
            <v>All</v>
          </cell>
        </row>
        <row r="31">
          <cell r="E31" t="str">
            <v xml:space="preserve">BACLAYO, Christian Cesar P. </v>
          </cell>
          <cell r="F31" t="str">
            <v>SL/DCS</v>
          </cell>
        </row>
        <row r="32">
          <cell r="E32" t="str">
            <v>DAVIS, Jaybert E.</v>
          </cell>
          <cell r="F32" t="str">
            <v>SL/DCS</v>
          </cell>
        </row>
        <row r="33">
          <cell r="G33" t="str">
            <v>AJL</v>
          </cell>
          <cell r="H33" t="str">
            <v>YAC</v>
          </cell>
          <cell r="I33" t="str">
            <v>AJL</v>
          </cell>
          <cell r="J33" t="str">
            <v>AJL</v>
          </cell>
          <cell r="M33" t="str">
            <v>AJL</v>
          </cell>
          <cell r="N33" t="str">
            <v>AJL</v>
          </cell>
          <cell r="O33" t="str">
            <v>AJL</v>
          </cell>
          <cell r="P33" t="str">
            <v>AJL</v>
          </cell>
          <cell r="Q33" t="str">
            <v>AJL</v>
          </cell>
          <cell r="T33" t="str">
            <v>YAC</v>
          </cell>
          <cell r="U33" t="str">
            <v>YAC</v>
          </cell>
          <cell r="X33" t="str">
            <v>ECC</v>
          </cell>
          <cell r="Y33" t="str">
            <v>YAC</v>
          </cell>
          <cell r="Z33" t="str">
            <v>YAC</v>
          </cell>
          <cell r="AA33" t="str">
            <v>YAC</v>
          </cell>
          <cell r="AC33" t="str">
            <v>YAC</v>
          </cell>
          <cell r="AD33" t="str">
            <v>YAC</v>
          </cell>
          <cell r="AE33" t="str">
            <v>YAC</v>
          </cell>
          <cell r="AF33" t="str">
            <v>YC/</v>
          </cell>
          <cell r="AH33" t="str">
            <v>YAC</v>
          </cell>
          <cell r="AI33" t="str">
            <v>YAC</v>
          </cell>
          <cell r="AJ33" t="str">
            <v>YAC</v>
          </cell>
          <cell r="AK33" t="str">
            <v>YAC</v>
          </cell>
        </row>
        <row r="34">
          <cell r="E34" t="str">
            <v>NECESARIO, Christie P.</v>
          </cell>
          <cell r="F34">
            <v>2</v>
          </cell>
          <cell r="G34">
            <v>5</v>
          </cell>
          <cell r="H34">
            <v>5</v>
          </cell>
          <cell r="I34">
            <v>4</v>
          </cell>
          <cell r="J34">
            <v>5</v>
          </cell>
          <cell r="K34" t="str">
            <v>RD</v>
          </cell>
          <cell r="L34">
            <v>5</v>
          </cell>
          <cell r="M34">
            <v>5</v>
          </cell>
          <cell r="N34">
            <v>5</v>
          </cell>
          <cell r="O34">
            <v>5</v>
          </cell>
          <cell r="P34">
            <v>5</v>
          </cell>
          <cell r="Q34">
            <v>5</v>
          </cell>
          <cell r="R34" t="str">
            <v>RD</v>
          </cell>
          <cell r="S34">
            <v>5</v>
          </cell>
          <cell r="T34">
            <v>5</v>
          </cell>
          <cell r="U34">
            <v>5</v>
          </cell>
          <cell r="V34">
            <v>5</v>
          </cell>
          <cell r="W34" t="str">
            <v>RD</v>
          </cell>
          <cell r="X34">
            <v>5</v>
          </cell>
          <cell r="Y34">
            <v>5</v>
          </cell>
          <cell r="Z34">
            <v>5</v>
          </cell>
          <cell r="AA34">
            <v>5</v>
          </cell>
          <cell r="AB34" t="str">
            <v>RD</v>
          </cell>
          <cell r="AC34">
            <v>5</v>
          </cell>
          <cell r="AD34">
            <v>5</v>
          </cell>
          <cell r="AE34">
            <v>5</v>
          </cell>
          <cell r="AF34">
            <v>5</v>
          </cell>
          <cell r="AG34" t="str">
            <v>RD</v>
          </cell>
          <cell r="AH34">
            <v>5</v>
          </cell>
          <cell r="AI34" t="str">
            <v>SL</v>
          </cell>
          <cell r="AJ34">
            <v>5</v>
          </cell>
          <cell r="AK34">
            <v>5</v>
          </cell>
          <cell r="AL34">
            <v>0.996</v>
          </cell>
          <cell r="AM34">
            <v>1</v>
          </cell>
          <cell r="AN34">
            <v>0.97252662844401994</v>
          </cell>
          <cell r="AO34">
            <v>0.99692780337941622</v>
          </cell>
          <cell r="AP34">
            <v>0.98472721591171808</v>
          </cell>
          <cell r="AQ34">
            <v>25</v>
          </cell>
        </row>
        <row r="35">
          <cell r="E35" t="str">
            <v>URBIZTONDO, Grace</v>
          </cell>
          <cell r="F35">
            <v>2</v>
          </cell>
          <cell r="G35">
            <v>4</v>
          </cell>
          <cell r="H35">
            <v>4</v>
          </cell>
          <cell r="I35">
            <v>4</v>
          </cell>
          <cell r="J35">
            <v>5</v>
          </cell>
          <cell r="K35" t="str">
            <v>RD</v>
          </cell>
          <cell r="L35">
            <v>4</v>
          </cell>
          <cell r="M35">
            <v>5</v>
          </cell>
          <cell r="N35">
            <v>4</v>
          </cell>
          <cell r="O35">
            <v>5</v>
          </cell>
          <cell r="P35">
            <v>5</v>
          </cell>
          <cell r="Q35">
            <v>5</v>
          </cell>
          <cell r="R35" t="str">
            <v>RD</v>
          </cell>
          <cell r="S35">
            <v>5</v>
          </cell>
          <cell r="T35">
            <v>5</v>
          </cell>
          <cell r="U35">
            <v>5</v>
          </cell>
          <cell r="V35">
            <v>5</v>
          </cell>
          <cell r="W35" t="str">
            <v>RD</v>
          </cell>
          <cell r="X35">
            <v>5</v>
          </cell>
          <cell r="Y35">
            <v>5</v>
          </cell>
          <cell r="Z35">
            <v>5</v>
          </cell>
          <cell r="AA35">
            <v>5</v>
          </cell>
          <cell r="AB35" t="str">
            <v>RD</v>
          </cell>
          <cell r="AC35">
            <v>5</v>
          </cell>
          <cell r="AD35">
            <v>5</v>
          </cell>
          <cell r="AE35" t="str">
            <v>SL</v>
          </cell>
          <cell r="AF35">
            <v>5</v>
          </cell>
          <cell r="AG35" t="str">
            <v>RD</v>
          </cell>
          <cell r="AH35">
            <v>5</v>
          </cell>
          <cell r="AI35">
            <v>5</v>
          </cell>
          <cell r="AJ35">
            <v>5</v>
          </cell>
          <cell r="AK35">
            <v>5</v>
          </cell>
          <cell r="AL35">
            <v>0.98</v>
          </cell>
          <cell r="AM35">
            <v>1</v>
          </cell>
          <cell r="AQ35">
            <v>25</v>
          </cell>
        </row>
        <row r="36">
          <cell r="E36" t="str">
            <v>COMPASIVO, Jomar</v>
          </cell>
          <cell r="F36">
            <v>2</v>
          </cell>
          <cell r="G36">
            <v>3</v>
          </cell>
          <cell r="H36">
            <v>3</v>
          </cell>
          <cell r="I36">
            <v>5</v>
          </cell>
          <cell r="J36">
            <v>5</v>
          </cell>
          <cell r="K36" t="str">
            <v>RD</v>
          </cell>
          <cell r="L36">
            <v>5</v>
          </cell>
          <cell r="M36">
            <v>5</v>
          </cell>
          <cell r="N36">
            <v>5</v>
          </cell>
          <cell r="O36">
            <v>5</v>
          </cell>
          <cell r="P36">
            <v>5</v>
          </cell>
          <cell r="Q36">
            <v>5</v>
          </cell>
          <cell r="R36" t="str">
            <v>RD</v>
          </cell>
          <cell r="S36">
            <v>5</v>
          </cell>
          <cell r="T36">
            <v>5</v>
          </cell>
          <cell r="U36">
            <v>5</v>
          </cell>
          <cell r="V36">
            <v>5</v>
          </cell>
          <cell r="W36" t="str">
            <v>RD</v>
          </cell>
          <cell r="X36">
            <v>5</v>
          </cell>
          <cell r="Y36">
            <v>5</v>
          </cell>
          <cell r="Z36">
            <v>5</v>
          </cell>
          <cell r="AA36">
            <v>5</v>
          </cell>
          <cell r="AB36" t="str">
            <v>RD</v>
          </cell>
          <cell r="AC36">
            <v>5</v>
          </cell>
          <cell r="AD36">
            <v>5</v>
          </cell>
          <cell r="AE36">
            <v>5</v>
          </cell>
          <cell r="AF36">
            <v>5</v>
          </cell>
          <cell r="AG36" t="str">
            <v>RD</v>
          </cell>
          <cell r="AH36">
            <v>5</v>
          </cell>
          <cell r="AI36">
            <v>5</v>
          </cell>
          <cell r="AJ36">
            <v>5</v>
          </cell>
          <cell r="AK36">
            <v>5</v>
          </cell>
          <cell r="AL36">
            <v>0.98461538461538456</v>
          </cell>
          <cell r="AM36">
            <v>1</v>
          </cell>
          <cell r="AQ36">
            <v>26</v>
          </cell>
        </row>
        <row r="37">
          <cell r="E37" t="str">
            <v>ROBLES, Felmir</v>
          </cell>
          <cell r="F37">
            <v>2</v>
          </cell>
          <cell r="G37">
            <v>3</v>
          </cell>
          <cell r="H37">
            <v>3</v>
          </cell>
          <cell r="I37">
            <v>3</v>
          </cell>
          <cell r="J37">
            <v>5</v>
          </cell>
          <cell r="K37" t="str">
            <v>RD</v>
          </cell>
          <cell r="L37" t="str">
            <v>EL</v>
          </cell>
          <cell r="M37">
            <v>5</v>
          </cell>
          <cell r="N37">
            <v>5</v>
          </cell>
          <cell r="O37">
            <v>5</v>
          </cell>
          <cell r="P37">
            <v>4</v>
          </cell>
          <cell r="Q37">
            <v>5</v>
          </cell>
          <cell r="R37" t="str">
            <v>RD</v>
          </cell>
          <cell r="S37">
            <v>5</v>
          </cell>
          <cell r="T37" t="str">
            <v>EL</v>
          </cell>
          <cell r="U37" t="str">
            <v>EL</v>
          </cell>
          <cell r="V37">
            <v>5</v>
          </cell>
          <cell r="W37" t="str">
            <v>RD</v>
          </cell>
          <cell r="X37">
            <v>5</v>
          </cell>
          <cell r="Y37">
            <v>5</v>
          </cell>
          <cell r="Z37">
            <v>4</v>
          </cell>
          <cell r="AA37">
            <v>5</v>
          </cell>
          <cell r="AB37" t="str">
            <v>RD</v>
          </cell>
          <cell r="AC37" t="str">
            <v>EL</v>
          </cell>
          <cell r="AD37">
            <v>5</v>
          </cell>
          <cell r="AE37">
            <v>5</v>
          </cell>
          <cell r="AF37">
            <v>5</v>
          </cell>
          <cell r="AG37" t="str">
            <v>RD</v>
          </cell>
          <cell r="AH37">
            <v>5</v>
          </cell>
          <cell r="AI37">
            <v>5</v>
          </cell>
          <cell r="AJ37" t="str">
            <v>EL</v>
          </cell>
          <cell r="AK37">
            <v>5</v>
          </cell>
          <cell r="AL37">
            <v>0.96190476190476182</v>
          </cell>
          <cell r="AM37">
            <v>1</v>
          </cell>
          <cell r="AQ37">
            <v>21</v>
          </cell>
        </row>
        <row r="38">
          <cell r="E38" t="str">
            <v>BAYANG, Algemero</v>
          </cell>
          <cell r="F38">
            <v>2</v>
          </cell>
          <cell r="G38">
            <v>2</v>
          </cell>
          <cell r="H38">
            <v>1</v>
          </cell>
          <cell r="I38">
            <v>2</v>
          </cell>
          <cell r="J38">
            <v>5</v>
          </cell>
          <cell r="K38" t="str">
            <v>RD</v>
          </cell>
          <cell r="L38">
            <v>4</v>
          </cell>
          <cell r="M38">
            <v>5</v>
          </cell>
          <cell r="N38">
            <v>4</v>
          </cell>
          <cell r="O38">
            <v>4</v>
          </cell>
          <cell r="P38">
            <v>3</v>
          </cell>
          <cell r="Q38">
            <v>5</v>
          </cell>
          <cell r="R38" t="str">
            <v>RD</v>
          </cell>
          <cell r="S38">
            <v>5</v>
          </cell>
          <cell r="T38">
            <v>5</v>
          </cell>
          <cell r="U38">
            <v>4</v>
          </cell>
          <cell r="V38">
            <v>5</v>
          </cell>
          <cell r="W38" t="str">
            <v>RD</v>
          </cell>
          <cell r="X38">
            <v>5</v>
          </cell>
          <cell r="Y38" t="str">
            <v>SL</v>
          </cell>
          <cell r="Z38" t="str">
            <v>SL</v>
          </cell>
          <cell r="AA38" t="str">
            <v>SL</v>
          </cell>
          <cell r="AB38" t="str">
            <v>RD</v>
          </cell>
          <cell r="AC38">
            <v>5</v>
          </cell>
          <cell r="AD38">
            <v>5</v>
          </cell>
          <cell r="AE38">
            <v>5</v>
          </cell>
          <cell r="AF38">
            <v>5</v>
          </cell>
          <cell r="AG38" t="str">
            <v>RD</v>
          </cell>
          <cell r="AH38">
            <v>5</v>
          </cell>
          <cell r="AI38">
            <v>5</v>
          </cell>
          <cell r="AJ38">
            <v>5</v>
          </cell>
          <cell r="AK38">
            <v>5</v>
          </cell>
          <cell r="AL38">
            <v>0.93043478260869561</v>
          </cell>
          <cell r="AM38">
            <v>1</v>
          </cell>
          <cell r="AQ38">
            <v>23</v>
          </cell>
        </row>
        <row r="39">
          <cell r="E39" t="str">
            <v>LUMAYNO, Junrey</v>
          </cell>
          <cell r="F39">
            <v>2</v>
          </cell>
          <cell r="G39">
            <v>3</v>
          </cell>
          <cell r="H39">
            <v>3</v>
          </cell>
          <cell r="I39">
            <v>4</v>
          </cell>
          <cell r="J39">
            <v>4</v>
          </cell>
          <cell r="K39" t="str">
            <v>RD</v>
          </cell>
          <cell r="L39">
            <v>4</v>
          </cell>
          <cell r="M39" t="str">
            <v>EL</v>
          </cell>
          <cell r="N39">
            <v>4</v>
          </cell>
          <cell r="O39">
            <v>5</v>
          </cell>
          <cell r="P39">
            <v>5</v>
          </cell>
          <cell r="Q39">
            <v>4</v>
          </cell>
          <cell r="R39" t="str">
            <v>RD</v>
          </cell>
          <cell r="S39">
            <v>5</v>
          </cell>
          <cell r="T39">
            <v>5</v>
          </cell>
          <cell r="U39">
            <v>5</v>
          </cell>
          <cell r="V39">
            <v>5</v>
          </cell>
          <cell r="W39" t="str">
            <v>RD</v>
          </cell>
          <cell r="X39" t="str">
            <v>EL</v>
          </cell>
          <cell r="Y39">
            <v>5</v>
          </cell>
          <cell r="Z39">
            <v>5</v>
          </cell>
          <cell r="AA39">
            <v>5</v>
          </cell>
          <cell r="AB39" t="str">
            <v>RD</v>
          </cell>
          <cell r="AC39">
            <v>5</v>
          </cell>
          <cell r="AD39">
            <v>5</v>
          </cell>
          <cell r="AE39">
            <v>5</v>
          </cell>
          <cell r="AF39">
            <v>5</v>
          </cell>
          <cell r="AG39" t="str">
            <v>RD</v>
          </cell>
          <cell r="AH39">
            <v>5</v>
          </cell>
          <cell r="AI39">
            <v>5</v>
          </cell>
          <cell r="AJ39">
            <v>5</v>
          </cell>
          <cell r="AK39">
            <v>5</v>
          </cell>
          <cell r="AL39">
            <v>0.96250000000000002</v>
          </cell>
          <cell r="AM39">
            <v>1</v>
          </cell>
          <cell r="AQ39">
            <v>24</v>
          </cell>
        </row>
        <row r="40">
          <cell r="E40" t="str">
            <v>BADIANG, Luciano Jr.</v>
          </cell>
          <cell r="F40">
            <v>2</v>
          </cell>
          <cell r="G40">
            <v>3</v>
          </cell>
          <cell r="H40">
            <v>3</v>
          </cell>
          <cell r="I40">
            <v>3</v>
          </cell>
          <cell r="J40">
            <v>5</v>
          </cell>
          <cell r="K40" t="str">
            <v>RD</v>
          </cell>
          <cell r="L40" t="str">
            <v>VL</v>
          </cell>
          <cell r="M40" t="str">
            <v>VL</v>
          </cell>
          <cell r="N40">
            <v>4</v>
          </cell>
          <cell r="O40">
            <v>4</v>
          </cell>
          <cell r="P40">
            <v>5</v>
          </cell>
          <cell r="Q40">
            <v>5</v>
          </cell>
          <cell r="R40" t="str">
            <v>RD</v>
          </cell>
          <cell r="S40">
            <v>5</v>
          </cell>
          <cell r="T40">
            <v>5</v>
          </cell>
          <cell r="U40">
            <v>4</v>
          </cell>
          <cell r="V40">
            <v>5</v>
          </cell>
          <cell r="W40" t="str">
            <v>RD</v>
          </cell>
          <cell r="X40">
            <v>5</v>
          </cell>
          <cell r="Y40">
            <v>5</v>
          </cell>
          <cell r="Z40">
            <v>5</v>
          </cell>
          <cell r="AA40">
            <v>5</v>
          </cell>
          <cell r="AB40" t="str">
            <v>RD</v>
          </cell>
          <cell r="AC40">
            <v>5</v>
          </cell>
          <cell r="AD40">
            <v>5</v>
          </cell>
          <cell r="AE40">
            <v>5</v>
          </cell>
          <cell r="AF40">
            <v>5</v>
          </cell>
          <cell r="AG40" t="str">
            <v>RD</v>
          </cell>
          <cell r="AH40">
            <v>4</v>
          </cell>
          <cell r="AI40">
            <v>5</v>
          </cell>
          <cell r="AJ40">
            <v>5</v>
          </cell>
          <cell r="AK40">
            <v>5</v>
          </cell>
          <cell r="AL40">
            <v>0.95833333333333326</v>
          </cell>
          <cell r="AM40">
            <v>1</v>
          </cell>
          <cell r="AQ40">
            <v>24</v>
          </cell>
        </row>
        <row r="41">
          <cell r="E41" t="str">
            <v>GALVEZ, Jaypoy</v>
          </cell>
          <cell r="F41">
            <v>2</v>
          </cell>
          <cell r="G41">
            <v>3</v>
          </cell>
          <cell r="H41">
            <v>3</v>
          </cell>
          <cell r="I41">
            <v>5</v>
          </cell>
          <cell r="J41">
            <v>5</v>
          </cell>
          <cell r="K41" t="str">
            <v>RD</v>
          </cell>
          <cell r="L41">
            <v>4</v>
          </cell>
          <cell r="M41">
            <v>5</v>
          </cell>
          <cell r="N41">
            <v>5</v>
          </cell>
          <cell r="O41">
            <v>5</v>
          </cell>
          <cell r="P41">
            <v>5</v>
          </cell>
          <cell r="Q41">
            <v>5</v>
          </cell>
          <cell r="R41" t="str">
            <v>RD</v>
          </cell>
          <cell r="S41">
            <v>5</v>
          </cell>
          <cell r="T41">
            <v>5</v>
          </cell>
          <cell r="U41">
            <v>5</v>
          </cell>
          <cell r="V41">
            <v>5</v>
          </cell>
          <cell r="W41" t="str">
            <v>RD</v>
          </cell>
          <cell r="X41">
            <v>5</v>
          </cell>
          <cell r="Y41">
            <v>5</v>
          </cell>
          <cell r="Z41">
            <v>5</v>
          </cell>
          <cell r="AA41">
            <v>5</v>
          </cell>
          <cell r="AB41" t="str">
            <v>RD</v>
          </cell>
          <cell r="AC41">
            <v>5</v>
          </cell>
          <cell r="AD41">
            <v>5</v>
          </cell>
          <cell r="AE41">
            <v>5</v>
          </cell>
          <cell r="AF41">
            <v>5</v>
          </cell>
          <cell r="AG41" t="str">
            <v>RD</v>
          </cell>
          <cell r="AH41">
            <v>5</v>
          </cell>
          <cell r="AI41">
            <v>5</v>
          </cell>
          <cell r="AJ41">
            <v>5</v>
          </cell>
          <cell r="AK41">
            <v>5</v>
          </cell>
          <cell r="AL41">
            <v>0.98076923076923073</v>
          </cell>
          <cell r="AM41">
            <v>1</v>
          </cell>
          <cell r="AQ41">
            <v>26</v>
          </cell>
        </row>
        <row r="42">
          <cell r="E42" t="str">
            <v>GIDA, Lenie Mae R.</v>
          </cell>
          <cell r="F42">
            <v>2</v>
          </cell>
          <cell r="G42">
            <v>5</v>
          </cell>
          <cell r="H42">
            <v>5</v>
          </cell>
          <cell r="I42">
            <v>4</v>
          </cell>
          <cell r="J42">
            <v>5</v>
          </cell>
          <cell r="K42" t="str">
            <v>RD</v>
          </cell>
          <cell r="L42" t="str">
            <v>HTL</v>
          </cell>
          <cell r="M42" t="str">
            <v>HTL</v>
          </cell>
          <cell r="N42">
            <v>5</v>
          </cell>
          <cell r="O42">
            <v>5</v>
          </cell>
          <cell r="P42">
            <v>5</v>
          </cell>
          <cell r="Q42">
            <v>5</v>
          </cell>
          <cell r="R42" t="str">
            <v>RD</v>
          </cell>
          <cell r="S42">
            <v>5</v>
          </cell>
          <cell r="T42">
            <v>5</v>
          </cell>
          <cell r="U42">
            <v>5</v>
          </cell>
          <cell r="V42">
            <v>5</v>
          </cell>
          <cell r="W42" t="str">
            <v>RD</v>
          </cell>
          <cell r="X42">
            <v>5</v>
          </cell>
          <cell r="Y42">
            <v>5</v>
          </cell>
          <cell r="Z42">
            <v>5</v>
          </cell>
          <cell r="AA42">
            <v>5</v>
          </cell>
          <cell r="AB42" t="str">
            <v>RD</v>
          </cell>
          <cell r="AC42">
            <v>5</v>
          </cell>
          <cell r="AD42">
            <v>5</v>
          </cell>
          <cell r="AE42">
            <v>5</v>
          </cell>
          <cell r="AF42">
            <v>5</v>
          </cell>
          <cell r="AG42" t="str">
            <v>RD</v>
          </cell>
          <cell r="AH42">
            <v>5</v>
          </cell>
          <cell r="AI42" t="str">
            <v>SL</v>
          </cell>
          <cell r="AJ42">
            <v>5</v>
          </cell>
          <cell r="AK42">
            <v>5</v>
          </cell>
          <cell r="AL42">
            <v>0.9956521739130435</v>
          </cell>
          <cell r="AM42">
            <v>1</v>
          </cell>
          <cell r="AQ42">
            <v>23</v>
          </cell>
        </row>
        <row r="43">
          <cell r="E43" t="str">
            <v>WONG, Harold G.</v>
          </cell>
          <cell r="F43">
            <v>2</v>
          </cell>
          <cell r="G43">
            <v>3</v>
          </cell>
          <cell r="H43">
            <v>3</v>
          </cell>
          <cell r="I43">
            <v>4</v>
          </cell>
          <cell r="J43">
            <v>5</v>
          </cell>
          <cell r="K43" t="str">
            <v>RD</v>
          </cell>
          <cell r="L43">
            <v>5</v>
          </cell>
          <cell r="M43">
            <v>5</v>
          </cell>
          <cell r="N43" t="str">
            <v>VL</v>
          </cell>
          <cell r="O43" t="str">
            <v>VL</v>
          </cell>
          <cell r="P43" t="str">
            <v>VL</v>
          </cell>
          <cell r="Q43" t="str">
            <v>VL</v>
          </cell>
          <cell r="R43" t="str">
            <v>RD</v>
          </cell>
          <cell r="AI43" t="str">
            <v>RD</v>
          </cell>
          <cell r="AJ43">
            <v>5</v>
          </cell>
          <cell r="AK43">
            <v>5</v>
          </cell>
          <cell r="AL43">
            <v>0.9375</v>
          </cell>
          <cell r="AM43">
            <v>1</v>
          </cell>
          <cell r="AQ43">
            <v>8</v>
          </cell>
        </row>
        <row r="44">
          <cell r="E44" t="str">
            <v>BALACUIT, Jonesa Queen</v>
          </cell>
          <cell r="F44">
            <v>2</v>
          </cell>
          <cell r="G44">
            <v>4</v>
          </cell>
          <cell r="H44">
            <v>4</v>
          </cell>
          <cell r="I44">
            <v>4</v>
          </cell>
          <cell r="J44">
            <v>5</v>
          </cell>
          <cell r="K44" t="str">
            <v>RD</v>
          </cell>
          <cell r="L44">
            <v>5</v>
          </cell>
          <cell r="M44">
            <v>5</v>
          </cell>
          <cell r="N44">
            <v>5</v>
          </cell>
          <cell r="O44">
            <v>5</v>
          </cell>
          <cell r="P44">
            <v>5</v>
          </cell>
          <cell r="Q44">
            <v>5</v>
          </cell>
          <cell r="R44" t="str">
            <v>RD</v>
          </cell>
          <cell r="S44">
            <v>5</v>
          </cell>
          <cell r="T44">
            <v>5</v>
          </cell>
          <cell r="U44">
            <v>5</v>
          </cell>
          <cell r="V44">
            <v>5</v>
          </cell>
          <cell r="W44" t="str">
            <v>RD</v>
          </cell>
          <cell r="X44" t="str">
            <v>SL</v>
          </cell>
          <cell r="Y44">
            <v>5</v>
          </cell>
          <cell r="Z44">
            <v>5</v>
          </cell>
          <cell r="AA44">
            <v>5</v>
          </cell>
          <cell r="AB44" t="str">
            <v>RD</v>
          </cell>
          <cell r="AC44">
            <v>5</v>
          </cell>
          <cell r="AD44">
            <v>5</v>
          </cell>
          <cell r="AE44" t="str">
            <v>SL</v>
          </cell>
          <cell r="AF44">
            <v>5</v>
          </cell>
          <cell r="AG44" t="str">
            <v>RD</v>
          </cell>
          <cell r="AH44" t="str">
            <v>EL</v>
          </cell>
          <cell r="AI44">
            <v>5</v>
          </cell>
          <cell r="AJ44">
            <v>5</v>
          </cell>
          <cell r="AK44">
            <v>5</v>
          </cell>
          <cell r="AL44">
            <v>0.98695652173913051</v>
          </cell>
          <cell r="AM44">
            <v>1</v>
          </cell>
          <cell r="AQ44">
            <v>23</v>
          </cell>
        </row>
        <row r="45">
          <cell r="E45" t="str">
            <v>ERCILLO, Marvin J.</v>
          </cell>
          <cell r="F45">
            <v>2</v>
          </cell>
          <cell r="G45">
            <v>5</v>
          </cell>
          <cell r="H45">
            <v>5</v>
          </cell>
          <cell r="I45">
            <v>5</v>
          </cell>
          <cell r="J45">
            <v>5</v>
          </cell>
          <cell r="K45" t="str">
            <v>RD</v>
          </cell>
          <cell r="L45">
            <v>5</v>
          </cell>
          <cell r="M45">
            <v>5</v>
          </cell>
          <cell r="N45" t="str">
            <v>VL</v>
          </cell>
          <cell r="O45">
            <v>5</v>
          </cell>
          <cell r="P45">
            <v>5</v>
          </cell>
          <cell r="Q45">
            <v>5</v>
          </cell>
          <cell r="R45" t="str">
            <v>RD</v>
          </cell>
          <cell r="S45">
            <v>5</v>
          </cell>
          <cell r="T45">
            <v>5</v>
          </cell>
          <cell r="U45">
            <v>5</v>
          </cell>
          <cell r="V45">
            <v>5</v>
          </cell>
          <cell r="W45" t="str">
            <v>RD</v>
          </cell>
          <cell r="X45">
            <v>5</v>
          </cell>
          <cell r="Y45">
            <v>5</v>
          </cell>
          <cell r="Z45">
            <v>5</v>
          </cell>
          <cell r="AA45">
            <v>5</v>
          </cell>
          <cell r="AB45" t="str">
            <v>RD</v>
          </cell>
          <cell r="AC45">
            <v>5</v>
          </cell>
          <cell r="AD45">
            <v>5</v>
          </cell>
          <cell r="AE45">
            <v>5</v>
          </cell>
          <cell r="AF45">
            <v>5</v>
          </cell>
          <cell r="AG45" t="str">
            <v>RD</v>
          </cell>
          <cell r="AH45">
            <v>5</v>
          </cell>
          <cell r="AI45">
            <v>5</v>
          </cell>
          <cell r="AJ45">
            <v>5</v>
          </cell>
          <cell r="AK45">
            <v>5</v>
          </cell>
          <cell r="AL45">
            <v>1</v>
          </cell>
          <cell r="AM45">
            <v>1</v>
          </cell>
          <cell r="AQ45">
            <v>25</v>
          </cell>
        </row>
        <row r="46">
          <cell r="E46" t="str">
            <v>PRESILDA, Winston</v>
          </cell>
          <cell r="F46">
            <v>2</v>
          </cell>
          <cell r="G46">
            <v>4</v>
          </cell>
          <cell r="H46">
            <v>4</v>
          </cell>
          <cell r="I46">
            <v>4</v>
          </cell>
          <cell r="J46">
            <v>5</v>
          </cell>
          <cell r="K46" t="str">
            <v>RD</v>
          </cell>
          <cell r="L46">
            <v>4</v>
          </cell>
          <cell r="M46">
            <v>5</v>
          </cell>
          <cell r="N46">
            <v>4</v>
          </cell>
          <cell r="O46">
            <v>5</v>
          </cell>
          <cell r="P46">
            <v>5</v>
          </cell>
          <cell r="Q46">
            <v>5</v>
          </cell>
          <cell r="R46" t="str">
            <v>RD</v>
          </cell>
          <cell r="S46">
            <v>5</v>
          </cell>
          <cell r="T46">
            <v>5</v>
          </cell>
          <cell r="U46">
            <v>5</v>
          </cell>
          <cell r="V46">
            <v>5</v>
          </cell>
          <cell r="W46" t="str">
            <v>RD</v>
          </cell>
          <cell r="X46">
            <v>5</v>
          </cell>
          <cell r="Y46">
            <v>5</v>
          </cell>
          <cell r="Z46">
            <v>5</v>
          </cell>
          <cell r="AA46">
            <v>5</v>
          </cell>
          <cell r="AB46" t="str">
            <v>RD</v>
          </cell>
          <cell r="AC46">
            <v>5</v>
          </cell>
          <cell r="AD46">
            <v>5</v>
          </cell>
          <cell r="AE46">
            <v>5</v>
          </cell>
          <cell r="AF46">
            <v>5</v>
          </cell>
          <cell r="AG46" t="str">
            <v>RD</v>
          </cell>
          <cell r="AH46">
            <v>5</v>
          </cell>
          <cell r="AI46">
            <v>5</v>
          </cell>
          <cell r="AJ46">
            <v>5</v>
          </cell>
          <cell r="AK46">
            <v>5</v>
          </cell>
          <cell r="AL46">
            <v>0.98076923076923073</v>
          </cell>
          <cell r="AM46">
            <v>1</v>
          </cell>
          <cell r="AQ46">
            <v>26</v>
          </cell>
        </row>
        <row r="47">
          <cell r="E47" t="str">
            <v>NASAYAO, Jesus</v>
          </cell>
          <cell r="F47">
            <v>2</v>
          </cell>
          <cell r="G47">
            <v>3</v>
          </cell>
          <cell r="H47">
            <v>2</v>
          </cell>
          <cell r="I47">
            <v>5</v>
          </cell>
          <cell r="J47">
            <v>5</v>
          </cell>
          <cell r="K47" t="str">
            <v>RD</v>
          </cell>
          <cell r="L47">
            <v>3</v>
          </cell>
          <cell r="M47">
            <v>5</v>
          </cell>
          <cell r="N47">
            <v>4</v>
          </cell>
          <cell r="O47">
            <v>5</v>
          </cell>
          <cell r="P47">
            <v>5</v>
          </cell>
          <cell r="Q47">
            <v>5</v>
          </cell>
          <cell r="R47" t="str">
            <v>RD</v>
          </cell>
          <cell r="S47">
            <v>5</v>
          </cell>
          <cell r="T47">
            <v>4</v>
          </cell>
          <cell r="U47">
            <v>5</v>
          </cell>
          <cell r="V47">
            <v>5</v>
          </cell>
          <cell r="W47" t="str">
            <v>RD</v>
          </cell>
          <cell r="X47">
            <v>5</v>
          </cell>
          <cell r="Y47">
            <v>5</v>
          </cell>
          <cell r="Z47">
            <v>5</v>
          </cell>
          <cell r="AA47">
            <v>5</v>
          </cell>
          <cell r="AB47" t="str">
            <v>RD</v>
          </cell>
          <cell r="AC47">
            <v>5</v>
          </cell>
          <cell r="AD47">
            <v>5</v>
          </cell>
          <cell r="AE47">
            <v>5</v>
          </cell>
          <cell r="AF47">
            <v>5</v>
          </cell>
          <cell r="AG47" t="str">
            <v>RD</v>
          </cell>
          <cell r="AH47">
            <v>5</v>
          </cell>
          <cell r="AI47">
            <v>5</v>
          </cell>
          <cell r="AJ47">
            <v>5</v>
          </cell>
          <cell r="AK47">
            <v>5</v>
          </cell>
          <cell r="AL47">
            <v>0.9653846153846154</v>
          </cell>
          <cell r="AM47">
            <v>1</v>
          </cell>
          <cell r="AQ47">
            <v>26</v>
          </cell>
        </row>
        <row r="48">
          <cell r="E48" t="str">
            <v>BALACUIT,  Prince Joewen</v>
          </cell>
          <cell r="F48">
            <v>2</v>
          </cell>
          <cell r="G48">
            <v>5</v>
          </cell>
          <cell r="H48">
            <v>5</v>
          </cell>
          <cell r="I48">
            <v>5</v>
          </cell>
          <cell r="J48">
            <v>5</v>
          </cell>
          <cell r="K48" t="str">
            <v>RD</v>
          </cell>
          <cell r="L48">
            <v>5</v>
          </cell>
          <cell r="M48">
            <v>5</v>
          </cell>
          <cell r="N48">
            <v>5</v>
          </cell>
          <cell r="O48">
            <v>5</v>
          </cell>
          <cell r="P48">
            <v>5</v>
          </cell>
          <cell r="Q48">
            <v>5</v>
          </cell>
          <cell r="R48" t="str">
            <v>RD</v>
          </cell>
          <cell r="S48">
            <v>5</v>
          </cell>
          <cell r="T48">
            <v>5</v>
          </cell>
          <cell r="U48">
            <v>5</v>
          </cell>
          <cell r="V48" t="str">
            <v>SL</v>
          </cell>
          <cell r="W48" t="str">
            <v>RD</v>
          </cell>
          <cell r="X48">
            <v>5</v>
          </cell>
          <cell r="Y48">
            <v>5</v>
          </cell>
          <cell r="Z48">
            <v>5</v>
          </cell>
          <cell r="AA48">
            <v>5</v>
          </cell>
          <cell r="AB48" t="str">
            <v>RD</v>
          </cell>
          <cell r="AC48">
            <v>5</v>
          </cell>
          <cell r="AD48">
            <v>5</v>
          </cell>
          <cell r="AE48">
            <v>5</v>
          </cell>
          <cell r="AF48">
            <v>5</v>
          </cell>
          <cell r="AG48" t="str">
            <v>RD</v>
          </cell>
          <cell r="AH48" t="str">
            <v>SL</v>
          </cell>
          <cell r="AI48">
            <v>5</v>
          </cell>
          <cell r="AJ48">
            <v>5</v>
          </cell>
          <cell r="AK48">
            <v>5</v>
          </cell>
          <cell r="AL48">
            <v>1</v>
          </cell>
          <cell r="AM48">
            <v>1</v>
          </cell>
          <cell r="AQ48">
            <v>24</v>
          </cell>
        </row>
        <row r="49">
          <cell r="E49" t="str">
            <v>DELA PENA, Rapie S.</v>
          </cell>
          <cell r="F49">
            <v>2</v>
          </cell>
          <cell r="G49" t="str">
            <v>SL</v>
          </cell>
          <cell r="H49">
            <v>3</v>
          </cell>
          <cell r="I49">
            <v>3</v>
          </cell>
          <cell r="J49" t="str">
            <v>VL</v>
          </cell>
          <cell r="K49" t="str">
            <v>RD</v>
          </cell>
          <cell r="L49" t="str">
            <v>vl</v>
          </cell>
          <cell r="M49" t="str">
            <v>VL</v>
          </cell>
          <cell r="N49">
            <v>3</v>
          </cell>
          <cell r="O49">
            <v>4</v>
          </cell>
          <cell r="P49">
            <v>5</v>
          </cell>
          <cell r="Q49">
            <v>4</v>
          </cell>
          <cell r="R49" t="str">
            <v>RD</v>
          </cell>
          <cell r="S49">
            <v>5</v>
          </cell>
          <cell r="T49">
            <v>5</v>
          </cell>
          <cell r="U49">
            <v>5</v>
          </cell>
          <cell r="V49">
            <v>5</v>
          </cell>
          <cell r="W49" t="str">
            <v>RD</v>
          </cell>
          <cell r="X49">
            <v>5</v>
          </cell>
          <cell r="Y49">
            <v>4</v>
          </cell>
          <cell r="Z49">
            <v>5</v>
          </cell>
          <cell r="AA49">
            <v>5</v>
          </cell>
          <cell r="AB49" t="str">
            <v>RD</v>
          </cell>
          <cell r="AC49">
            <v>5</v>
          </cell>
          <cell r="AD49">
            <v>5</v>
          </cell>
          <cell r="AE49">
            <v>5</v>
          </cell>
          <cell r="AF49">
            <v>5</v>
          </cell>
          <cell r="AG49" t="str">
            <v>RD</v>
          </cell>
          <cell r="AH49" t="str">
            <v>EL</v>
          </cell>
          <cell r="AI49">
            <v>5</v>
          </cell>
          <cell r="AJ49">
            <v>5</v>
          </cell>
          <cell r="AK49">
            <v>5</v>
          </cell>
          <cell r="AL49">
            <v>0.95714285714285707</v>
          </cell>
          <cell r="AM49">
            <v>1</v>
          </cell>
          <cell r="AQ49">
            <v>21</v>
          </cell>
        </row>
        <row r="50">
          <cell r="E50" t="str">
            <v>BUYO, Rico Jay</v>
          </cell>
          <cell r="F50">
            <v>2</v>
          </cell>
          <cell r="G50">
            <v>3</v>
          </cell>
          <cell r="H50">
            <v>3</v>
          </cell>
          <cell r="I50">
            <v>5</v>
          </cell>
          <cell r="J50">
            <v>5</v>
          </cell>
          <cell r="K50" t="str">
            <v>RD</v>
          </cell>
          <cell r="L50">
            <v>4</v>
          </cell>
          <cell r="M50" t="str">
            <v>EL</v>
          </cell>
          <cell r="N50">
            <v>4</v>
          </cell>
          <cell r="O50">
            <v>5</v>
          </cell>
          <cell r="P50">
            <v>4</v>
          </cell>
          <cell r="Q50">
            <v>5</v>
          </cell>
          <cell r="R50" t="str">
            <v>RD</v>
          </cell>
          <cell r="S50">
            <v>5</v>
          </cell>
          <cell r="T50">
            <v>5</v>
          </cell>
          <cell r="U50">
            <v>5</v>
          </cell>
          <cell r="V50">
            <v>5</v>
          </cell>
          <cell r="W50" t="str">
            <v>RD</v>
          </cell>
          <cell r="X50">
            <v>5</v>
          </cell>
          <cell r="Y50">
            <v>4</v>
          </cell>
          <cell r="Z50">
            <v>5</v>
          </cell>
          <cell r="AA50">
            <v>5</v>
          </cell>
          <cell r="AB50" t="str">
            <v>RD</v>
          </cell>
          <cell r="AC50" t="str">
            <v>SL</v>
          </cell>
          <cell r="AD50">
            <v>5</v>
          </cell>
          <cell r="AE50">
            <v>5</v>
          </cell>
          <cell r="AF50">
            <v>5</v>
          </cell>
          <cell r="AG50" t="str">
            <v>RD</v>
          </cell>
          <cell r="AH50">
            <v>5</v>
          </cell>
          <cell r="AI50" t="str">
            <v>EL</v>
          </cell>
          <cell r="AJ50">
            <v>5</v>
          </cell>
          <cell r="AK50">
            <v>5</v>
          </cell>
          <cell r="AL50">
            <v>0.9652173913043478</v>
          </cell>
          <cell r="AM50">
            <v>1</v>
          </cell>
          <cell r="AQ50">
            <v>23</v>
          </cell>
        </row>
        <row r="51">
          <cell r="E51" t="str">
            <v>RUDIS, June Mar</v>
          </cell>
          <cell r="F51">
            <v>2</v>
          </cell>
          <cell r="G51">
            <v>4</v>
          </cell>
          <cell r="H51">
            <v>4</v>
          </cell>
          <cell r="I51">
            <v>4</v>
          </cell>
          <cell r="J51">
            <v>5</v>
          </cell>
          <cell r="K51" t="str">
            <v>RD</v>
          </cell>
          <cell r="L51" t="str">
            <v>EL</v>
          </cell>
          <cell r="M51">
            <v>5</v>
          </cell>
          <cell r="N51">
            <v>5</v>
          </cell>
          <cell r="O51">
            <v>5</v>
          </cell>
          <cell r="P51">
            <v>5</v>
          </cell>
          <cell r="Q51">
            <v>5</v>
          </cell>
          <cell r="R51" t="str">
            <v>RD</v>
          </cell>
          <cell r="S51">
            <v>5</v>
          </cell>
          <cell r="T51">
            <v>5</v>
          </cell>
          <cell r="U51">
            <v>5</v>
          </cell>
          <cell r="V51">
            <v>0</v>
          </cell>
          <cell r="W51" t="str">
            <v>RD</v>
          </cell>
          <cell r="X51">
            <v>5</v>
          </cell>
          <cell r="Y51">
            <v>5</v>
          </cell>
          <cell r="Z51">
            <v>4</v>
          </cell>
          <cell r="AA51">
            <v>5</v>
          </cell>
          <cell r="AB51" t="str">
            <v>RD</v>
          </cell>
          <cell r="AC51">
            <v>5</v>
          </cell>
          <cell r="AD51">
            <v>5</v>
          </cell>
          <cell r="AE51">
            <v>5</v>
          </cell>
          <cell r="AF51">
            <v>0</v>
          </cell>
          <cell r="AG51" t="str">
            <v>RD</v>
          </cell>
          <cell r="AH51">
            <v>5</v>
          </cell>
          <cell r="AI51">
            <v>5</v>
          </cell>
          <cell r="AJ51">
            <v>5</v>
          </cell>
          <cell r="AK51">
            <v>5</v>
          </cell>
          <cell r="AL51">
            <v>0.94260869565217398</v>
          </cell>
          <cell r="AM51">
            <v>0.93548387096774188</v>
          </cell>
          <cell r="AQ51">
            <v>25</v>
          </cell>
        </row>
        <row r="52">
          <cell r="E52" t="str">
            <v>GASAPO, Alladin</v>
          </cell>
          <cell r="F52">
            <v>2</v>
          </cell>
          <cell r="G52">
            <v>4</v>
          </cell>
          <cell r="H52">
            <v>3</v>
          </cell>
          <cell r="I52">
            <v>2</v>
          </cell>
          <cell r="J52">
            <v>5</v>
          </cell>
          <cell r="K52" t="str">
            <v>RD</v>
          </cell>
          <cell r="L52">
            <v>4</v>
          </cell>
          <cell r="M52">
            <v>5</v>
          </cell>
          <cell r="N52">
            <v>5</v>
          </cell>
          <cell r="O52">
            <v>5</v>
          </cell>
          <cell r="P52">
            <v>5</v>
          </cell>
          <cell r="Q52">
            <v>5</v>
          </cell>
          <cell r="R52" t="str">
            <v>RD</v>
          </cell>
          <cell r="S52">
            <v>5</v>
          </cell>
          <cell r="T52">
            <v>5</v>
          </cell>
          <cell r="U52">
            <v>5</v>
          </cell>
          <cell r="V52">
            <v>5</v>
          </cell>
          <cell r="W52" t="str">
            <v>RD</v>
          </cell>
          <cell r="X52">
            <v>5</v>
          </cell>
          <cell r="Y52">
            <v>5</v>
          </cell>
          <cell r="Z52">
            <v>5</v>
          </cell>
          <cell r="AA52">
            <v>5</v>
          </cell>
          <cell r="AB52" t="str">
            <v>RD</v>
          </cell>
          <cell r="AC52">
            <v>5</v>
          </cell>
          <cell r="AD52">
            <v>5</v>
          </cell>
          <cell r="AE52">
            <v>5</v>
          </cell>
          <cell r="AF52">
            <v>5</v>
          </cell>
          <cell r="AG52" t="str">
            <v>RD</v>
          </cell>
          <cell r="AH52">
            <v>5</v>
          </cell>
          <cell r="AI52">
            <v>5</v>
          </cell>
          <cell r="AJ52">
            <v>5</v>
          </cell>
          <cell r="AK52">
            <v>5</v>
          </cell>
          <cell r="AL52">
            <v>0.97307692307692306</v>
          </cell>
          <cell r="AM52">
            <v>1</v>
          </cell>
          <cell r="AQ52">
            <v>26</v>
          </cell>
        </row>
        <row r="53">
          <cell r="E53" t="str">
            <v>AMALIAS, Carlo</v>
          </cell>
          <cell r="F53">
            <v>2</v>
          </cell>
          <cell r="G53" t="str">
            <v>EL</v>
          </cell>
          <cell r="H53" t="str">
            <v>EL</v>
          </cell>
          <cell r="I53" t="str">
            <v>EL</v>
          </cell>
          <cell r="J53" t="str">
            <v>EL</v>
          </cell>
          <cell r="K53" t="str">
            <v>RD</v>
          </cell>
          <cell r="L53" t="str">
            <v>EL</v>
          </cell>
          <cell r="M53" t="str">
            <v>EL</v>
          </cell>
          <cell r="N53" t="str">
            <v>EL</v>
          </cell>
          <cell r="O53" t="str">
            <v>EL</v>
          </cell>
          <cell r="P53" t="str">
            <v>EL</v>
          </cell>
          <cell r="Q53" t="str">
            <v>EL</v>
          </cell>
          <cell r="R53" t="str">
            <v>RD</v>
          </cell>
          <cell r="S53" t="str">
            <v>EL</v>
          </cell>
          <cell r="T53" t="str">
            <v>EL</v>
          </cell>
          <cell r="U53" t="str">
            <v>EL</v>
          </cell>
          <cell r="V53" t="str">
            <v>EL</v>
          </cell>
          <cell r="W53" t="str">
            <v>RD</v>
          </cell>
          <cell r="X53" t="str">
            <v>EL</v>
          </cell>
          <cell r="Y53" t="str">
            <v>EL</v>
          </cell>
          <cell r="Z53" t="str">
            <v>EL</v>
          </cell>
          <cell r="AA53" t="str">
            <v>EL</v>
          </cell>
          <cell r="AB53" t="str">
            <v>RD</v>
          </cell>
          <cell r="AC53" t="str">
            <v>EL</v>
          </cell>
          <cell r="AD53" t="str">
            <v>EL</v>
          </cell>
          <cell r="AE53" t="str">
            <v>EL</v>
          </cell>
          <cell r="AF53" t="str">
            <v>EL</v>
          </cell>
          <cell r="AG53" t="str">
            <v>RD</v>
          </cell>
          <cell r="AH53" t="str">
            <v>EL</v>
          </cell>
          <cell r="AI53" t="str">
            <v>EL</v>
          </cell>
          <cell r="AJ53" t="str">
            <v>EL</v>
          </cell>
          <cell r="AK53" t="str">
            <v>EL</v>
          </cell>
          <cell r="AL53" t="str">
            <v>--</v>
          </cell>
          <cell r="AM53">
            <v>1</v>
          </cell>
          <cell r="AQ53">
            <v>0</v>
          </cell>
        </row>
        <row r="54">
          <cell r="E54" t="str">
            <v>DAGASDAS, Gregorio Jr.</v>
          </cell>
          <cell r="F54">
            <v>2</v>
          </cell>
          <cell r="G54" t="str">
            <v>SL</v>
          </cell>
          <cell r="H54" t="str">
            <v>SL</v>
          </cell>
          <cell r="I54">
            <v>4</v>
          </cell>
          <cell r="J54">
            <v>5</v>
          </cell>
          <cell r="K54" t="str">
            <v>RD</v>
          </cell>
          <cell r="L54">
            <v>5</v>
          </cell>
          <cell r="M54">
            <v>5</v>
          </cell>
          <cell r="N54">
            <v>4</v>
          </cell>
          <cell r="O54">
            <v>5</v>
          </cell>
          <cell r="P54">
            <v>5</v>
          </cell>
          <cell r="Q54">
            <v>5</v>
          </cell>
          <cell r="R54" t="str">
            <v>RD</v>
          </cell>
          <cell r="S54">
            <v>5</v>
          </cell>
          <cell r="T54">
            <v>5</v>
          </cell>
          <cell r="U54">
            <v>5</v>
          </cell>
          <cell r="V54">
            <v>5</v>
          </cell>
          <cell r="W54" t="str">
            <v>RD</v>
          </cell>
          <cell r="X54">
            <v>5</v>
          </cell>
          <cell r="Y54">
            <v>5</v>
          </cell>
          <cell r="Z54">
            <v>5</v>
          </cell>
          <cell r="AA54">
            <v>5</v>
          </cell>
          <cell r="AB54" t="str">
            <v>RD</v>
          </cell>
          <cell r="AC54">
            <v>5</v>
          </cell>
          <cell r="AD54">
            <v>5</v>
          </cell>
          <cell r="AE54">
            <v>5</v>
          </cell>
          <cell r="AF54">
            <v>5</v>
          </cell>
          <cell r="AG54" t="str">
            <v>RD</v>
          </cell>
          <cell r="AH54">
            <v>5</v>
          </cell>
          <cell r="AI54">
            <v>5</v>
          </cell>
          <cell r="AJ54">
            <v>5</v>
          </cell>
          <cell r="AK54">
            <v>5</v>
          </cell>
          <cell r="AL54">
            <v>0.9916666666666667</v>
          </cell>
          <cell r="AM54">
            <v>1</v>
          </cell>
          <cell r="AQ54">
            <v>24</v>
          </cell>
        </row>
        <row r="55">
          <cell r="AM55" t="str">
            <v/>
          </cell>
        </row>
        <row r="56">
          <cell r="AM56" t="str">
            <v/>
          </cell>
        </row>
        <row r="57">
          <cell r="E57" t="str">
            <v>GAYAPA, Joseph Kent</v>
          </cell>
          <cell r="F57" t="str">
            <v>All</v>
          </cell>
        </row>
        <row r="58">
          <cell r="E58" t="str">
            <v xml:space="preserve">BELARMINO, Arniel </v>
          </cell>
          <cell r="F58" t="str">
            <v>All</v>
          </cell>
        </row>
        <row r="59">
          <cell r="E59" t="str">
            <v xml:space="preserve">CORBO, Peter Ramje </v>
          </cell>
          <cell r="F59" t="str">
            <v>SL/DCS</v>
          </cell>
        </row>
        <row r="60">
          <cell r="E60" t="str">
            <v>ARTAZO, Catherine Joelor C.</v>
          </cell>
          <cell r="F60" t="str">
            <v>SL/DCS</v>
          </cell>
        </row>
        <row r="61">
          <cell r="G61" t="str">
            <v>LD</v>
          </cell>
          <cell r="I61" t="str">
            <v>JAO</v>
          </cell>
          <cell r="J61" t="str">
            <v>LD</v>
          </cell>
          <cell r="K61" t="str">
            <v>JMDC</v>
          </cell>
          <cell r="N61" t="str">
            <v>ECC</v>
          </cell>
          <cell r="O61" t="str">
            <v>ECC</v>
          </cell>
          <cell r="P61" t="str">
            <v>ECC</v>
          </cell>
          <cell r="Q61" t="str">
            <v>ECC</v>
          </cell>
          <cell r="R61" t="str">
            <v>ECC</v>
          </cell>
          <cell r="S61" t="str">
            <v>ECC</v>
          </cell>
          <cell r="T61" t="str">
            <v>YAC</v>
          </cell>
          <cell r="U61" t="str">
            <v>YAC</v>
          </cell>
          <cell r="V61" t="str">
            <v>ECC</v>
          </cell>
          <cell r="W61" t="str">
            <v>ECC</v>
          </cell>
          <cell r="X61" t="str">
            <v>ECC</v>
          </cell>
          <cell r="Z61" t="str">
            <v>ECC</v>
          </cell>
          <cell r="AA61" t="str">
            <v>ECC</v>
          </cell>
          <cell r="AB61" t="str">
            <v>ECC</v>
          </cell>
          <cell r="AC61" t="str">
            <v>YAC</v>
          </cell>
          <cell r="AE61" t="str">
            <v>YC/</v>
          </cell>
          <cell r="AH61" t="str">
            <v>AKM</v>
          </cell>
        </row>
        <row r="62">
          <cell r="E62" t="str">
            <v>SIMBAJON, Sherman Nove B.</v>
          </cell>
          <cell r="F62">
            <v>3</v>
          </cell>
          <cell r="G62">
            <v>5</v>
          </cell>
          <cell r="H62">
            <v>5</v>
          </cell>
          <cell r="I62">
            <v>5</v>
          </cell>
          <cell r="J62">
            <v>4</v>
          </cell>
          <cell r="K62">
            <v>5</v>
          </cell>
          <cell r="L62">
            <v>4</v>
          </cell>
          <cell r="M62" t="str">
            <v>RD</v>
          </cell>
          <cell r="N62" t="str">
            <v>VL</v>
          </cell>
          <cell r="O62">
            <v>5</v>
          </cell>
          <cell r="P62">
            <v>5</v>
          </cell>
          <cell r="Q62">
            <v>5</v>
          </cell>
          <cell r="R62">
            <v>5</v>
          </cell>
          <cell r="S62">
            <v>5</v>
          </cell>
          <cell r="T62" t="str">
            <v>RD</v>
          </cell>
          <cell r="U62">
            <v>5</v>
          </cell>
          <cell r="V62">
            <v>5</v>
          </cell>
          <cell r="W62">
            <v>5</v>
          </cell>
          <cell r="X62">
            <v>5</v>
          </cell>
          <cell r="Y62" t="str">
            <v>RD</v>
          </cell>
          <cell r="Z62">
            <v>5</v>
          </cell>
          <cell r="AA62">
            <v>5</v>
          </cell>
          <cell r="AB62">
            <v>5</v>
          </cell>
          <cell r="AC62">
            <v>5</v>
          </cell>
          <cell r="AD62">
            <v>5</v>
          </cell>
          <cell r="AE62" t="str">
            <v>RD</v>
          </cell>
          <cell r="AF62">
            <v>5</v>
          </cell>
          <cell r="AG62">
            <v>5</v>
          </cell>
          <cell r="AH62">
            <v>5</v>
          </cell>
          <cell r="AI62" t="str">
            <v>RD</v>
          </cell>
          <cell r="AJ62">
            <v>5</v>
          </cell>
          <cell r="AK62">
            <v>5</v>
          </cell>
          <cell r="AL62">
            <v>0.99199999999999999</v>
          </cell>
          <cell r="AM62">
            <v>1</v>
          </cell>
          <cell r="AN62">
            <v>0.95162109993393429</v>
          </cell>
          <cell r="AO62">
            <v>0.99646760863769657</v>
          </cell>
          <cell r="AP62">
            <v>0.97404435428581548</v>
          </cell>
          <cell r="AQ62">
            <v>25</v>
          </cell>
        </row>
        <row r="63">
          <cell r="E63" t="str">
            <v>MORDENO, Chelsea</v>
          </cell>
          <cell r="F63">
            <v>3</v>
          </cell>
          <cell r="G63">
            <v>5</v>
          </cell>
          <cell r="H63">
            <v>5</v>
          </cell>
          <cell r="I63">
            <v>3</v>
          </cell>
          <cell r="J63">
            <v>5</v>
          </cell>
          <cell r="K63">
            <v>5</v>
          </cell>
          <cell r="L63">
            <v>4</v>
          </cell>
          <cell r="M63" t="str">
            <v>RD</v>
          </cell>
          <cell r="N63">
            <v>4</v>
          </cell>
          <cell r="O63">
            <v>5</v>
          </cell>
          <cell r="P63">
            <v>5</v>
          </cell>
          <cell r="AL63">
            <v>0.95555555555555549</v>
          </cell>
          <cell r="AM63">
            <v>1</v>
          </cell>
          <cell r="AQ63">
            <v>9</v>
          </cell>
        </row>
        <row r="64">
          <cell r="E64" t="str">
            <v>ORCEJOLA, Karen Mae.</v>
          </cell>
          <cell r="F64">
            <v>3</v>
          </cell>
          <cell r="P64">
            <v>4</v>
          </cell>
          <cell r="Q64">
            <v>4</v>
          </cell>
          <cell r="R64">
            <v>5</v>
          </cell>
          <cell r="S64">
            <v>5</v>
          </cell>
          <cell r="T64" t="str">
            <v>RD</v>
          </cell>
          <cell r="U64">
            <v>5</v>
          </cell>
          <cell r="V64">
            <v>5</v>
          </cell>
          <cell r="W64">
            <v>5</v>
          </cell>
          <cell r="X64">
            <v>5</v>
          </cell>
          <cell r="Y64" t="str">
            <v>RD</v>
          </cell>
          <cell r="Z64">
            <v>5</v>
          </cell>
          <cell r="AA64">
            <v>5</v>
          </cell>
          <cell r="AB64">
            <v>5</v>
          </cell>
          <cell r="AC64">
            <v>5</v>
          </cell>
          <cell r="AD64" t="str">
            <v>RD</v>
          </cell>
          <cell r="AE64">
            <v>5</v>
          </cell>
          <cell r="AF64">
            <v>5</v>
          </cell>
          <cell r="AG64">
            <v>5</v>
          </cell>
          <cell r="AH64">
            <v>5</v>
          </cell>
          <cell r="AI64" t="str">
            <v>RD</v>
          </cell>
          <cell r="AJ64">
            <v>5</v>
          </cell>
          <cell r="AK64">
            <v>5</v>
          </cell>
          <cell r="AL64">
            <v>0.98888888888888893</v>
          </cell>
          <cell r="AM64">
            <v>1</v>
          </cell>
          <cell r="AQ64">
            <v>18</v>
          </cell>
        </row>
        <row r="65">
          <cell r="E65" t="str">
            <v>CORMINAL, Roland</v>
          </cell>
          <cell r="F65">
            <v>3</v>
          </cell>
          <cell r="G65">
            <v>5</v>
          </cell>
          <cell r="H65">
            <v>5</v>
          </cell>
          <cell r="I65">
            <v>4</v>
          </cell>
          <cell r="J65">
            <v>4</v>
          </cell>
          <cell r="K65">
            <v>5</v>
          </cell>
          <cell r="L65">
            <v>4</v>
          </cell>
          <cell r="M65" t="str">
            <v>RD</v>
          </cell>
          <cell r="N65">
            <v>5</v>
          </cell>
          <cell r="O65">
            <v>4</v>
          </cell>
          <cell r="P65">
            <v>5</v>
          </cell>
          <cell r="Q65">
            <v>5</v>
          </cell>
          <cell r="R65">
            <v>5</v>
          </cell>
          <cell r="S65">
            <v>5</v>
          </cell>
          <cell r="T65" t="str">
            <v>RD</v>
          </cell>
          <cell r="U65">
            <v>5</v>
          </cell>
          <cell r="V65">
            <v>5</v>
          </cell>
          <cell r="W65">
            <v>5</v>
          </cell>
          <cell r="X65">
            <v>5</v>
          </cell>
          <cell r="Y65" t="str">
            <v>RD</v>
          </cell>
          <cell r="Z65">
            <v>5</v>
          </cell>
          <cell r="AA65">
            <v>5</v>
          </cell>
          <cell r="AB65">
            <v>5</v>
          </cell>
          <cell r="AC65">
            <v>5</v>
          </cell>
          <cell r="AD65">
            <v>5</v>
          </cell>
          <cell r="AE65" t="str">
            <v>RD</v>
          </cell>
          <cell r="AF65">
            <v>5</v>
          </cell>
          <cell r="AG65">
            <v>5</v>
          </cell>
          <cell r="AH65">
            <v>5</v>
          </cell>
          <cell r="AI65" t="str">
            <v>RD</v>
          </cell>
          <cell r="AJ65">
            <v>5</v>
          </cell>
          <cell r="AK65">
            <v>5</v>
          </cell>
          <cell r="AL65">
            <v>0.98461538461538456</v>
          </cell>
          <cell r="AM65">
            <v>1</v>
          </cell>
          <cell r="AQ65">
            <v>26</v>
          </cell>
        </row>
        <row r="66">
          <cell r="E66" t="str">
            <v>MAGLINTE, Jerryll</v>
          </cell>
          <cell r="F66">
            <v>3</v>
          </cell>
          <cell r="G66" t="str">
            <v>L</v>
          </cell>
          <cell r="H66">
            <v>4</v>
          </cell>
          <cell r="I66">
            <v>3</v>
          </cell>
          <cell r="J66">
            <v>5</v>
          </cell>
          <cell r="K66">
            <v>4</v>
          </cell>
          <cell r="L66">
            <v>5</v>
          </cell>
          <cell r="M66" t="str">
            <v>RD</v>
          </cell>
          <cell r="N66">
            <v>5</v>
          </cell>
          <cell r="O66">
            <v>4</v>
          </cell>
          <cell r="P66">
            <v>5</v>
          </cell>
          <cell r="Q66">
            <v>4</v>
          </cell>
          <cell r="R66">
            <v>5</v>
          </cell>
          <cell r="S66">
            <v>5</v>
          </cell>
          <cell r="T66" t="str">
            <v>RD</v>
          </cell>
          <cell r="U66">
            <v>5</v>
          </cell>
          <cell r="V66">
            <v>5</v>
          </cell>
          <cell r="W66">
            <v>5</v>
          </cell>
          <cell r="X66">
            <v>5</v>
          </cell>
          <cell r="Y66" t="str">
            <v>RD</v>
          </cell>
          <cell r="Z66">
            <v>5</v>
          </cell>
          <cell r="AA66">
            <v>4</v>
          </cell>
          <cell r="AB66">
            <v>4</v>
          </cell>
          <cell r="AC66">
            <v>5</v>
          </cell>
          <cell r="AD66" t="str">
            <v>RD</v>
          </cell>
          <cell r="AE66">
            <v>5</v>
          </cell>
          <cell r="AF66">
            <v>5</v>
          </cell>
          <cell r="AG66">
            <v>5</v>
          </cell>
          <cell r="AH66">
            <v>5</v>
          </cell>
          <cell r="AI66" t="str">
            <v>RD</v>
          </cell>
          <cell r="AJ66">
            <v>5</v>
          </cell>
          <cell r="AK66">
            <v>5</v>
          </cell>
          <cell r="AL66">
            <v>0.96799999999999997</v>
          </cell>
          <cell r="AM66">
            <v>1</v>
          </cell>
          <cell r="AQ66">
            <v>25</v>
          </cell>
        </row>
        <row r="67">
          <cell r="E67" t="str">
            <v>MANILI, Jessie</v>
          </cell>
          <cell r="F67">
            <v>3</v>
          </cell>
          <cell r="G67">
            <v>4</v>
          </cell>
          <cell r="H67">
            <v>4</v>
          </cell>
          <cell r="I67">
            <v>3</v>
          </cell>
          <cell r="J67">
            <v>4</v>
          </cell>
          <cell r="K67">
            <v>4</v>
          </cell>
          <cell r="L67" t="str">
            <v>EL</v>
          </cell>
          <cell r="M67" t="str">
            <v>RD</v>
          </cell>
          <cell r="N67" t="str">
            <v>EL</v>
          </cell>
          <cell r="O67">
            <v>4</v>
          </cell>
          <cell r="P67">
            <v>5</v>
          </cell>
          <cell r="Q67">
            <v>4</v>
          </cell>
          <cell r="R67">
            <v>5</v>
          </cell>
          <cell r="S67">
            <v>5</v>
          </cell>
          <cell r="T67" t="str">
            <v>RD</v>
          </cell>
          <cell r="U67">
            <v>5</v>
          </cell>
          <cell r="V67">
            <v>5</v>
          </cell>
          <cell r="W67">
            <v>5</v>
          </cell>
          <cell r="X67">
            <v>5</v>
          </cell>
          <cell r="Y67" t="str">
            <v>RD</v>
          </cell>
          <cell r="Z67">
            <v>5</v>
          </cell>
          <cell r="AA67">
            <v>5</v>
          </cell>
          <cell r="AB67">
            <v>5</v>
          </cell>
          <cell r="AC67">
            <v>5</v>
          </cell>
          <cell r="AD67" t="str">
            <v>RD</v>
          </cell>
          <cell r="AE67">
            <v>5</v>
          </cell>
          <cell r="AF67">
            <v>5</v>
          </cell>
          <cell r="AG67">
            <v>5</v>
          </cell>
          <cell r="AH67">
            <v>5</v>
          </cell>
          <cell r="AI67" t="str">
            <v>RD</v>
          </cell>
          <cell r="AJ67">
            <v>4</v>
          </cell>
          <cell r="AK67">
            <v>5</v>
          </cell>
          <cell r="AL67">
            <v>0.96250000000000002</v>
          </cell>
          <cell r="AM67">
            <v>1</v>
          </cell>
          <cell r="AQ67">
            <v>24</v>
          </cell>
        </row>
        <row r="68">
          <cell r="E68" t="str">
            <v>CATONG, Abel</v>
          </cell>
          <cell r="F68">
            <v>3</v>
          </cell>
          <cell r="G68">
            <v>3</v>
          </cell>
          <cell r="H68">
            <v>3</v>
          </cell>
          <cell r="I68">
            <v>3</v>
          </cell>
          <cell r="J68">
            <v>3</v>
          </cell>
          <cell r="K68">
            <v>4</v>
          </cell>
          <cell r="L68">
            <v>4</v>
          </cell>
          <cell r="M68" t="str">
            <v>RD</v>
          </cell>
          <cell r="N68">
            <v>5</v>
          </cell>
          <cell r="O68">
            <v>5</v>
          </cell>
          <cell r="P68">
            <v>4</v>
          </cell>
          <cell r="Q68">
            <v>5</v>
          </cell>
          <cell r="R68">
            <v>5</v>
          </cell>
          <cell r="S68">
            <v>5</v>
          </cell>
          <cell r="T68" t="str">
            <v>RD</v>
          </cell>
          <cell r="U68">
            <v>5</v>
          </cell>
          <cell r="V68">
            <v>5</v>
          </cell>
          <cell r="W68">
            <v>5</v>
          </cell>
          <cell r="X68">
            <v>5</v>
          </cell>
          <cell r="Y68" t="str">
            <v>RD</v>
          </cell>
          <cell r="Z68">
            <v>4</v>
          </cell>
          <cell r="AA68">
            <v>4</v>
          </cell>
          <cell r="AB68">
            <v>5</v>
          </cell>
          <cell r="AC68">
            <v>5</v>
          </cell>
          <cell r="AD68" t="str">
            <v>RD</v>
          </cell>
          <cell r="AE68">
            <v>5</v>
          </cell>
          <cell r="AF68">
            <v>5</v>
          </cell>
          <cell r="AG68">
            <v>5</v>
          </cell>
          <cell r="AH68">
            <v>4</v>
          </cell>
          <cell r="AI68" t="str">
            <v>RD</v>
          </cell>
          <cell r="AJ68">
            <v>5</v>
          </cell>
          <cell r="AK68">
            <v>5</v>
          </cell>
          <cell r="AL68">
            <v>0.94615384615384612</v>
          </cell>
          <cell r="AM68">
            <v>1</v>
          </cell>
          <cell r="AQ68">
            <v>26</v>
          </cell>
        </row>
        <row r="69">
          <cell r="E69" t="str">
            <v xml:space="preserve">SAMONTINA, Michael Jhun </v>
          </cell>
          <cell r="F69">
            <v>3</v>
          </cell>
          <cell r="G69">
            <v>5</v>
          </cell>
          <cell r="H69">
            <v>5</v>
          </cell>
          <cell r="I69">
            <v>4</v>
          </cell>
          <cell r="J69">
            <v>4</v>
          </cell>
          <cell r="K69">
            <v>5</v>
          </cell>
          <cell r="L69">
            <v>5</v>
          </cell>
          <cell r="M69" t="str">
            <v>RD</v>
          </cell>
          <cell r="N69">
            <v>5</v>
          </cell>
          <cell r="O69">
            <v>5</v>
          </cell>
          <cell r="P69">
            <v>5</v>
          </cell>
          <cell r="Q69">
            <v>4</v>
          </cell>
          <cell r="R69">
            <v>5</v>
          </cell>
          <cell r="S69">
            <v>5</v>
          </cell>
          <cell r="T69" t="str">
            <v>RD</v>
          </cell>
          <cell r="U69">
            <v>5</v>
          </cell>
          <cell r="V69">
            <v>5</v>
          </cell>
          <cell r="W69">
            <v>5</v>
          </cell>
          <cell r="X69">
            <v>5</v>
          </cell>
          <cell r="Y69" t="str">
            <v>RD</v>
          </cell>
          <cell r="Z69">
            <v>5</v>
          </cell>
          <cell r="AA69">
            <v>5</v>
          </cell>
          <cell r="AB69">
            <v>5</v>
          </cell>
          <cell r="AC69">
            <v>5</v>
          </cell>
          <cell r="AD69">
            <v>5</v>
          </cell>
          <cell r="AE69" t="str">
            <v>RD</v>
          </cell>
          <cell r="AF69">
            <v>5</v>
          </cell>
          <cell r="AG69">
            <v>5</v>
          </cell>
          <cell r="AH69">
            <v>5</v>
          </cell>
          <cell r="AI69" t="str">
            <v>RD</v>
          </cell>
          <cell r="AJ69">
            <v>5</v>
          </cell>
          <cell r="AK69">
            <v>5</v>
          </cell>
          <cell r="AL69">
            <v>0.9884615384615385</v>
          </cell>
          <cell r="AM69">
            <v>1</v>
          </cell>
          <cell r="AQ69">
            <v>26</v>
          </cell>
        </row>
        <row r="70">
          <cell r="E70" t="str">
            <v xml:space="preserve">DEGOLTO, Joel </v>
          </cell>
          <cell r="F70">
            <v>3</v>
          </cell>
          <cell r="G70">
            <v>3</v>
          </cell>
          <cell r="H70">
            <v>3</v>
          </cell>
          <cell r="I70">
            <v>3</v>
          </cell>
          <cell r="J70">
            <v>4</v>
          </cell>
          <cell r="K70">
            <v>5</v>
          </cell>
          <cell r="L70" t="str">
            <v>VL</v>
          </cell>
          <cell r="M70" t="str">
            <v>RD</v>
          </cell>
          <cell r="N70" t="str">
            <v>SL</v>
          </cell>
          <cell r="O70">
            <v>4</v>
          </cell>
          <cell r="P70">
            <v>4</v>
          </cell>
          <cell r="Q70">
            <v>4</v>
          </cell>
          <cell r="R70">
            <v>4</v>
          </cell>
          <cell r="S70">
            <v>4</v>
          </cell>
          <cell r="T70" t="str">
            <v>RD</v>
          </cell>
          <cell r="U70">
            <v>5</v>
          </cell>
          <cell r="V70">
            <v>5</v>
          </cell>
          <cell r="W70">
            <v>5</v>
          </cell>
          <cell r="X70">
            <v>5</v>
          </cell>
          <cell r="Y70" t="str">
            <v>RD</v>
          </cell>
          <cell r="Z70">
            <v>5</v>
          </cell>
          <cell r="AA70">
            <v>5</v>
          </cell>
          <cell r="AB70">
            <v>5</v>
          </cell>
          <cell r="AC70">
            <v>5</v>
          </cell>
          <cell r="AD70" t="str">
            <v>RD</v>
          </cell>
          <cell r="AE70">
            <v>5</v>
          </cell>
          <cell r="AF70">
            <v>5</v>
          </cell>
          <cell r="AG70">
            <v>5</v>
          </cell>
          <cell r="AH70">
            <v>5</v>
          </cell>
          <cell r="AI70" t="str">
            <v>RD</v>
          </cell>
          <cell r="AJ70" t="str">
            <v>L</v>
          </cell>
          <cell r="AK70" t="str">
            <v>L</v>
          </cell>
          <cell r="AL70">
            <v>0.94545454545454544</v>
          </cell>
          <cell r="AM70">
            <v>1</v>
          </cell>
          <cell r="AQ70">
            <v>22</v>
          </cell>
        </row>
        <row r="71">
          <cell r="E71" t="str">
            <v>TAYOR,  Rocar John Paul P.</v>
          </cell>
          <cell r="F71">
            <v>3</v>
          </cell>
          <cell r="G71">
            <v>5</v>
          </cell>
          <cell r="H71">
            <v>5</v>
          </cell>
          <cell r="I71">
            <v>5</v>
          </cell>
          <cell r="J71">
            <v>5</v>
          </cell>
          <cell r="K71">
            <v>5</v>
          </cell>
          <cell r="L71">
            <v>5</v>
          </cell>
          <cell r="M71" t="str">
            <v>RD</v>
          </cell>
          <cell r="N71">
            <v>5</v>
          </cell>
          <cell r="O71">
            <v>5</v>
          </cell>
          <cell r="P71">
            <v>5</v>
          </cell>
          <cell r="Q71">
            <v>5</v>
          </cell>
          <cell r="R71">
            <v>5</v>
          </cell>
          <cell r="T71" t="str">
            <v>RD</v>
          </cell>
          <cell r="Y71" t="str">
            <v>RD</v>
          </cell>
          <cell r="AD71" t="str">
            <v>RD</v>
          </cell>
          <cell r="AH71">
            <v>5</v>
          </cell>
          <cell r="AI71" t="str">
            <v>RD</v>
          </cell>
          <cell r="AJ71">
            <v>5</v>
          </cell>
          <cell r="AK71">
            <v>5</v>
          </cell>
          <cell r="AL71">
            <v>1</v>
          </cell>
          <cell r="AM71">
            <v>1</v>
          </cell>
          <cell r="AQ71">
            <v>14</v>
          </cell>
        </row>
        <row r="72">
          <cell r="E72" t="str">
            <v>WONG, Harold G..</v>
          </cell>
          <cell r="F72">
            <v>3</v>
          </cell>
          <cell r="S72">
            <v>5</v>
          </cell>
          <cell r="T72" t="str">
            <v>RD</v>
          </cell>
          <cell r="U72">
            <v>5</v>
          </cell>
          <cell r="V72">
            <v>5</v>
          </cell>
          <cell r="W72">
            <v>5</v>
          </cell>
          <cell r="X72">
            <v>5</v>
          </cell>
          <cell r="Y72" t="str">
            <v>RD</v>
          </cell>
          <cell r="Z72">
            <v>5</v>
          </cell>
          <cell r="AA72">
            <v>5</v>
          </cell>
          <cell r="AB72">
            <v>5</v>
          </cell>
          <cell r="AC72">
            <v>5</v>
          </cell>
          <cell r="AD72" t="str">
            <v>RD</v>
          </cell>
          <cell r="AE72">
            <v>5</v>
          </cell>
          <cell r="AF72">
            <v>5</v>
          </cell>
          <cell r="AG72">
            <v>5</v>
          </cell>
          <cell r="AH72">
            <v>5</v>
          </cell>
          <cell r="AI72" t="str">
            <v>RD</v>
          </cell>
          <cell r="AL72">
            <v>1</v>
          </cell>
          <cell r="AM72">
            <v>1</v>
          </cell>
          <cell r="AQ72">
            <v>13</v>
          </cell>
        </row>
        <row r="73">
          <cell r="E73" t="str">
            <v>COCAMAS, Louie R</v>
          </cell>
          <cell r="F73">
            <v>3</v>
          </cell>
          <cell r="G73">
            <v>5</v>
          </cell>
          <cell r="H73">
            <v>5</v>
          </cell>
          <cell r="I73">
            <v>3</v>
          </cell>
          <cell r="J73">
            <v>4</v>
          </cell>
          <cell r="K73">
            <v>5</v>
          </cell>
          <cell r="L73">
            <v>5</v>
          </cell>
          <cell r="M73" t="str">
            <v>RD</v>
          </cell>
          <cell r="N73">
            <v>5</v>
          </cell>
          <cell r="O73">
            <v>4</v>
          </cell>
          <cell r="P73">
            <v>4</v>
          </cell>
          <cell r="Q73">
            <v>4</v>
          </cell>
          <cell r="R73">
            <v>5</v>
          </cell>
          <cell r="S73">
            <v>5</v>
          </cell>
          <cell r="T73" t="str">
            <v>RD</v>
          </cell>
          <cell r="U73">
            <v>5</v>
          </cell>
          <cell r="V73">
            <v>5</v>
          </cell>
          <cell r="W73">
            <v>5</v>
          </cell>
          <cell r="X73">
            <v>5</v>
          </cell>
          <cell r="Y73" t="str">
            <v>RD</v>
          </cell>
          <cell r="Z73">
            <v>5</v>
          </cell>
          <cell r="AA73">
            <v>5</v>
          </cell>
          <cell r="AB73">
            <v>5</v>
          </cell>
          <cell r="AC73">
            <v>5</v>
          </cell>
          <cell r="AD73">
            <v>5</v>
          </cell>
          <cell r="AE73" t="str">
            <v>RD</v>
          </cell>
          <cell r="AF73">
            <v>5</v>
          </cell>
          <cell r="AG73">
            <v>5</v>
          </cell>
          <cell r="AH73">
            <v>5</v>
          </cell>
          <cell r="AI73" t="str">
            <v>RD</v>
          </cell>
          <cell r="AJ73">
            <v>5</v>
          </cell>
          <cell r="AK73">
            <v>5</v>
          </cell>
          <cell r="AL73">
            <v>0.97692307692307689</v>
          </cell>
          <cell r="AM73">
            <v>1</v>
          </cell>
          <cell r="AQ73">
            <v>26</v>
          </cell>
        </row>
        <row r="74">
          <cell r="E74" t="str">
            <v>NECESARIO, Nhergil</v>
          </cell>
          <cell r="F74">
            <v>3</v>
          </cell>
          <cell r="G74">
            <v>4</v>
          </cell>
          <cell r="H74">
            <v>4</v>
          </cell>
          <cell r="I74">
            <v>3</v>
          </cell>
          <cell r="J74">
            <v>3</v>
          </cell>
          <cell r="K74">
            <v>5</v>
          </cell>
          <cell r="L74">
            <v>5</v>
          </cell>
          <cell r="M74" t="str">
            <v>RD</v>
          </cell>
          <cell r="N74">
            <v>4</v>
          </cell>
          <cell r="O74">
            <v>3</v>
          </cell>
          <cell r="P74">
            <v>3</v>
          </cell>
          <cell r="Q74">
            <v>4</v>
          </cell>
          <cell r="R74">
            <v>5</v>
          </cell>
          <cell r="S74">
            <v>3</v>
          </cell>
          <cell r="T74" t="str">
            <v>RD</v>
          </cell>
          <cell r="U74">
            <v>3</v>
          </cell>
          <cell r="V74">
            <v>4</v>
          </cell>
          <cell r="W74">
            <v>4</v>
          </cell>
          <cell r="X74">
            <v>4</v>
          </cell>
          <cell r="Y74" t="str">
            <v>RD</v>
          </cell>
          <cell r="Z74">
            <v>4</v>
          </cell>
          <cell r="AA74">
            <v>4</v>
          </cell>
          <cell r="AB74">
            <v>4</v>
          </cell>
          <cell r="AC74">
            <v>4</v>
          </cell>
          <cell r="AD74" t="str">
            <v>RD</v>
          </cell>
          <cell r="AE74">
            <v>4</v>
          </cell>
          <cell r="AF74">
            <v>4</v>
          </cell>
          <cell r="AG74">
            <v>2</v>
          </cell>
          <cell r="AH74" t="str">
            <v>L</v>
          </cell>
          <cell r="AI74" t="str">
            <v>RD</v>
          </cell>
          <cell r="AJ74">
            <v>4</v>
          </cell>
          <cell r="AK74">
            <v>2</v>
          </cell>
          <cell r="AL74">
            <v>0.872</v>
          </cell>
          <cell r="AM74">
            <v>1</v>
          </cell>
          <cell r="AQ74">
            <v>25</v>
          </cell>
        </row>
        <row r="75">
          <cell r="E75" t="str">
            <v>OCON, Jonathan P..</v>
          </cell>
          <cell r="F75">
            <v>3</v>
          </cell>
          <cell r="G75">
            <v>3</v>
          </cell>
          <cell r="H75">
            <v>3</v>
          </cell>
          <cell r="I75">
            <v>4</v>
          </cell>
          <cell r="J75">
            <v>4</v>
          </cell>
          <cell r="K75">
            <v>4</v>
          </cell>
          <cell r="L75">
            <v>3</v>
          </cell>
          <cell r="M75" t="str">
            <v>RD</v>
          </cell>
          <cell r="N75">
            <v>3</v>
          </cell>
          <cell r="O75">
            <v>5</v>
          </cell>
          <cell r="AL75">
            <v>0.86250000000000004</v>
          </cell>
          <cell r="AM75">
            <v>1</v>
          </cell>
          <cell r="AQ75">
            <v>8</v>
          </cell>
        </row>
        <row r="76">
          <cell r="E76" t="str">
            <v>DELCORRO, Edgar S., Jr.</v>
          </cell>
          <cell r="F76">
            <v>3</v>
          </cell>
          <cell r="P76">
            <v>4</v>
          </cell>
          <cell r="Q76">
            <v>4</v>
          </cell>
          <cell r="R76">
            <v>5</v>
          </cell>
          <cell r="S76">
            <v>5</v>
          </cell>
          <cell r="T76" t="str">
            <v>RD</v>
          </cell>
          <cell r="U76">
            <v>5</v>
          </cell>
          <cell r="V76">
            <v>5</v>
          </cell>
          <cell r="W76">
            <v>5</v>
          </cell>
          <cell r="X76">
            <v>5</v>
          </cell>
          <cell r="Y76" t="str">
            <v>RD</v>
          </cell>
          <cell r="Z76">
            <v>5</v>
          </cell>
          <cell r="AA76">
            <v>5</v>
          </cell>
          <cell r="AB76">
            <v>5</v>
          </cell>
          <cell r="AC76">
            <v>5</v>
          </cell>
          <cell r="AD76" t="str">
            <v>RD</v>
          </cell>
          <cell r="AE76">
            <v>0</v>
          </cell>
          <cell r="AF76">
            <v>5</v>
          </cell>
          <cell r="AG76">
            <v>5</v>
          </cell>
          <cell r="AH76">
            <v>5</v>
          </cell>
          <cell r="AI76" t="str">
            <v>RD</v>
          </cell>
          <cell r="AJ76">
            <v>5</v>
          </cell>
          <cell r="AK76">
            <v>5</v>
          </cell>
          <cell r="AL76">
            <v>0.96045751633986931</v>
          </cell>
          <cell r="AM76">
            <v>0.95454545454545459</v>
          </cell>
          <cell r="AQ76">
            <v>18</v>
          </cell>
        </row>
        <row r="77">
          <cell r="E77" t="str">
            <v>DOCOR, Romeo</v>
          </cell>
          <cell r="F77">
            <v>3</v>
          </cell>
          <cell r="G77">
            <v>4</v>
          </cell>
          <cell r="H77">
            <v>5</v>
          </cell>
          <cell r="I77">
            <v>4</v>
          </cell>
          <cell r="J77">
            <v>5</v>
          </cell>
          <cell r="K77">
            <v>5</v>
          </cell>
          <cell r="L77" t="str">
            <v>L</v>
          </cell>
          <cell r="M77" t="str">
            <v>RD</v>
          </cell>
          <cell r="N77" t="str">
            <v>SL</v>
          </cell>
          <cell r="O77">
            <v>5</v>
          </cell>
          <cell r="P77">
            <v>5</v>
          </cell>
          <cell r="Q77">
            <v>5</v>
          </cell>
          <cell r="R77">
            <v>5</v>
          </cell>
          <cell r="S77">
            <v>5</v>
          </cell>
          <cell r="T77" t="str">
            <v>RD</v>
          </cell>
          <cell r="U77">
            <v>5</v>
          </cell>
          <cell r="V77">
            <v>5</v>
          </cell>
          <cell r="W77">
            <v>5</v>
          </cell>
          <cell r="X77">
            <v>5</v>
          </cell>
          <cell r="Y77" t="str">
            <v>RD</v>
          </cell>
          <cell r="Z77">
            <v>5</v>
          </cell>
          <cell r="AA77">
            <v>5</v>
          </cell>
          <cell r="AB77">
            <v>5</v>
          </cell>
          <cell r="AC77">
            <v>5</v>
          </cell>
          <cell r="AD77" t="str">
            <v>RD</v>
          </cell>
          <cell r="AE77">
            <v>5</v>
          </cell>
          <cell r="AF77">
            <v>5</v>
          </cell>
          <cell r="AG77">
            <v>5</v>
          </cell>
          <cell r="AH77">
            <v>5</v>
          </cell>
          <cell r="AI77" t="str">
            <v>RD</v>
          </cell>
          <cell r="AJ77">
            <v>5</v>
          </cell>
          <cell r="AK77">
            <v>5</v>
          </cell>
          <cell r="AL77">
            <v>0.9916666666666667</v>
          </cell>
          <cell r="AM77">
            <v>1</v>
          </cell>
          <cell r="AQ77">
            <v>24</v>
          </cell>
        </row>
        <row r="78">
          <cell r="E78" t="str">
            <v>VALLEJOS, Ronelo</v>
          </cell>
          <cell r="F78">
            <v>3</v>
          </cell>
          <cell r="G78">
            <v>4</v>
          </cell>
          <cell r="H78">
            <v>4</v>
          </cell>
          <cell r="I78">
            <v>4</v>
          </cell>
          <cell r="J78">
            <v>4</v>
          </cell>
          <cell r="K78">
            <v>5</v>
          </cell>
          <cell r="L78">
            <v>4</v>
          </cell>
          <cell r="M78" t="str">
            <v>RD</v>
          </cell>
          <cell r="N78">
            <v>5</v>
          </cell>
          <cell r="O78" t="str">
            <v>SL</v>
          </cell>
          <cell r="P78">
            <v>4</v>
          </cell>
          <cell r="Q78">
            <v>4</v>
          </cell>
          <cell r="R78">
            <v>5</v>
          </cell>
          <cell r="S78">
            <v>5</v>
          </cell>
          <cell r="T78" t="str">
            <v>RD</v>
          </cell>
          <cell r="U78">
            <v>4</v>
          </cell>
          <cell r="V78">
            <v>5</v>
          </cell>
          <cell r="W78">
            <v>5</v>
          </cell>
          <cell r="X78">
            <v>5</v>
          </cell>
          <cell r="Y78" t="str">
            <v>RD</v>
          </cell>
          <cell r="Z78">
            <v>5</v>
          </cell>
          <cell r="AA78">
            <v>4</v>
          </cell>
          <cell r="AB78">
            <v>4</v>
          </cell>
          <cell r="AC78">
            <v>5</v>
          </cell>
          <cell r="AD78" t="str">
            <v>RD</v>
          </cell>
          <cell r="AE78">
            <v>5</v>
          </cell>
          <cell r="AF78">
            <v>5</v>
          </cell>
          <cell r="AG78">
            <v>4</v>
          </cell>
          <cell r="AH78">
            <v>5</v>
          </cell>
          <cell r="AI78" t="str">
            <v>RD</v>
          </cell>
          <cell r="AJ78">
            <v>5</v>
          </cell>
          <cell r="AK78">
            <v>5</v>
          </cell>
          <cell r="AL78">
            <v>0.95599999999999996</v>
          </cell>
          <cell r="AM78">
            <v>1</v>
          </cell>
          <cell r="AQ78">
            <v>25</v>
          </cell>
        </row>
        <row r="79">
          <cell r="E79" t="str">
            <v xml:space="preserve">GALENDEZ, Reyden </v>
          </cell>
          <cell r="F79">
            <v>3</v>
          </cell>
          <cell r="G79">
            <v>3</v>
          </cell>
          <cell r="H79">
            <v>3</v>
          </cell>
          <cell r="I79">
            <v>3</v>
          </cell>
          <cell r="J79">
            <v>3</v>
          </cell>
          <cell r="K79">
            <v>4</v>
          </cell>
          <cell r="L79">
            <v>3</v>
          </cell>
          <cell r="M79" t="str">
            <v>RD</v>
          </cell>
          <cell r="N79">
            <v>3</v>
          </cell>
          <cell r="O79">
            <v>3</v>
          </cell>
          <cell r="P79">
            <v>3</v>
          </cell>
          <cell r="Q79">
            <v>4</v>
          </cell>
          <cell r="R79">
            <v>4</v>
          </cell>
          <cell r="S79">
            <v>4</v>
          </cell>
          <cell r="T79" t="str">
            <v>RD</v>
          </cell>
          <cell r="U79">
            <v>3</v>
          </cell>
          <cell r="V79">
            <v>4</v>
          </cell>
          <cell r="W79">
            <v>3</v>
          </cell>
          <cell r="X79">
            <v>4</v>
          </cell>
          <cell r="Y79" t="str">
            <v>RD</v>
          </cell>
          <cell r="Z79">
            <v>4</v>
          </cell>
          <cell r="AA79">
            <v>4</v>
          </cell>
          <cell r="AB79">
            <v>4</v>
          </cell>
          <cell r="AC79">
            <v>5</v>
          </cell>
          <cell r="AD79" t="str">
            <v>RD</v>
          </cell>
          <cell r="AE79">
            <v>4</v>
          </cell>
          <cell r="AF79">
            <v>4</v>
          </cell>
          <cell r="AG79">
            <v>4</v>
          </cell>
          <cell r="AH79">
            <v>4</v>
          </cell>
          <cell r="AI79" t="str">
            <v>RD</v>
          </cell>
          <cell r="AJ79">
            <v>4</v>
          </cell>
          <cell r="AK79">
            <v>4</v>
          </cell>
          <cell r="AL79">
            <v>0.86538461538461542</v>
          </cell>
          <cell r="AM79">
            <v>1</v>
          </cell>
          <cell r="AQ79">
            <v>26</v>
          </cell>
        </row>
        <row r="80">
          <cell r="E80" t="str">
            <v>CERIO, Jenny Mae A.</v>
          </cell>
          <cell r="F80">
            <v>3</v>
          </cell>
          <cell r="G80">
            <v>5</v>
          </cell>
          <cell r="H80">
            <v>5</v>
          </cell>
          <cell r="I80">
            <v>5</v>
          </cell>
          <cell r="J80">
            <v>5</v>
          </cell>
          <cell r="K80">
            <v>5</v>
          </cell>
          <cell r="L80">
            <v>5</v>
          </cell>
          <cell r="M80" t="str">
            <v>RD</v>
          </cell>
          <cell r="N80">
            <v>5</v>
          </cell>
          <cell r="O80">
            <v>5</v>
          </cell>
          <cell r="P80">
            <v>5</v>
          </cell>
          <cell r="Q80">
            <v>5</v>
          </cell>
          <cell r="R80">
            <v>5</v>
          </cell>
          <cell r="S80" t="str">
            <v>SL</v>
          </cell>
          <cell r="T80" t="str">
            <v>RD</v>
          </cell>
          <cell r="U80">
            <v>5</v>
          </cell>
          <cell r="V80">
            <v>5</v>
          </cell>
          <cell r="W80">
            <v>5</v>
          </cell>
          <cell r="X80">
            <v>5</v>
          </cell>
          <cell r="Y80" t="str">
            <v>RD</v>
          </cell>
          <cell r="Z80">
            <v>5</v>
          </cell>
          <cell r="AA80">
            <v>5</v>
          </cell>
          <cell r="AB80">
            <v>5</v>
          </cell>
          <cell r="AC80">
            <v>5</v>
          </cell>
          <cell r="AD80" t="str">
            <v>RD</v>
          </cell>
          <cell r="AE80">
            <v>5</v>
          </cell>
          <cell r="AF80">
            <v>5</v>
          </cell>
          <cell r="AG80">
            <v>5</v>
          </cell>
          <cell r="AH80">
            <v>5</v>
          </cell>
          <cell r="AI80" t="str">
            <v>RD</v>
          </cell>
          <cell r="AJ80" t="str">
            <v>VL</v>
          </cell>
          <cell r="AK80" t="str">
            <v>VL</v>
          </cell>
          <cell r="AL80">
            <v>1</v>
          </cell>
          <cell r="AM80">
            <v>1</v>
          </cell>
          <cell r="AQ80">
            <v>23</v>
          </cell>
        </row>
        <row r="81">
          <cell r="E81" t="str">
            <v>LAPINING, Sanny Boy S.</v>
          </cell>
          <cell r="F81">
            <v>3</v>
          </cell>
          <cell r="G81">
            <v>4</v>
          </cell>
          <cell r="H81">
            <v>4</v>
          </cell>
          <cell r="I81">
            <v>3</v>
          </cell>
          <cell r="J81">
            <v>4</v>
          </cell>
          <cell r="K81">
            <v>5</v>
          </cell>
          <cell r="L81">
            <v>5</v>
          </cell>
          <cell r="M81" t="str">
            <v>RD</v>
          </cell>
          <cell r="N81" t="str">
            <v>VL</v>
          </cell>
          <cell r="O81" t="str">
            <v>VL</v>
          </cell>
          <cell r="P81">
            <v>4</v>
          </cell>
          <cell r="Q81">
            <v>4</v>
          </cell>
          <cell r="R81">
            <v>5</v>
          </cell>
          <cell r="S81">
            <v>5</v>
          </cell>
          <cell r="T81" t="str">
            <v>RD</v>
          </cell>
          <cell r="U81">
            <v>4</v>
          </cell>
          <cell r="V81">
            <v>5</v>
          </cell>
          <cell r="W81">
            <v>5</v>
          </cell>
          <cell r="X81">
            <v>5</v>
          </cell>
          <cell r="Y81" t="str">
            <v>RD</v>
          </cell>
          <cell r="Z81">
            <v>5</v>
          </cell>
          <cell r="AA81">
            <v>5</v>
          </cell>
          <cell r="AB81">
            <v>5</v>
          </cell>
          <cell r="AC81">
            <v>5</v>
          </cell>
          <cell r="AD81" t="str">
            <v>RD</v>
          </cell>
          <cell r="AE81">
            <v>5</v>
          </cell>
          <cell r="AF81">
            <v>5</v>
          </cell>
          <cell r="AG81">
            <v>4</v>
          </cell>
          <cell r="AH81">
            <v>4</v>
          </cell>
          <cell r="AI81" t="str">
            <v>RD</v>
          </cell>
          <cell r="AJ81">
            <v>5</v>
          </cell>
          <cell r="AK81">
            <v>5</v>
          </cell>
          <cell r="AL81">
            <v>0.95833333333333326</v>
          </cell>
          <cell r="AM81">
            <v>1</v>
          </cell>
          <cell r="AQ81">
            <v>24</v>
          </cell>
        </row>
        <row r="82">
          <cell r="E82" t="str">
            <v>SANCHEZ, Pablo</v>
          </cell>
          <cell r="F82">
            <v>3</v>
          </cell>
          <cell r="G82">
            <v>3</v>
          </cell>
          <cell r="H82">
            <v>3</v>
          </cell>
          <cell r="I82">
            <v>3</v>
          </cell>
          <cell r="J82">
            <v>3</v>
          </cell>
          <cell r="K82">
            <v>3</v>
          </cell>
          <cell r="L82">
            <v>3</v>
          </cell>
          <cell r="M82" t="str">
            <v>RD</v>
          </cell>
          <cell r="N82">
            <v>3</v>
          </cell>
          <cell r="O82">
            <v>3</v>
          </cell>
          <cell r="P82">
            <v>3</v>
          </cell>
          <cell r="Q82">
            <v>4</v>
          </cell>
          <cell r="R82">
            <v>5</v>
          </cell>
          <cell r="S82">
            <v>5</v>
          </cell>
          <cell r="T82" t="str">
            <v>RD</v>
          </cell>
          <cell r="U82">
            <v>5</v>
          </cell>
          <cell r="V82">
            <v>5</v>
          </cell>
          <cell r="W82">
            <v>4</v>
          </cell>
          <cell r="X82">
            <v>4</v>
          </cell>
          <cell r="Y82" t="str">
            <v>RD</v>
          </cell>
          <cell r="Z82">
            <v>4</v>
          </cell>
          <cell r="AA82">
            <v>4</v>
          </cell>
          <cell r="AB82">
            <v>4</v>
          </cell>
          <cell r="AC82">
            <v>5</v>
          </cell>
          <cell r="AD82" t="str">
            <v>RD</v>
          </cell>
          <cell r="AE82">
            <v>5</v>
          </cell>
          <cell r="AF82">
            <v>4</v>
          </cell>
          <cell r="AG82">
            <v>5</v>
          </cell>
          <cell r="AH82">
            <v>5</v>
          </cell>
          <cell r="AI82" t="str">
            <v>RD</v>
          </cell>
          <cell r="AJ82">
            <v>0</v>
          </cell>
          <cell r="AK82">
            <v>5</v>
          </cell>
          <cell r="AL82">
            <v>0.88076923076923075</v>
          </cell>
          <cell r="AM82">
            <v>0.967741935483871</v>
          </cell>
          <cell r="AQ82">
            <v>26</v>
          </cell>
        </row>
        <row r="83">
          <cell r="E83" t="str">
            <v>GALOS, Marlon</v>
          </cell>
          <cell r="F83">
            <v>3</v>
          </cell>
          <cell r="G83">
            <v>3</v>
          </cell>
          <cell r="H83">
            <v>3</v>
          </cell>
          <cell r="I83">
            <v>3</v>
          </cell>
          <cell r="J83">
            <v>3</v>
          </cell>
          <cell r="K83">
            <v>3</v>
          </cell>
          <cell r="L83">
            <v>3</v>
          </cell>
          <cell r="M83" t="str">
            <v>RD</v>
          </cell>
          <cell r="N83">
            <v>3</v>
          </cell>
          <cell r="O83">
            <v>3</v>
          </cell>
          <cell r="P83">
            <v>3</v>
          </cell>
          <cell r="Q83">
            <v>3</v>
          </cell>
          <cell r="R83">
            <v>3</v>
          </cell>
          <cell r="S83">
            <v>3</v>
          </cell>
          <cell r="T83" t="str">
            <v>RD</v>
          </cell>
          <cell r="U83">
            <v>3</v>
          </cell>
          <cell r="V83">
            <v>4</v>
          </cell>
          <cell r="W83">
            <v>4</v>
          </cell>
          <cell r="X83">
            <v>5</v>
          </cell>
          <cell r="Y83" t="str">
            <v>RD</v>
          </cell>
          <cell r="Z83">
            <v>5</v>
          </cell>
          <cell r="AA83">
            <v>4</v>
          </cell>
          <cell r="AB83">
            <v>5</v>
          </cell>
          <cell r="AC83">
            <v>5</v>
          </cell>
          <cell r="AD83" t="str">
            <v>RD</v>
          </cell>
          <cell r="AE83">
            <v>5</v>
          </cell>
          <cell r="AF83" t="str">
            <v>LMC</v>
          </cell>
          <cell r="AG83">
            <v>4</v>
          </cell>
          <cell r="AH83">
            <v>5</v>
          </cell>
          <cell r="AI83" t="str">
            <v>RD</v>
          </cell>
          <cell r="AJ83">
            <v>5</v>
          </cell>
          <cell r="AK83">
            <v>5</v>
          </cell>
          <cell r="AL83">
            <v>0.88</v>
          </cell>
          <cell r="AM83">
            <v>1</v>
          </cell>
          <cell r="AQ83">
            <v>25</v>
          </cell>
        </row>
        <row r="84">
          <cell r="AM84" t="str">
            <v/>
          </cell>
        </row>
        <row r="86">
          <cell r="G86" t="str">
            <v>LD</v>
          </cell>
          <cell r="I86" t="str">
            <v>IVY</v>
          </cell>
          <cell r="J86" t="str">
            <v>LGD</v>
          </cell>
          <cell r="K86" t="str">
            <v>JAO</v>
          </cell>
          <cell r="L86" t="str">
            <v>JAO</v>
          </cell>
          <cell r="P86" t="str">
            <v>DA</v>
          </cell>
          <cell r="Q86" t="str">
            <v>AKM</v>
          </cell>
          <cell r="S86" t="str">
            <v>BGM</v>
          </cell>
          <cell r="T86" t="str">
            <v>JAO</v>
          </cell>
          <cell r="U86" t="str">
            <v>JAO</v>
          </cell>
          <cell r="X86" t="str">
            <v>JAO</v>
          </cell>
          <cell r="Y86" t="str">
            <v>JAO</v>
          </cell>
          <cell r="Z86" t="str">
            <v>JAO</v>
          </cell>
          <cell r="AH86" t="str">
            <v>AKM</v>
          </cell>
          <cell r="AI86" t="str">
            <v>AKM</v>
          </cell>
          <cell r="AK86" t="str">
            <v>DA</v>
          </cell>
        </row>
        <row r="87">
          <cell r="E87" t="str">
            <v>ELLO, Janine</v>
          </cell>
          <cell r="F87">
            <v>4</v>
          </cell>
          <cell r="G87">
            <v>4</v>
          </cell>
          <cell r="H87" t="str">
            <v>RD</v>
          </cell>
          <cell r="I87">
            <v>4</v>
          </cell>
          <cell r="J87">
            <v>5</v>
          </cell>
          <cell r="K87">
            <v>5</v>
          </cell>
          <cell r="L87">
            <v>5</v>
          </cell>
          <cell r="M87">
            <v>5</v>
          </cell>
          <cell r="N87" t="str">
            <v>RD</v>
          </cell>
          <cell r="O87">
            <v>5</v>
          </cell>
          <cell r="P87">
            <v>5</v>
          </cell>
          <cell r="Q87">
            <v>4</v>
          </cell>
          <cell r="R87" t="str">
            <v>RD</v>
          </cell>
          <cell r="S87">
            <v>5</v>
          </cell>
          <cell r="T87">
            <v>5</v>
          </cell>
          <cell r="U87">
            <v>4</v>
          </cell>
          <cell r="V87" t="str">
            <v>RD</v>
          </cell>
          <cell r="W87">
            <v>5</v>
          </cell>
          <cell r="X87">
            <v>5</v>
          </cell>
          <cell r="Y87">
            <v>5</v>
          </cell>
          <cell r="Z87">
            <v>5</v>
          </cell>
          <cell r="AA87" t="str">
            <v>RD</v>
          </cell>
          <cell r="AB87">
            <v>5</v>
          </cell>
          <cell r="AC87">
            <v>5</v>
          </cell>
          <cell r="AD87">
            <v>5</v>
          </cell>
          <cell r="AE87">
            <v>5</v>
          </cell>
          <cell r="AF87" t="str">
            <v>RD</v>
          </cell>
          <cell r="AG87">
            <v>5</v>
          </cell>
          <cell r="AH87">
            <v>5</v>
          </cell>
          <cell r="AI87">
            <v>5</v>
          </cell>
          <cell r="AJ87" t="str">
            <v>RD</v>
          </cell>
          <cell r="AK87">
            <v>5</v>
          </cell>
          <cell r="AL87">
            <v>0.98333333333333328</v>
          </cell>
          <cell r="AM87">
            <v>1</v>
          </cell>
          <cell r="AN87">
            <v>0.90236465975185987</v>
          </cell>
          <cell r="AO87">
            <v>0.98543532204121265</v>
          </cell>
          <cell r="AP87">
            <v>0.9438999908965362</v>
          </cell>
          <cell r="AQ87">
            <v>24</v>
          </cell>
        </row>
        <row r="88">
          <cell r="E88" t="str">
            <v>MARATAS, Ernie Mark</v>
          </cell>
          <cell r="F88">
            <v>4</v>
          </cell>
          <cell r="G88">
            <v>4</v>
          </cell>
          <cell r="H88" t="str">
            <v>RD</v>
          </cell>
          <cell r="I88">
            <v>5</v>
          </cell>
          <cell r="J88">
            <v>4</v>
          </cell>
          <cell r="K88">
            <v>5</v>
          </cell>
          <cell r="L88">
            <v>5</v>
          </cell>
          <cell r="M88">
            <v>5</v>
          </cell>
          <cell r="N88" t="str">
            <v>RD</v>
          </cell>
          <cell r="O88">
            <v>5</v>
          </cell>
          <cell r="P88">
            <v>4</v>
          </cell>
          <cell r="Q88">
            <v>4</v>
          </cell>
          <cell r="R88" t="str">
            <v>RD</v>
          </cell>
          <cell r="S88">
            <v>4</v>
          </cell>
          <cell r="T88">
            <v>5</v>
          </cell>
          <cell r="U88">
            <v>5</v>
          </cell>
          <cell r="V88" t="str">
            <v>RD</v>
          </cell>
          <cell r="W88">
            <v>5</v>
          </cell>
          <cell r="X88">
            <v>5</v>
          </cell>
          <cell r="Y88">
            <v>5</v>
          </cell>
          <cell r="Z88">
            <v>5</v>
          </cell>
          <cell r="AA88" t="str">
            <v>RD</v>
          </cell>
          <cell r="AB88">
            <v>0</v>
          </cell>
          <cell r="AC88">
            <v>5</v>
          </cell>
          <cell r="AD88">
            <v>0</v>
          </cell>
          <cell r="AE88">
            <v>0</v>
          </cell>
          <cell r="AF88" t="str">
            <v>RD</v>
          </cell>
          <cell r="AG88">
            <v>5</v>
          </cell>
          <cell r="AH88">
            <v>5</v>
          </cell>
          <cell r="AI88">
            <v>5</v>
          </cell>
          <cell r="AJ88" t="str">
            <v>RD</v>
          </cell>
          <cell r="AK88">
            <v>4</v>
          </cell>
          <cell r="AL88">
            <v>0.90892857142857142</v>
          </cell>
          <cell r="AM88">
            <v>0.90322580645161288</v>
          </cell>
          <cell r="AQ88">
            <v>24</v>
          </cell>
        </row>
        <row r="89">
          <cell r="E89" t="str">
            <v>LAUREJAS, Eduardo Jr. A.</v>
          </cell>
          <cell r="F89">
            <v>4</v>
          </cell>
          <cell r="G89" t="str">
            <v>L</v>
          </cell>
          <cell r="H89" t="str">
            <v>RD</v>
          </cell>
          <cell r="I89" t="str">
            <v>L</v>
          </cell>
          <cell r="J89">
            <v>3</v>
          </cell>
          <cell r="K89">
            <v>5</v>
          </cell>
          <cell r="L89">
            <v>5</v>
          </cell>
          <cell r="M89">
            <v>5</v>
          </cell>
          <cell r="N89" t="str">
            <v>RD</v>
          </cell>
          <cell r="O89">
            <v>5</v>
          </cell>
          <cell r="P89">
            <v>4</v>
          </cell>
          <cell r="Q89">
            <v>4</v>
          </cell>
          <cell r="R89" t="str">
            <v>RD</v>
          </cell>
          <cell r="S89">
            <v>4</v>
          </cell>
          <cell r="T89">
            <v>4</v>
          </cell>
          <cell r="U89">
            <v>4</v>
          </cell>
          <cell r="V89" t="str">
            <v>RD</v>
          </cell>
          <cell r="W89">
            <v>5</v>
          </cell>
          <cell r="X89">
            <v>5</v>
          </cell>
          <cell r="Y89">
            <v>5</v>
          </cell>
          <cell r="Z89">
            <v>0</v>
          </cell>
          <cell r="AA89" t="str">
            <v>RD</v>
          </cell>
          <cell r="AB89">
            <v>5</v>
          </cell>
          <cell r="AC89">
            <v>3</v>
          </cell>
          <cell r="AD89">
            <v>5</v>
          </cell>
          <cell r="AE89">
            <v>5</v>
          </cell>
          <cell r="AF89" t="str">
            <v>RD</v>
          </cell>
          <cell r="AG89">
            <v>5</v>
          </cell>
          <cell r="AH89">
            <v>5</v>
          </cell>
          <cell r="AI89">
            <v>5</v>
          </cell>
          <cell r="AJ89" t="str">
            <v>RD</v>
          </cell>
          <cell r="AK89">
            <v>4</v>
          </cell>
          <cell r="AL89">
            <v>0.92965367965367962</v>
          </cell>
          <cell r="AM89">
            <v>0.967741935483871</v>
          </cell>
          <cell r="AQ89">
            <v>22</v>
          </cell>
        </row>
        <row r="90">
          <cell r="E90" t="str">
            <v>ROSILLO, King Mark</v>
          </cell>
          <cell r="F90">
            <v>4</v>
          </cell>
          <cell r="G90">
            <v>5</v>
          </cell>
          <cell r="H90" t="str">
            <v>RD</v>
          </cell>
          <cell r="I90">
            <v>5</v>
          </cell>
          <cell r="J90">
            <v>5</v>
          </cell>
          <cell r="K90">
            <v>4</v>
          </cell>
          <cell r="L90">
            <v>4</v>
          </cell>
          <cell r="M90">
            <v>4</v>
          </cell>
          <cell r="N90" t="str">
            <v>RD</v>
          </cell>
          <cell r="O90">
            <v>5</v>
          </cell>
          <cell r="P90">
            <v>4</v>
          </cell>
          <cell r="Q90">
            <v>3</v>
          </cell>
          <cell r="R90" t="str">
            <v>RD</v>
          </cell>
          <cell r="S90">
            <v>3</v>
          </cell>
          <cell r="T90">
            <v>4</v>
          </cell>
          <cell r="U90">
            <v>3</v>
          </cell>
          <cell r="V90" t="str">
            <v>RD</v>
          </cell>
          <cell r="W90">
            <v>5</v>
          </cell>
          <cell r="X90">
            <v>5</v>
          </cell>
          <cell r="Y90">
            <v>5</v>
          </cell>
          <cell r="Z90">
            <v>4</v>
          </cell>
          <cell r="AA90" t="str">
            <v>RD</v>
          </cell>
          <cell r="AB90">
            <v>5</v>
          </cell>
          <cell r="AC90">
            <v>5</v>
          </cell>
          <cell r="AD90">
            <v>5</v>
          </cell>
          <cell r="AF90" t="str">
            <v>RD</v>
          </cell>
          <cell r="AG90">
            <v>5</v>
          </cell>
          <cell r="AH90">
            <v>5</v>
          </cell>
          <cell r="AI90">
            <v>5</v>
          </cell>
          <cell r="AJ90" t="str">
            <v>RD</v>
          </cell>
          <cell r="AK90">
            <v>4</v>
          </cell>
          <cell r="AL90">
            <v>0.94347826086956521</v>
          </cell>
          <cell r="AM90">
            <v>1</v>
          </cell>
          <cell r="AQ90">
            <v>23</v>
          </cell>
        </row>
        <row r="91">
          <cell r="E91" t="str">
            <v>PADILLA, Chris Anthony</v>
          </cell>
          <cell r="F91">
            <v>4</v>
          </cell>
          <cell r="G91">
            <v>4</v>
          </cell>
          <cell r="H91" t="str">
            <v>RD</v>
          </cell>
          <cell r="I91">
            <v>4</v>
          </cell>
          <cell r="J91">
            <v>4</v>
          </cell>
          <cell r="K91" t="str">
            <v>EL</v>
          </cell>
          <cell r="L91">
            <v>5</v>
          </cell>
          <cell r="M91">
            <v>5</v>
          </cell>
          <cell r="N91" t="str">
            <v>RD</v>
          </cell>
          <cell r="O91">
            <v>5</v>
          </cell>
          <cell r="P91">
            <v>4</v>
          </cell>
          <cell r="Q91">
            <v>4</v>
          </cell>
          <cell r="R91" t="str">
            <v>RD</v>
          </cell>
          <cell r="S91">
            <v>4</v>
          </cell>
          <cell r="T91">
            <v>4</v>
          </cell>
          <cell r="U91">
            <v>4</v>
          </cell>
          <cell r="V91" t="str">
            <v>RD</v>
          </cell>
          <cell r="W91">
            <v>5</v>
          </cell>
          <cell r="X91">
            <v>5</v>
          </cell>
          <cell r="Y91">
            <v>5</v>
          </cell>
          <cell r="Z91">
            <v>5</v>
          </cell>
          <cell r="AA91" t="str">
            <v>RD</v>
          </cell>
          <cell r="AB91">
            <v>5</v>
          </cell>
          <cell r="AC91">
            <v>5</v>
          </cell>
          <cell r="AD91">
            <v>5</v>
          </cell>
          <cell r="AE91">
            <v>5</v>
          </cell>
          <cell r="AF91" t="str">
            <v>RD</v>
          </cell>
          <cell r="AG91">
            <v>4</v>
          </cell>
          <cell r="AH91">
            <v>5</v>
          </cell>
          <cell r="AI91">
            <v>5</v>
          </cell>
          <cell r="AJ91" t="str">
            <v>RD</v>
          </cell>
          <cell r="AK91">
            <v>4</v>
          </cell>
          <cell r="AL91">
            <v>0.95652173913043481</v>
          </cell>
          <cell r="AM91">
            <v>1</v>
          </cell>
          <cell r="AQ91">
            <v>23</v>
          </cell>
        </row>
        <row r="92">
          <cell r="E92" t="str">
            <v>SOLAR, Ricardo Jr.</v>
          </cell>
          <cell r="F92">
            <v>4</v>
          </cell>
          <cell r="G92">
            <v>3</v>
          </cell>
          <cell r="H92" t="str">
            <v>RD</v>
          </cell>
          <cell r="I92">
            <v>3</v>
          </cell>
          <cell r="J92">
            <v>5</v>
          </cell>
          <cell r="K92">
            <v>3</v>
          </cell>
          <cell r="L92">
            <v>4</v>
          </cell>
          <cell r="M92">
            <v>5</v>
          </cell>
          <cell r="N92" t="str">
            <v>RD</v>
          </cell>
          <cell r="O92">
            <v>4</v>
          </cell>
          <cell r="P92">
            <v>4</v>
          </cell>
          <cell r="Q92" t="str">
            <v>L</v>
          </cell>
          <cell r="R92" t="str">
            <v>RD</v>
          </cell>
          <cell r="S92">
            <v>4</v>
          </cell>
          <cell r="T92">
            <v>4</v>
          </cell>
          <cell r="U92" t="str">
            <v>L</v>
          </cell>
          <cell r="V92" t="str">
            <v>RD</v>
          </cell>
          <cell r="W92" t="str">
            <v>L</v>
          </cell>
          <cell r="X92" t="str">
            <v>L</v>
          </cell>
          <cell r="Y92">
            <v>4</v>
          </cell>
          <cell r="Z92">
            <v>3</v>
          </cell>
          <cell r="AA92" t="str">
            <v>RD</v>
          </cell>
          <cell r="AB92">
            <v>4</v>
          </cell>
          <cell r="AC92" t="str">
            <v>L</v>
          </cell>
          <cell r="AD92" t="str">
            <v>L</v>
          </cell>
          <cell r="AE92" t="str">
            <v>L</v>
          </cell>
          <cell r="AF92" t="str">
            <v>RD</v>
          </cell>
          <cell r="AG92" t="str">
            <v>L</v>
          </cell>
          <cell r="AH92">
            <v>3</v>
          </cell>
          <cell r="AI92">
            <v>0</v>
          </cell>
          <cell r="AJ92" t="str">
            <v>RD</v>
          </cell>
          <cell r="AK92" t="str">
            <v>L</v>
          </cell>
          <cell r="AL92">
            <v>0.84523809523809523</v>
          </cell>
          <cell r="AM92">
            <v>0.967741935483871</v>
          </cell>
          <cell r="AQ92">
            <v>15</v>
          </cell>
        </row>
        <row r="93">
          <cell r="E93" t="str">
            <v>SALABE, Mando C.</v>
          </cell>
          <cell r="F93">
            <v>4</v>
          </cell>
          <cell r="G93" t="str">
            <v>L</v>
          </cell>
          <cell r="H93" t="str">
            <v>RD</v>
          </cell>
          <cell r="I93" t="str">
            <v>EL</v>
          </cell>
          <cell r="J93">
            <v>3</v>
          </cell>
          <cell r="K93">
            <v>3</v>
          </cell>
          <cell r="L93">
            <v>4</v>
          </cell>
          <cell r="M93">
            <v>4</v>
          </cell>
          <cell r="N93" t="str">
            <v>RD</v>
          </cell>
          <cell r="O93" t="str">
            <v>L</v>
          </cell>
          <cell r="P93">
            <v>0</v>
          </cell>
          <cell r="Q93">
            <v>4</v>
          </cell>
          <cell r="R93" t="str">
            <v>RD</v>
          </cell>
          <cell r="S93">
            <v>3</v>
          </cell>
          <cell r="T93">
            <v>3</v>
          </cell>
          <cell r="U93">
            <v>3</v>
          </cell>
          <cell r="V93" t="str">
            <v>RD</v>
          </cell>
          <cell r="W93">
            <v>4</v>
          </cell>
          <cell r="X93" t="str">
            <v>L</v>
          </cell>
          <cell r="Y93" t="str">
            <v>L</v>
          </cell>
          <cell r="Z93" t="str">
            <v>L</v>
          </cell>
          <cell r="AA93" t="str">
            <v>RD</v>
          </cell>
          <cell r="AB93" t="str">
            <v>L</v>
          </cell>
          <cell r="AC93">
            <v>4</v>
          </cell>
          <cell r="AD93">
            <v>4</v>
          </cell>
          <cell r="AE93">
            <v>4</v>
          </cell>
          <cell r="AF93" t="str">
            <v>RD</v>
          </cell>
          <cell r="AG93">
            <v>4</v>
          </cell>
          <cell r="AH93">
            <v>3</v>
          </cell>
          <cell r="AI93">
            <v>3</v>
          </cell>
          <cell r="AJ93" t="str">
            <v>RD</v>
          </cell>
          <cell r="AK93" t="str">
            <v>L</v>
          </cell>
          <cell r="AL93">
            <v>0.82208333333333328</v>
          </cell>
          <cell r="AM93">
            <v>0.967741935483871</v>
          </cell>
          <cell r="AQ93">
            <v>16</v>
          </cell>
        </row>
        <row r="94">
          <cell r="E94" t="str">
            <v>CALIMBO, Romel</v>
          </cell>
          <cell r="F94">
            <v>4</v>
          </cell>
          <cell r="G94">
            <v>2</v>
          </cell>
          <cell r="H94" t="str">
            <v>RD</v>
          </cell>
          <cell r="I94">
            <v>2</v>
          </cell>
          <cell r="J94">
            <v>3</v>
          </cell>
          <cell r="K94">
            <v>2</v>
          </cell>
          <cell r="L94">
            <v>3</v>
          </cell>
          <cell r="M94">
            <v>3</v>
          </cell>
          <cell r="N94" t="str">
            <v>RD</v>
          </cell>
          <cell r="O94" t="str">
            <v>L</v>
          </cell>
          <cell r="P94" t="str">
            <v>L</v>
          </cell>
          <cell r="Q94" t="str">
            <v>L</v>
          </cell>
          <cell r="R94" t="str">
            <v>RD</v>
          </cell>
          <cell r="S94">
            <v>3</v>
          </cell>
          <cell r="T94">
            <v>3</v>
          </cell>
          <cell r="U94">
            <v>3</v>
          </cell>
          <cell r="V94" t="str">
            <v>RD</v>
          </cell>
          <cell r="W94">
            <v>3</v>
          </cell>
          <cell r="X94">
            <v>4</v>
          </cell>
          <cell r="Y94">
            <v>4</v>
          </cell>
          <cell r="Z94">
            <v>0</v>
          </cell>
          <cell r="AA94" t="str">
            <v>RD</v>
          </cell>
          <cell r="AB94">
            <v>4</v>
          </cell>
          <cell r="AC94">
            <v>4</v>
          </cell>
          <cell r="AD94">
            <v>4</v>
          </cell>
          <cell r="AE94">
            <v>4</v>
          </cell>
          <cell r="AF94" t="str">
            <v>RD</v>
          </cell>
          <cell r="AG94">
            <v>4</v>
          </cell>
          <cell r="AH94">
            <v>3</v>
          </cell>
          <cell r="AI94">
            <v>5</v>
          </cell>
          <cell r="AJ94" t="str">
            <v>RD</v>
          </cell>
          <cell r="AK94">
            <v>4</v>
          </cell>
          <cell r="AL94">
            <v>0.81119047619047624</v>
          </cell>
          <cell r="AM94">
            <v>0.967741935483871</v>
          </cell>
          <cell r="AQ94">
            <v>21</v>
          </cell>
        </row>
        <row r="95">
          <cell r="E95" t="str">
            <v>EUPEÑA. Joshua</v>
          </cell>
          <cell r="F95">
            <v>4</v>
          </cell>
          <cell r="G95">
            <v>3</v>
          </cell>
          <cell r="H95" t="str">
            <v>RD</v>
          </cell>
          <cell r="I95" t="str">
            <v>SL</v>
          </cell>
          <cell r="J95" t="str">
            <v>L</v>
          </cell>
          <cell r="K95" t="str">
            <v>L</v>
          </cell>
          <cell r="L95">
            <v>3</v>
          </cell>
          <cell r="M95">
            <v>3</v>
          </cell>
          <cell r="N95" t="str">
            <v>RD</v>
          </cell>
          <cell r="O95" t="str">
            <v>L</v>
          </cell>
          <cell r="P95" t="str">
            <v>L</v>
          </cell>
          <cell r="Q95" t="str">
            <v>L</v>
          </cell>
          <cell r="R95" t="str">
            <v>RD</v>
          </cell>
          <cell r="S95">
            <v>3</v>
          </cell>
          <cell r="T95" t="str">
            <v>L</v>
          </cell>
          <cell r="U95" t="str">
            <v>L</v>
          </cell>
          <cell r="V95" t="str">
            <v>RD</v>
          </cell>
          <cell r="W95" t="str">
            <v>L</v>
          </cell>
          <cell r="X95" t="str">
            <v>L</v>
          </cell>
          <cell r="Y95" t="str">
            <v>L</v>
          </cell>
          <cell r="Z95" t="str">
            <v>L</v>
          </cell>
          <cell r="AA95" t="str">
            <v>RD</v>
          </cell>
          <cell r="AB95">
            <v>4</v>
          </cell>
          <cell r="AC95">
            <v>5</v>
          </cell>
          <cell r="AD95">
            <v>5</v>
          </cell>
          <cell r="AE95">
            <v>4</v>
          </cell>
          <cell r="AF95" t="str">
            <v>RD</v>
          </cell>
          <cell r="AG95">
            <v>4</v>
          </cell>
          <cell r="AH95" t="str">
            <v>L</v>
          </cell>
          <cell r="AI95">
            <v>5</v>
          </cell>
          <cell r="AJ95" t="str">
            <v>RD</v>
          </cell>
          <cell r="AK95">
            <v>4</v>
          </cell>
          <cell r="AL95">
            <v>0.89090909090909087</v>
          </cell>
          <cell r="AM95">
            <v>1</v>
          </cell>
          <cell r="AQ95">
            <v>11</v>
          </cell>
        </row>
        <row r="96">
          <cell r="E96" t="str">
            <v>LAURON, Dini Daw M.</v>
          </cell>
          <cell r="F96">
            <v>4</v>
          </cell>
          <cell r="G96">
            <v>3</v>
          </cell>
          <cell r="H96" t="str">
            <v>RD</v>
          </cell>
          <cell r="I96">
            <v>3</v>
          </cell>
          <cell r="J96" t="str">
            <v>L</v>
          </cell>
          <cell r="K96">
            <v>3</v>
          </cell>
          <cell r="L96">
            <v>3</v>
          </cell>
          <cell r="M96">
            <v>4</v>
          </cell>
          <cell r="N96" t="str">
            <v>RD</v>
          </cell>
          <cell r="O96">
            <v>5</v>
          </cell>
          <cell r="P96">
            <v>0</v>
          </cell>
          <cell r="Q96">
            <v>3</v>
          </cell>
          <cell r="R96" t="str">
            <v>RD</v>
          </cell>
          <cell r="AF96" t="str">
            <v>RD</v>
          </cell>
          <cell r="AL96">
            <v>0.78035714285714286</v>
          </cell>
          <cell r="AM96">
            <v>0.92307692307692313</v>
          </cell>
          <cell r="AQ96">
            <v>8</v>
          </cell>
        </row>
        <row r="97">
          <cell r="E97" t="str">
            <v>CAMINO, Jyzl E.</v>
          </cell>
          <cell r="F97">
            <v>4</v>
          </cell>
          <cell r="G97" t="str">
            <v>L</v>
          </cell>
          <cell r="H97" t="str">
            <v>VL</v>
          </cell>
          <cell r="I97" t="str">
            <v>VL</v>
          </cell>
          <cell r="J97" t="str">
            <v>VL</v>
          </cell>
          <cell r="K97" t="str">
            <v>VL</v>
          </cell>
          <cell r="L97" t="str">
            <v>VL</v>
          </cell>
          <cell r="M97" t="str">
            <v>RD</v>
          </cell>
          <cell r="N97">
            <v>3</v>
          </cell>
          <cell r="O97">
            <v>3</v>
          </cell>
          <cell r="P97">
            <v>4</v>
          </cell>
          <cell r="Q97">
            <v>4</v>
          </cell>
          <cell r="R97" t="str">
            <v>RD</v>
          </cell>
          <cell r="S97">
            <v>5</v>
          </cell>
          <cell r="T97">
            <v>5</v>
          </cell>
          <cell r="U97">
            <v>5</v>
          </cell>
          <cell r="V97" t="str">
            <v>RD</v>
          </cell>
          <cell r="W97">
            <v>5</v>
          </cell>
          <cell r="X97">
            <v>5</v>
          </cell>
          <cell r="Y97">
            <v>5</v>
          </cell>
          <cell r="Z97">
            <v>5</v>
          </cell>
          <cell r="AA97" t="str">
            <v>RD</v>
          </cell>
          <cell r="AB97">
            <v>5</v>
          </cell>
          <cell r="AC97">
            <v>5</v>
          </cell>
          <cell r="AD97">
            <v>5</v>
          </cell>
          <cell r="AE97">
            <v>5</v>
          </cell>
          <cell r="AF97" t="str">
            <v>RD</v>
          </cell>
          <cell r="AG97" t="str">
            <v>EL</v>
          </cell>
          <cell r="AH97">
            <v>5</v>
          </cell>
          <cell r="AI97">
            <v>5</v>
          </cell>
          <cell r="AJ97" t="str">
            <v>RD</v>
          </cell>
          <cell r="AK97">
            <v>4</v>
          </cell>
          <cell r="AL97">
            <v>0.96111111111111103</v>
          </cell>
          <cell r="AM97">
            <v>1</v>
          </cell>
        </row>
        <row r="98">
          <cell r="E98" t="str">
            <v>ANIB, Karl Patrick S.</v>
          </cell>
          <cell r="F98">
            <v>4</v>
          </cell>
          <cell r="G98">
            <v>5</v>
          </cell>
          <cell r="H98" t="str">
            <v>RD</v>
          </cell>
          <cell r="I98" t="str">
            <v>RD</v>
          </cell>
          <cell r="J98" t="str">
            <v>L</v>
          </cell>
          <cell r="K98">
            <v>5</v>
          </cell>
          <cell r="L98">
            <v>4</v>
          </cell>
          <cell r="M98">
            <v>4</v>
          </cell>
          <cell r="N98" t="str">
            <v>RD</v>
          </cell>
          <cell r="O98" t="str">
            <v>L</v>
          </cell>
          <cell r="P98" t="str">
            <v>L</v>
          </cell>
          <cell r="Q98">
            <v>4</v>
          </cell>
          <cell r="R98" t="str">
            <v>RD</v>
          </cell>
          <cell r="S98">
            <v>5</v>
          </cell>
          <cell r="T98">
            <v>5</v>
          </cell>
          <cell r="U98">
            <v>5</v>
          </cell>
          <cell r="V98" t="str">
            <v>RD</v>
          </cell>
          <cell r="W98">
            <v>5</v>
          </cell>
          <cell r="X98">
            <v>5</v>
          </cell>
          <cell r="Y98">
            <v>5</v>
          </cell>
          <cell r="Z98">
            <v>5</v>
          </cell>
          <cell r="AA98" t="str">
            <v>RD</v>
          </cell>
          <cell r="AB98">
            <v>5</v>
          </cell>
          <cell r="AC98">
            <v>4</v>
          </cell>
          <cell r="AD98">
            <v>4</v>
          </cell>
          <cell r="AE98">
            <v>5</v>
          </cell>
          <cell r="AF98" t="str">
            <v>RD</v>
          </cell>
          <cell r="AG98">
            <v>4</v>
          </cell>
          <cell r="AH98">
            <v>5</v>
          </cell>
          <cell r="AI98">
            <v>5</v>
          </cell>
          <cell r="AJ98" t="str">
            <v>RD</v>
          </cell>
          <cell r="AK98">
            <v>4</v>
          </cell>
          <cell r="AL98">
            <v>0.96500000000000008</v>
          </cell>
          <cell r="AM98">
            <v>1</v>
          </cell>
          <cell r="AQ98">
            <v>20</v>
          </cell>
        </row>
        <row r="99">
          <cell r="E99" t="str">
            <v xml:space="preserve">SALON, Michael </v>
          </cell>
          <cell r="F99">
            <v>4</v>
          </cell>
          <cell r="G99">
            <v>3</v>
          </cell>
          <cell r="H99" t="str">
            <v>RD</v>
          </cell>
          <cell r="I99">
            <v>3</v>
          </cell>
          <cell r="J99">
            <v>4</v>
          </cell>
          <cell r="K99">
            <v>3</v>
          </cell>
          <cell r="L99">
            <v>3</v>
          </cell>
          <cell r="M99">
            <v>3</v>
          </cell>
          <cell r="N99" t="str">
            <v>RD</v>
          </cell>
          <cell r="O99">
            <v>3</v>
          </cell>
          <cell r="P99">
            <v>4</v>
          </cell>
          <cell r="Q99">
            <v>4</v>
          </cell>
          <cell r="R99" t="str">
            <v>RD</v>
          </cell>
          <cell r="S99">
            <v>5</v>
          </cell>
          <cell r="T99">
            <v>5</v>
          </cell>
          <cell r="U99">
            <v>5</v>
          </cell>
          <cell r="V99" t="str">
            <v>RD</v>
          </cell>
          <cell r="W99">
            <v>4</v>
          </cell>
          <cell r="X99">
            <v>5</v>
          </cell>
          <cell r="Y99">
            <v>4</v>
          </cell>
          <cell r="Z99">
            <v>4</v>
          </cell>
          <cell r="AA99" t="str">
            <v>RD</v>
          </cell>
          <cell r="AB99" t="str">
            <v>L</v>
          </cell>
          <cell r="AC99">
            <v>3</v>
          </cell>
          <cell r="AD99">
            <v>4</v>
          </cell>
          <cell r="AE99">
            <v>4</v>
          </cell>
          <cell r="AF99" t="str">
            <v>RD</v>
          </cell>
          <cell r="AG99">
            <v>5</v>
          </cell>
          <cell r="AH99">
            <v>5</v>
          </cell>
          <cell r="AI99">
            <v>4</v>
          </cell>
          <cell r="AJ99" t="str">
            <v>RD</v>
          </cell>
          <cell r="AK99" t="str">
            <v>L</v>
          </cell>
          <cell r="AL99">
            <v>0.8954545454545455</v>
          </cell>
          <cell r="AM99">
            <v>1</v>
          </cell>
        </row>
        <row r="100">
          <cell r="E100" t="str">
            <v>DELCORRO, Edgar S., Jr..</v>
          </cell>
          <cell r="F100">
            <v>4</v>
          </cell>
          <cell r="G100">
            <v>4</v>
          </cell>
          <cell r="H100" t="str">
            <v>RD</v>
          </cell>
          <cell r="I100" t="str">
            <v>EL</v>
          </cell>
          <cell r="J100">
            <v>4</v>
          </cell>
          <cell r="K100">
            <v>5</v>
          </cell>
          <cell r="L100">
            <v>4</v>
          </cell>
          <cell r="M100">
            <v>5</v>
          </cell>
          <cell r="N100" t="str">
            <v>RD</v>
          </cell>
          <cell r="O100" t="str">
            <v>RD</v>
          </cell>
          <cell r="AF100" t="str">
            <v>RD</v>
          </cell>
          <cell r="AL100">
            <v>0.94000000000000006</v>
          </cell>
          <cell r="AM100">
            <v>1</v>
          </cell>
          <cell r="AQ100">
            <v>5</v>
          </cell>
        </row>
        <row r="101">
          <cell r="E101" t="str">
            <v>OCON, Jonathan P.</v>
          </cell>
          <cell r="F101">
            <v>4</v>
          </cell>
          <cell r="P101">
            <v>4</v>
          </cell>
          <cell r="Q101">
            <v>4</v>
          </cell>
          <cell r="R101" t="str">
            <v>RD</v>
          </cell>
          <cell r="S101">
            <v>4</v>
          </cell>
          <cell r="T101">
            <v>5</v>
          </cell>
          <cell r="U101">
            <v>5</v>
          </cell>
          <cell r="V101" t="str">
            <v>RD</v>
          </cell>
          <cell r="W101">
            <v>5</v>
          </cell>
          <cell r="X101">
            <v>5</v>
          </cell>
          <cell r="Y101">
            <v>5</v>
          </cell>
          <cell r="Z101">
            <v>4</v>
          </cell>
          <cell r="AA101" t="str">
            <v>RD</v>
          </cell>
          <cell r="AB101">
            <v>5</v>
          </cell>
          <cell r="AC101">
            <v>3</v>
          </cell>
          <cell r="AD101">
            <v>4</v>
          </cell>
          <cell r="AE101">
            <v>3</v>
          </cell>
          <cell r="AF101" t="str">
            <v>RD</v>
          </cell>
          <cell r="AG101">
            <v>3</v>
          </cell>
          <cell r="AH101" t="str">
            <v>L</v>
          </cell>
          <cell r="AI101">
            <v>5</v>
          </cell>
          <cell r="AJ101" t="str">
            <v>RD</v>
          </cell>
          <cell r="AK101">
            <v>4</v>
          </cell>
          <cell r="AL101">
            <v>0.92500000000000004</v>
          </cell>
          <cell r="AM101">
            <v>1</v>
          </cell>
          <cell r="AQ101">
            <v>16</v>
          </cell>
        </row>
        <row r="102">
          <cell r="E102" t="str">
            <v xml:space="preserve">SERAFIN, Fortunato L. Jr. </v>
          </cell>
          <cell r="F102">
            <v>4</v>
          </cell>
          <cell r="G102">
            <v>3</v>
          </cell>
          <cell r="H102" t="str">
            <v>RD</v>
          </cell>
          <cell r="I102">
            <v>1</v>
          </cell>
          <cell r="J102">
            <v>4</v>
          </cell>
          <cell r="K102">
            <v>3</v>
          </cell>
          <cell r="L102">
            <v>5</v>
          </cell>
          <cell r="M102">
            <v>5</v>
          </cell>
          <cell r="N102" t="str">
            <v>RD</v>
          </cell>
          <cell r="O102" t="str">
            <v>L</v>
          </cell>
          <cell r="P102" t="str">
            <v>L</v>
          </cell>
          <cell r="Q102" t="str">
            <v>L</v>
          </cell>
          <cell r="R102" t="str">
            <v>RD</v>
          </cell>
          <cell r="S102">
            <v>4</v>
          </cell>
          <cell r="T102">
            <v>5</v>
          </cell>
          <cell r="U102">
            <v>4</v>
          </cell>
          <cell r="V102" t="str">
            <v>RD</v>
          </cell>
          <cell r="W102">
            <v>3</v>
          </cell>
          <cell r="X102">
            <v>4</v>
          </cell>
          <cell r="Y102">
            <v>4</v>
          </cell>
          <cell r="Z102">
            <v>4</v>
          </cell>
          <cell r="AA102" t="str">
            <v>RD</v>
          </cell>
          <cell r="AB102">
            <v>4</v>
          </cell>
          <cell r="AC102">
            <v>2</v>
          </cell>
          <cell r="AD102">
            <v>3</v>
          </cell>
          <cell r="AE102">
            <v>4</v>
          </cell>
          <cell r="AF102" t="str">
            <v>RD</v>
          </cell>
          <cell r="AG102">
            <v>4</v>
          </cell>
          <cell r="AH102">
            <v>4</v>
          </cell>
          <cell r="AI102">
            <v>4</v>
          </cell>
          <cell r="AJ102" t="str">
            <v>RD</v>
          </cell>
          <cell r="AK102">
            <v>4</v>
          </cell>
          <cell r="AL102">
            <v>0.87142857142857144</v>
          </cell>
          <cell r="AM102">
            <v>1</v>
          </cell>
          <cell r="AQ102">
            <v>21</v>
          </cell>
        </row>
        <row r="103">
          <cell r="E103" t="str">
            <v>ROZAL, DJ O.</v>
          </cell>
          <cell r="F103">
            <v>4</v>
          </cell>
          <cell r="G103">
            <v>3</v>
          </cell>
          <cell r="H103" t="str">
            <v>RD</v>
          </cell>
          <cell r="I103">
            <v>4</v>
          </cell>
          <cell r="J103">
            <v>4</v>
          </cell>
          <cell r="K103">
            <v>3</v>
          </cell>
          <cell r="L103">
            <v>3</v>
          </cell>
          <cell r="M103">
            <v>3</v>
          </cell>
          <cell r="N103" t="str">
            <v>RD</v>
          </cell>
          <cell r="O103">
            <v>3</v>
          </cell>
          <cell r="P103">
            <v>4</v>
          </cell>
          <cell r="Q103">
            <v>4</v>
          </cell>
          <cell r="R103" t="str">
            <v>RD</v>
          </cell>
          <cell r="S103" t="str">
            <v>SL</v>
          </cell>
          <cell r="T103">
            <v>4</v>
          </cell>
          <cell r="U103">
            <v>4</v>
          </cell>
          <cell r="V103" t="str">
            <v>RD</v>
          </cell>
          <cell r="W103">
            <v>5</v>
          </cell>
          <cell r="X103">
            <v>4</v>
          </cell>
          <cell r="Y103">
            <v>4</v>
          </cell>
          <cell r="Z103">
            <v>4</v>
          </cell>
          <cell r="AA103" t="str">
            <v>RD</v>
          </cell>
          <cell r="AB103">
            <v>4</v>
          </cell>
          <cell r="AC103">
            <v>4</v>
          </cell>
          <cell r="AD103">
            <v>4</v>
          </cell>
          <cell r="AE103">
            <v>0</v>
          </cell>
          <cell r="AF103" t="str">
            <v>RD</v>
          </cell>
          <cell r="AG103">
            <v>5</v>
          </cell>
          <cell r="AH103">
            <v>4</v>
          </cell>
          <cell r="AI103">
            <v>5</v>
          </cell>
          <cell r="AJ103" t="str">
            <v>RD</v>
          </cell>
          <cell r="AK103">
            <v>4</v>
          </cell>
          <cell r="AL103">
            <v>0.86916996047430839</v>
          </cell>
          <cell r="AM103">
            <v>0.967741935483871</v>
          </cell>
          <cell r="AQ103">
            <v>23</v>
          </cell>
        </row>
        <row r="104">
          <cell r="E104" t="str">
            <v>JORTA, Jowei C.</v>
          </cell>
          <cell r="F104">
            <v>4</v>
          </cell>
          <cell r="G104">
            <v>3</v>
          </cell>
          <cell r="H104" t="str">
            <v>RD</v>
          </cell>
          <cell r="I104">
            <v>2</v>
          </cell>
          <cell r="J104">
            <v>3</v>
          </cell>
          <cell r="K104">
            <v>3</v>
          </cell>
          <cell r="L104">
            <v>5</v>
          </cell>
          <cell r="M104">
            <v>3</v>
          </cell>
          <cell r="N104" t="str">
            <v>RD</v>
          </cell>
          <cell r="O104">
            <v>3</v>
          </cell>
          <cell r="P104">
            <v>4</v>
          </cell>
          <cell r="Q104">
            <v>4</v>
          </cell>
          <cell r="R104" t="str">
            <v>RD</v>
          </cell>
          <cell r="S104">
            <v>4</v>
          </cell>
          <cell r="T104">
            <v>4</v>
          </cell>
          <cell r="U104">
            <v>4</v>
          </cell>
          <cell r="V104" t="str">
            <v>RD</v>
          </cell>
          <cell r="W104">
            <v>4</v>
          </cell>
          <cell r="X104">
            <v>4</v>
          </cell>
          <cell r="Y104">
            <v>5</v>
          </cell>
          <cell r="Z104">
            <v>4</v>
          </cell>
          <cell r="AA104" t="str">
            <v>RD</v>
          </cell>
          <cell r="AB104">
            <v>5</v>
          </cell>
          <cell r="AC104">
            <v>5</v>
          </cell>
          <cell r="AD104">
            <v>5</v>
          </cell>
          <cell r="AE104">
            <v>5</v>
          </cell>
          <cell r="AF104" t="str">
            <v>RD</v>
          </cell>
          <cell r="AG104">
            <v>4</v>
          </cell>
          <cell r="AH104">
            <v>5</v>
          </cell>
          <cell r="AI104">
            <v>4</v>
          </cell>
          <cell r="AJ104" t="str">
            <v>RD</v>
          </cell>
          <cell r="AK104">
            <v>4</v>
          </cell>
          <cell r="AL104">
            <v>0.9</v>
          </cell>
          <cell r="AM104">
            <v>1</v>
          </cell>
          <cell r="AQ104">
            <v>24</v>
          </cell>
        </row>
        <row r="105">
          <cell r="E105" t="str">
            <v>NASAYAO, Dionesio</v>
          </cell>
          <cell r="F105">
            <v>4</v>
          </cell>
          <cell r="G105" t="str">
            <v>L</v>
          </cell>
          <cell r="H105" t="str">
            <v>RD</v>
          </cell>
          <cell r="I105" t="str">
            <v>EL</v>
          </cell>
          <cell r="J105">
            <v>4</v>
          </cell>
          <cell r="K105">
            <v>4</v>
          </cell>
          <cell r="L105">
            <v>5</v>
          </cell>
          <cell r="M105">
            <v>3</v>
          </cell>
          <cell r="N105" t="str">
            <v>RD</v>
          </cell>
          <cell r="O105">
            <v>4</v>
          </cell>
          <cell r="P105">
            <v>4</v>
          </cell>
          <cell r="Q105" t="str">
            <v>L</v>
          </cell>
          <cell r="R105" t="str">
            <v>RD</v>
          </cell>
          <cell r="S105">
            <v>4</v>
          </cell>
          <cell r="T105">
            <v>4</v>
          </cell>
          <cell r="U105">
            <v>4</v>
          </cell>
          <cell r="V105" t="str">
            <v>RD</v>
          </cell>
          <cell r="W105">
            <v>3</v>
          </cell>
          <cell r="X105">
            <v>4</v>
          </cell>
          <cell r="Y105">
            <v>4</v>
          </cell>
          <cell r="Z105">
            <v>4</v>
          </cell>
          <cell r="AA105" t="str">
            <v>RD</v>
          </cell>
          <cell r="AB105" t="str">
            <v>L</v>
          </cell>
          <cell r="AC105" t="str">
            <v>L</v>
          </cell>
          <cell r="AD105">
            <v>5</v>
          </cell>
          <cell r="AE105">
            <v>5</v>
          </cell>
          <cell r="AF105" t="str">
            <v>RD</v>
          </cell>
          <cell r="AG105">
            <v>5</v>
          </cell>
          <cell r="AH105">
            <v>5</v>
          </cell>
          <cell r="AI105">
            <v>4</v>
          </cell>
          <cell r="AJ105" t="str">
            <v>RD</v>
          </cell>
          <cell r="AK105">
            <v>4</v>
          </cell>
          <cell r="AL105">
            <v>0.91578947368421049</v>
          </cell>
          <cell r="AM105">
            <v>1</v>
          </cell>
          <cell r="AQ105">
            <v>19</v>
          </cell>
        </row>
        <row r="106">
          <cell r="E106" t="str">
            <v>GRAN, April Jane</v>
          </cell>
          <cell r="F106">
            <v>4</v>
          </cell>
          <cell r="G106">
            <v>4</v>
          </cell>
          <cell r="H106" t="str">
            <v>RD</v>
          </cell>
          <cell r="I106">
            <v>4</v>
          </cell>
          <cell r="J106">
            <v>4</v>
          </cell>
          <cell r="K106">
            <v>4</v>
          </cell>
          <cell r="L106">
            <v>5</v>
          </cell>
          <cell r="M106">
            <v>5</v>
          </cell>
          <cell r="N106" t="str">
            <v>RD</v>
          </cell>
          <cell r="O106">
            <v>5</v>
          </cell>
          <cell r="P106">
            <v>4</v>
          </cell>
          <cell r="Q106">
            <v>4</v>
          </cell>
          <cell r="R106" t="str">
            <v>RD</v>
          </cell>
          <cell r="S106">
            <v>4</v>
          </cell>
          <cell r="T106">
            <v>5</v>
          </cell>
          <cell r="U106">
            <v>5</v>
          </cell>
          <cell r="V106" t="str">
            <v>RD</v>
          </cell>
          <cell r="W106">
            <v>4</v>
          </cell>
          <cell r="X106">
            <v>5</v>
          </cell>
          <cell r="Y106">
            <v>4</v>
          </cell>
          <cell r="Z106">
            <v>5</v>
          </cell>
          <cell r="AA106" t="str">
            <v>RD</v>
          </cell>
          <cell r="AB106">
            <v>5</v>
          </cell>
          <cell r="AC106">
            <v>5</v>
          </cell>
          <cell r="AD106" t="str">
            <v>L</v>
          </cell>
          <cell r="AE106" t="str">
            <v>L</v>
          </cell>
          <cell r="AF106" t="str">
            <v>RD</v>
          </cell>
          <cell r="AG106" t="str">
            <v>L</v>
          </cell>
          <cell r="AH106" t="str">
            <v>L</v>
          </cell>
          <cell r="AI106" t="str">
            <v>L</v>
          </cell>
          <cell r="AJ106" t="str">
            <v>RD</v>
          </cell>
          <cell r="AK106" t="str">
            <v>VL</v>
          </cell>
          <cell r="AL106">
            <v>0.95</v>
          </cell>
          <cell r="AM106">
            <v>1</v>
          </cell>
          <cell r="AQ106">
            <v>18</v>
          </cell>
        </row>
        <row r="107">
          <cell r="E107" t="str">
            <v>YAMIT, John Paul P.</v>
          </cell>
          <cell r="F107">
            <v>4</v>
          </cell>
          <cell r="G107">
            <v>3</v>
          </cell>
          <cell r="H107" t="str">
            <v>RD</v>
          </cell>
          <cell r="I107" t="str">
            <v>EL</v>
          </cell>
          <cell r="J107">
            <v>3</v>
          </cell>
          <cell r="K107">
            <v>3</v>
          </cell>
          <cell r="L107">
            <v>3</v>
          </cell>
          <cell r="M107">
            <v>3</v>
          </cell>
          <cell r="N107" t="str">
            <v>RD</v>
          </cell>
          <cell r="O107">
            <v>3</v>
          </cell>
          <cell r="P107">
            <v>4</v>
          </cell>
          <cell r="Q107">
            <v>4</v>
          </cell>
          <cell r="R107" t="str">
            <v>RD</v>
          </cell>
          <cell r="S107">
            <v>4</v>
          </cell>
          <cell r="T107">
            <v>5</v>
          </cell>
          <cell r="U107">
            <v>4</v>
          </cell>
          <cell r="V107" t="str">
            <v>RD</v>
          </cell>
          <cell r="W107">
            <v>5</v>
          </cell>
          <cell r="X107">
            <v>4</v>
          </cell>
          <cell r="Y107">
            <v>5</v>
          </cell>
          <cell r="Z107">
            <v>5</v>
          </cell>
          <cell r="AA107" t="str">
            <v>RD</v>
          </cell>
          <cell r="AB107">
            <v>5</v>
          </cell>
          <cell r="AC107">
            <v>5</v>
          </cell>
          <cell r="AD107">
            <v>5</v>
          </cell>
          <cell r="AE107">
            <v>5</v>
          </cell>
          <cell r="AF107" t="str">
            <v>RD</v>
          </cell>
          <cell r="AG107">
            <v>5</v>
          </cell>
          <cell r="AH107">
            <v>4</v>
          </cell>
          <cell r="AI107">
            <v>5</v>
          </cell>
          <cell r="AJ107" t="str">
            <v>RD</v>
          </cell>
          <cell r="AK107">
            <v>4</v>
          </cell>
          <cell r="AL107">
            <v>0.91739130434782612</v>
          </cell>
          <cell r="AM107">
            <v>1</v>
          </cell>
          <cell r="AQ107">
            <v>23</v>
          </cell>
        </row>
        <row r="108">
          <cell r="E108" t="str">
            <v>DECAP, Anthony</v>
          </cell>
          <cell r="F108">
            <v>4</v>
          </cell>
          <cell r="G108">
            <v>3</v>
          </cell>
          <cell r="H108" t="str">
            <v>RD</v>
          </cell>
          <cell r="I108">
            <v>3</v>
          </cell>
          <cell r="J108">
            <v>4</v>
          </cell>
          <cell r="K108">
            <v>4</v>
          </cell>
          <cell r="L108">
            <v>4</v>
          </cell>
          <cell r="M108">
            <v>3</v>
          </cell>
          <cell r="N108">
            <v>3</v>
          </cell>
          <cell r="O108" t="str">
            <v>RD</v>
          </cell>
          <cell r="P108">
            <v>4</v>
          </cell>
          <cell r="Q108">
            <v>3</v>
          </cell>
          <cell r="R108" t="str">
            <v>RD</v>
          </cell>
          <cell r="S108">
            <v>3</v>
          </cell>
          <cell r="T108">
            <v>4</v>
          </cell>
          <cell r="U108">
            <v>4</v>
          </cell>
          <cell r="V108" t="str">
            <v>RD</v>
          </cell>
          <cell r="W108">
            <v>5</v>
          </cell>
          <cell r="X108">
            <v>5</v>
          </cell>
          <cell r="Y108">
            <v>4</v>
          </cell>
          <cell r="Z108">
            <v>4</v>
          </cell>
          <cell r="AA108" t="str">
            <v>RD</v>
          </cell>
          <cell r="AB108">
            <v>4</v>
          </cell>
          <cell r="AC108">
            <v>5</v>
          </cell>
          <cell r="AD108">
            <v>5</v>
          </cell>
          <cell r="AE108">
            <v>4</v>
          </cell>
          <cell r="AF108" t="str">
            <v>RD</v>
          </cell>
          <cell r="AG108">
            <v>5</v>
          </cell>
          <cell r="AH108">
            <v>5</v>
          </cell>
          <cell r="AI108">
            <v>5</v>
          </cell>
          <cell r="AJ108" t="str">
            <v>RD</v>
          </cell>
          <cell r="AK108">
            <v>4</v>
          </cell>
          <cell r="AL108">
            <v>0.90416666666666667</v>
          </cell>
          <cell r="AM108">
            <v>1</v>
          </cell>
          <cell r="AQ108">
            <v>24</v>
          </cell>
        </row>
        <row r="109">
          <cell r="E109" t="str">
            <v>PATINO, Hernan L.</v>
          </cell>
          <cell r="F109">
            <v>4</v>
          </cell>
          <cell r="G109" t="str">
            <v>EL</v>
          </cell>
          <cell r="H109" t="str">
            <v>RD</v>
          </cell>
          <cell r="I109">
            <v>4</v>
          </cell>
          <cell r="J109">
            <v>3</v>
          </cell>
          <cell r="K109">
            <v>3</v>
          </cell>
          <cell r="L109">
            <v>3</v>
          </cell>
          <cell r="M109">
            <v>3</v>
          </cell>
          <cell r="N109" t="str">
            <v>RD</v>
          </cell>
          <cell r="O109">
            <v>3</v>
          </cell>
          <cell r="P109">
            <v>4</v>
          </cell>
          <cell r="Q109">
            <v>3</v>
          </cell>
          <cell r="R109" t="str">
            <v>RD</v>
          </cell>
          <cell r="S109">
            <v>3</v>
          </cell>
          <cell r="T109">
            <v>3</v>
          </cell>
          <cell r="U109">
            <v>4</v>
          </cell>
          <cell r="V109" t="str">
            <v>RD</v>
          </cell>
          <cell r="W109">
            <v>5</v>
          </cell>
          <cell r="X109">
            <v>5</v>
          </cell>
          <cell r="Y109">
            <v>5</v>
          </cell>
          <cell r="Z109">
            <v>4</v>
          </cell>
          <cell r="AA109" t="str">
            <v>RD</v>
          </cell>
          <cell r="AB109">
            <v>4</v>
          </cell>
          <cell r="AC109">
            <v>4</v>
          </cell>
          <cell r="AD109">
            <v>4</v>
          </cell>
          <cell r="AE109">
            <v>4</v>
          </cell>
          <cell r="AF109" t="str">
            <v>RD</v>
          </cell>
          <cell r="AG109">
            <v>4</v>
          </cell>
          <cell r="AH109">
            <v>3</v>
          </cell>
          <cell r="AI109">
            <v>3</v>
          </cell>
          <cell r="AJ109" t="str">
            <v>RD</v>
          </cell>
          <cell r="AK109" t="str">
            <v>L</v>
          </cell>
          <cell r="AL109">
            <v>0.86818181818181817</v>
          </cell>
          <cell r="AM109">
            <v>1</v>
          </cell>
          <cell r="AQ109">
            <v>22</v>
          </cell>
        </row>
      </sheetData>
      <sheetData sheetId="4">
        <row r="6">
          <cell r="E6" t="str">
            <v>ESTOLANO, Ronnie</v>
          </cell>
          <cell r="F6">
            <v>1</v>
          </cell>
          <cell r="G6">
            <v>5</v>
          </cell>
          <cell r="H6">
            <v>5</v>
          </cell>
          <cell r="I6">
            <v>5</v>
          </cell>
          <cell r="J6">
            <v>5</v>
          </cell>
          <cell r="K6">
            <v>5</v>
          </cell>
          <cell r="M6" t="str">
            <v>RD</v>
          </cell>
          <cell r="N6">
            <v>5</v>
          </cell>
          <cell r="O6">
            <v>5</v>
          </cell>
          <cell r="P6">
            <v>5</v>
          </cell>
          <cell r="Q6">
            <v>5</v>
          </cell>
          <cell r="R6">
            <v>5</v>
          </cell>
          <cell r="U6" t="str">
            <v>VL</v>
          </cell>
          <cell r="V6" t="str">
            <v>VL</v>
          </cell>
          <cell r="W6" t="str">
            <v>VL</v>
          </cell>
          <cell r="X6" t="str">
            <v>VL</v>
          </cell>
          <cell r="Y6" t="str">
            <v>VL</v>
          </cell>
          <cell r="Z6" t="str">
            <v>VL</v>
          </cell>
          <cell r="AK6">
            <v>1</v>
          </cell>
          <cell r="AL6">
            <v>1</v>
          </cell>
          <cell r="AM6">
            <v>0.94531879231879223</v>
          </cell>
          <cell r="AN6">
            <v>0.97591911764705885</v>
          </cell>
          <cell r="AO6">
            <v>0.9606189549829256</v>
          </cell>
          <cell r="AP6">
            <v>10</v>
          </cell>
        </row>
        <row r="7">
          <cell r="E7" t="str">
            <v>BOSQUE, Jonry</v>
          </cell>
          <cell r="F7">
            <v>1</v>
          </cell>
          <cell r="H7">
            <v>0</v>
          </cell>
          <cell r="I7">
            <v>4</v>
          </cell>
          <cell r="J7" t="str">
            <v>HTL</v>
          </cell>
          <cell r="K7" t="str">
            <v>HTL</v>
          </cell>
          <cell r="M7" t="str">
            <v>RD</v>
          </cell>
          <cell r="N7">
            <v>3</v>
          </cell>
          <cell r="O7">
            <v>3</v>
          </cell>
          <cell r="P7">
            <v>3</v>
          </cell>
          <cell r="Q7">
            <v>3</v>
          </cell>
          <cell r="R7">
            <v>3</v>
          </cell>
          <cell r="U7">
            <v>3</v>
          </cell>
          <cell r="V7">
            <v>3</v>
          </cell>
          <cell r="W7">
            <v>3</v>
          </cell>
          <cell r="X7">
            <v>3</v>
          </cell>
          <cell r="Y7">
            <v>3</v>
          </cell>
          <cell r="Z7">
            <v>5</v>
          </cell>
          <cell r="AK7">
            <v>0.78653846153846163</v>
          </cell>
          <cell r="AL7">
            <v>0.9375</v>
          </cell>
          <cell r="AP7">
            <v>13</v>
          </cell>
        </row>
        <row r="8">
          <cell r="E8" t="str">
            <v>PLATERO, Paul</v>
          </cell>
          <cell r="F8">
            <v>1</v>
          </cell>
          <cell r="G8">
            <v>5</v>
          </cell>
          <cell r="H8">
            <v>5</v>
          </cell>
          <cell r="I8">
            <v>5</v>
          </cell>
          <cell r="J8">
            <v>5</v>
          </cell>
          <cell r="K8">
            <v>0</v>
          </cell>
          <cell r="M8" t="str">
            <v>RD</v>
          </cell>
          <cell r="N8">
            <v>5</v>
          </cell>
          <cell r="O8">
            <v>5</v>
          </cell>
          <cell r="P8">
            <v>5</v>
          </cell>
          <cell r="Q8">
            <v>5</v>
          </cell>
          <cell r="R8">
            <v>5</v>
          </cell>
          <cell r="U8" t="str">
            <v>EL</v>
          </cell>
          <cell r="V8">
            <v>5</v>
          </cell>
          <cell r="W8">
            <v>5</v>
          </cell>
          <cell r="X8">
            <v>5</v>
          </cell>
          <cell r="Y8">
            <v>5</v>
          </cell>
          <cell r="Z8">
            <v>5</v>
          </cell>
          <cell r="AK8">
            <v>0.96666666666666667</v>
          </cell>
          <cell r="AL8">
            <v>0.94117647058823528</v>
          </cell>
          <cell r="AP8">
            <v>15</v>
          </cell>
        </row>
        <row r="9">
          <cell r="E9" t="str">
            <v>BAYETA, Louie</v>
          </cell>
          <cell r="F9">
            <v>1</v>
          </cell>
          <cell r="G9">
            <v>4</v>
          </cell>
          <cell r="H9">
            <v>4</v>
          </cell>
          <cell r="I9">
            <v>4</v>
          </cell>
          <cell r="J9">
            <v>5</v>
          </cell>
          <cell r="K9">
            <v>5</v>
          </cell>
          <cell r="M9">
            <v>4</v>
          </cell>
          <cell r="N9">
            <v>0</v>
          </cell>
          <cell r="O9" t="str">
            <v>RD</v>
          </cell>
          <cell r="P9">
            <v>5</v>
          </cell>
          <cell r="Q9">
            <v>5</v>
          </cell>
          <cell r="R9">
            <v>5</v>
          </cell>
          <cell r="U9" t="str">
            <v>EL</v>
          </cell>
          <cell r="V9">
            <v>5</v>
          </cell>
          <cell r="W9">
            <v>5</v>
          </cell>
          <cell r="X9">
            <v>5</v>
          </cell>
          <cell r="Y9">
            <v>5</v>
          </cell>
          <cell r="Z9">
            <v>5</v>
          </cell>
          <cell r="AK9">
            <v>0.93809523809523809</v>
          </cell>
          <cell r="AL9">
            <v>0.94117647058823528</v>
          </cell>
          <cell r="AP9">
            <v>15</v>
          </cell>
        </row>
        <row r="10">
          <cell r="E10" t="str">
            <v>CINCO, Richard</v>
          </cell>
          <cell r="F10">
            <v>1</v>
          </cell>
          <cell r="G10">
            <v>4</v>
          </cell>
          <cell r="H10">
            <v>5</v>
          </cell>
          <cell r="I10">
            <v>5</v>
          </cell>
          <cell r="J10">
            <v>5</v>
          </cell>
          <cell r="K10" t="str">
            <v>VL</v>
          </cell>
          <cell r="M10" t="str">
            <v>RD</v>
          </cell>
          <cell r="N10">
            <v>5</v>
          </cell>
          <cell r="O10">
            <v>5</v>
          </cell>
          <cell r="P10">
            <v>5</v>
          </cell>
          <cell r="Q10">
            <v>5</v>
          </cell>
          <cell r="R10">
            <v>5</v>
          </cell>
          <cell r="U10">
            <v>5</v>
          </cell>
          <cell r="V10">
            <v>5</v>
          </cell>
          <cell r="W10">
            <v>5</v>
          </cell>
          <cell r="X10">
            <v>5</v>
          </cell>
          <cell r="Y10">
            <v>5</v>
          </cell>
          <cell r="Z10">
            <v>5</v>
          </cell>
          <cell r="AK10">
            <v>0.9933333333333334</v>
          </cell>
          <cell r="AL10">
            <v>1</v>
          </cell>
          <cell r="AP10">
            <v>15</v>
          </cell>
        </row>
        <row r="11">
          <cell r="E11" t="str">
            <v>BILAD, Marvin A.</v>
          </cell>
          <cell r="F11">
            <v>1</v>
          </cell>
          <cell r="G11">
            <v>5</v>
          </cell>
          <cell r="H11">
            <v>5</v>
          </cell>
          <cell r="I11">
            <v>5</v>
          </cell>
          <cell r="J11">
            <v>5</v>
          </cell>
          <cell r="K11">
            <v>5</v>
          </cell>
          <cell r="M11" t="str">
            <v>RD</v>
          </cell>
          <cell r="N11">
            <v>5</v>
          </cell>
          <cell r="O11">
            <v>5</v>
          </cell>
          <cell r="P11">
            <v>5</v>
          </cell>
          <cell r="Q11">
            <v>5</v>
          </cell>
          <cell r="R11">
            <v>5</v>
          </cell>
          <cell r="U11">
            <v>5</v>
          </cell>
          <cell r="V11" t="str">
            <v>VL</v>
          </cell>
          <cell r="W11" t="str">
            <v>VL</v>
          </cell>
          <cell r="X11" t="str">
            <v>VL</v>
          </cell>
          <cell r="Y11" t="str">
            <v>VL</v>
          </cell>
          <cell r="Z11">
            <v>5</v>
          </cell>
          <cell r="AK11">
            <v>1</v>
          </cell>
          <cell r="AL11">
            <v>1</v>
          </cell>
          <cell r="AP11">
            <v>12</v>
          </cell>
        </row>
        <row r="12">
          <cell r="E12" t="str">
            <v>NASAYAO, Flordecante</v>
          </cell>
          <cell r="F12">
            <v>1</v>
          </cell>
          <cell r="G12" t="str">
            <v>SL</v>
          </cell>
          <cell r="H12">
            <v>4</v>
          </cell>
          <cell r="I12">
            <v>2</v>
          </cell>
          <cell r="J12">
            <v>3</v>
          </cell>
          <cell r="K12" t="str">
            <v>EL</v>
          </cell>
          <cell r="M12" t="str">
            <v>RD</v>
          </cell>
          <cell r="N12">
            <v>4</v>
          </cell>
          <cell r="O12">
            <v>4</v>
          </cell>
          <cell r="P12">
            <v>4</v>
          </cell>
          <cell r="Q12">
            <v>4</v>
          </cell>
          <cell r="R12">
            <v>4</v>
          </cell>
          <cell r="U12">
            <v>5</v>
          </cell>
          <cell r="V12">
            <v>5</v>
          </cell>
          <cell r="W12" t="str">
            <v>EL</v>
          </cell>
          <cell r="X12" t="str">
            <v>EL</v>
          </cell>
          <cell r="Y12">
            <v>5</v>
          </cell>
          <cell r="Z12">
            <v>4</v>
          </cell>
          <cell r="AK12">
            <v>0.9</v>
          </cell>
          <cell r="AL12">
            <v>1</v>
          </cell>
          <cell r="AP12">
            <v>12</v>
          </cell>
        </row>
        <row r="13">
          <cell r="E13" t="str">
            <v>HILVANO, Christian Joul P.</v>
          </cell>
          <cell r="F13">
            <v>1</v>
          </cell>
          <cell r="G13">
            <v>5</v>
          </cell>
          <cell r="H13">
            <v>4</v>
          </cell>
          <cell r="I13">
            <v>4</v>
          </cell>
          <cell r="J13">
            <v>4</v>
          </cell>
          <cell r="K13">
            <v>4</v>
          </cell>
          <cell r="M13" t="str">
            <v>RD</v>
          </cell>
          <cell r="N13" t="str">
            <v>VL</v>
          </cell>
          <cell r="O13">
            <v>4</v>
          </cell>
          <cell r="P13">
            <v>4</v>
          </cell>
          <cell r="Q13">
            <v>4</v>
          </cell>
          <cell r="R13">
            <v>4</v>
          </cell>
          <cell r="U13" t="str">
            <v>VL</v>
          </cell>
          <cell r="V13" t="str">
            <v>VL</v>
          </cell>
          <cell r="W13">
            <v>4</v>
          </cell>
          <cell r="X13">
            <v>4</v>
          </cell>
          <cell r="Y13">
            <v>5</v>
          </cell>
          <cell r="Z13">
            <v>5</v>
          </cell>
          <cell r="AK13">
            <v>0.92307692307692313</v>
          </cell>
          <cell r="AL13">
            <v>1</v>
          </cell>
          <cell r="AP13">
            <v>13</v>
          </cell>
        </row>
        <row r="14">
          <cell r="E14" t="str">
            <v>NUÑEZ, Reus</v>
          </cell>
          <cell r="F14">
            <v>1</v>
          </cell>
          <cell r="G14">
            <v>5</v>
          </cell>
          <cell r="H14">
            <v>5</v>
          </cell>
          <cell r="I14">
            <v>5</v>
          </cell>
          <cell r="J14">
            <v>5</v>
          </cell>
          <cell r="K14">
            <v>5</v>
          </cell>
          <cell r="M14" t="str">
            <v>RD</v>
          </cell>
          <cell r="N14">
            <v>5</v>
          </cell>
          <cell r="O14">
            <v>5</v>
          </cell>
          <cell r="P14">
            <v>5</v>
          </cell>
          <cell r="Q14">
            <v>5</v>
          </cell>
          <cell r="R14">
            <v>5</v>
          </cell>
          <cell r="U14">
            <v>5</v>
          </cell>
          <cell r="V14">
            <v>5</v>
          </cell>
          <cell r="W14">
            <v>5</v>
          </cell>
          <cell r="X14">
            <v>5</v>
          </cell>
          <cell r="Y14">
            <v>5</v>
          </cell>
          <cell r="Z14">
            <v>5</v>
          </cell>
          <cell r="AK14">
            <v>1</v>
          </cell>
          <cell r="AL14">
            <v>1</v>
          </cell>
          <cell r="AP14">
            <v>16</v>
          </cell>
        </row>
        <row r="15">
          <cell r="E15" t="str">
            <v>JABINAL, Jewel Mae</v>
          </cell>
          <cell r="F15">
            <v>1</v>
          </cell>
          <cell r="G15">
            <v>5</v>
          </cell>
          <cell r="H15">
            <v>5</v>
          </cell>
          <cell r="I15">
            <v>5</v>
          </cell>
          <cell r="J15">
            <v>5</v>
          </cell>
          <cell r="K15">
            <v>5</v>
          </cell>
          <cell r="M15" t="str">
            <v>RD</v>
          </cell>
          <cell r="N15">
            <v>5</v>
          </cell>
          <cell r="O15">
            <v>5</v>
          </cell>
          <cell r="P15">
            <v>5</v>
          </cell>
          <cell r="Q15">
            <v>5</v>
          </cell>
          <cell r="R15">
            <v>5</v>
          </cell>
          <cell r="U15" t="str">
            <v>VL</v>
          </cell>
          <cell r="V15" t="str">
            <v>VL</v>
          </cell>
          <cell r="W15" t="str">
            <v>VL</v>
          </cell>
          <cell r="X15" t="str">
            <v>VL</v>
          </cell>
          <cell r="Y15" t="str">
            <v>VL</v>
          </cell>
          <cell r="Z15" t="str">
            <v>VL</v>
          </cell>
          <cell r="AK15">
            <v>1</v>
          </cell>
          <cell r="AL15">
            <v>1</v>
          </cell>
          <cell r="AP15">
            <v>10</v>
          </cell>
        </row>
        <row r="16">
          <cell r="E16" t="str">
            <v>ELCULLADA, Junmor S.</v>
          </cell>
          <cell r="F16">
            <v>1</v>
          </cell>
          <cell r="G16" t="str">
            <v>EL</v>
          </cell>
          <cell r="H16">
            <v>0</v>
          </cell>
          <cell r="I16">
            <v>4</v>
          </cell>
          <cell r="J16">
            <v>4</v>
          </cell>
          <cell r="K16">
            <v>5</v>
          </cell>
          <cell r="M16" t="str">
            <v>RD</v>
          </cell>
          <cell r="N16">
            <v>5</v>
          </cell>
          <cell r="O16" t="str">
            <v>EL</v>
          </cell>
          <cell r="P16" t="str">
            <v>EL</v>
          </cell>
          <cell r="Q16">
            <v>5</v>
          </cell>
          <cell r="R16">
            <v>5</v>
          </cell>
          <cell r="U16">
            <v>5</v>
          </cell>
          <cell r="V16">
            <v>5</v>
          </cell>
          <cell r="W16" t="str">
            <v>VL</v>
          </cell>
          <cell r="X16" t="str">
            <v>VL</v>
          </cell>
          <cell r="Y16" t="str">
            <v>VL</v>
          </cell>
          <cell r="Z16" t="str">
            <v>VL</v>
          </cell>
          <cell r="AK16">
            <v>0.9194444444444444</v>
          </cell>
          <cell r="AL16">
            <v>0.94117647058823528</v>
          </cell>
          <cell r="AP16">
            <v>9</v>
          </cell>
        </row>
        <row r="17">
          <cell r="E17" t="str">
            <v>CAGATA, Renan A.</v>
          </cell>
          <cell r="F17">
            <v>1</v>
          </cell>
          <cell r="H17">
            <v>5</v>
          </cell>
          <cell r="I17">
            <v>5</v>
          </cell>
          <cell r="J17">
            <v>5</v>
          </cell>
          <cell r="K17">
            <v>5</v>
          </cell>
          <cell r="M17" t="str">
            <v>RD</v>
          </cell>
          <cell r="N17">
            <v>5</v>
          </cell>
          <cell r="O17">
            <v>5</v>
          </cell>
          <cell r="P17">
            <v>5</v>
          </cell>
          <cell r="Q17">
            <v>0</v>
          </cell>
          <cell r="R17">
            <v>5</v>
          </cell>
          <cell r="U17">
            <v>5</v>
          </cell>
          <cell r="V17">
            <v>5</v>
          </cell>
          <cell r="W17">
            <v>5</v>
          </cell>
          <cell r="X17">
            <v>5</v>
          </cell>
          <cell r="Y17">
            <v>0</v>
          </cell>
          <cell r="Z17" t="str">
            <v>EL</v>
          </cell>
          <cell r="AK17">
            <v>0.9285714285714286</v>
          </cell>
          <cell r="AL17">
            <v>0.875</v>
          </cell>
          <cell r="AP17">
            <v>14</v>
          </cell>
        </row>
        <row r="18">
          <cell r="E18" t="str">
            <v>CAGAMPANG, Josan C.</v>
          </cell>
          <cell r="F18">
            <v>1</v>
          </cell>
          <cell r="G18">
            <v>2</v>
          </cell>
          <cell r="H18">
            <v>2</v>
          </cell>
          <cell r="I18">
            <v>2</v>
          </cell>
          <cell r="J18">
            <v>3</v>
          </cell>
          <cell r="K18" t="str">
            <v>EL</v>
          </cell>
          <cell r="M18" t="str">
            <v>RD</v>
          </cell>
          <cell r="N18">
            <v>2</v>
          </cell>
          <cell r="O18">
            <v>2</v>
          </cell>
          <cell r="P18">
            <v>2</v>
          </cell>
          <cell r="Q18">
            <v>2</v>
          </cell>
          <cell r="R18">
            <v>2</v>
          </cell>
          <cell r="U18">
            <v>2</v>
          </cell>
          <cell r="V18">
            <v>2</v>
          </cell>
          <cell r="W18">
            <v>3</v>
          </cell>
          <cell r="Y18">
            <v>2</v>
          </cell>
          <cell r="Z18">
            <v>2</v>
          </cell>
          <cell r="AK18">
            <v>0.7142857142857143</v>
          </cell>
          <cell r="AL18">
            <v>1</v>
          </cell>
          <cell r="AP18">
            <v>14</v>
          </cell>
        </row>
        <row r="19">
          <cell r="E19" t="str">
            <v>JAMERO, Donald</v>
          </cell>
          <cell r="F19">
            <v>1</v>
          </cell>
          <cell r="G19">
            <v>5</v>
          </cell>
          <cell r="H19">
            <v>5</v>
          </cell>
          <cell r="I19">
            <v>5</v>
          </cell>
          <cell r="J19">
            <v>5</v>
          </cell>
          <cell r="K19">
            <v>5</v>
          </cell>
          <cell r="M19" t="str">
            <v>RD</v>
          </cell>
          <cell r="N19">
            <v>5</v>
          </cell>
          <cell r="O19">
            <v>5</v>
          </cell>
          <cell r="P19">
            <v>5</v>
          </cell>
          <cell r="Q19">
            <v>5</v>
          </cell>
          <cell r="R19">
            <v>5</v>
          </cell>
          <cell r="U19">
            <v>5</v>
          </cell>
          <cell r="V19">
            <v>5</v>
          </cell>
          <cell r="W19">
            <v>5</v>
          </cell>
          <cell r="X19">
            <v>5</v>
          </cell>
          <cell r="Y19">
            <v>5</v>
          </cell>
          <cell r="Z19">
            <v>5</v>
          </cell>
          <cell r="AK19">
            <v>1</v>
          </cell>
          <cell r="AL19">
            <v>1</v>
          </cell>
          <cell r="AP19">
            <v>16</v>
          </cell>
        </row>
        <row r="20">
          <cell r="E20" t="str">
            <v>BANZON Jr., Nicanor R.</v>
          </cell>
          <cell r="F20">
            <v>1</v>
          </cell>
          <cell r="G20">
            <v>5</v>
          </cell>
          <cell r="H20" t="str">
            <v>L</v>
          </cell>
          <cell r="I20">
            <v>5</v>
          </cell>
          <cell r="J20">
            <v>5</v>
          </cell>
          <cell r="K20">
            <v>0</v>
          </cell>
          <cell r="M20" t="str">
            <v>RD</v>
          </cell>
          <cell r="N20">
            <v>5</v>
          </cell>
          <cell r="O20">
            <v>5</v>
          </cell>
          <cell r="P20">
            <v>0</v>
          </cell>
          <cell r="Q20">
            <v>5</v>
          </cell>
          <cell r="R20">
            <v>5</v>
          </cell>
          <cell r="U20">
            <v>5</v>
          </cell>
          <cell r="V20">
            <v>5</v>
          </cell>
          <cell r="W20" t="str">
            <v>VL</v>
          </cell>
          <cell r="X20" t="str">
            <v>VL</v>
          </cell>
          <cell r="Y20" t="str">
            <v>VL</v>
          </cell>
          <cell r="Z20" t="str">
            <v>VL</v>
          </cell>
          <cell r="AK20">
            <v>0.90909090909090917</v>
          </cell>
          <cell r="AL20">
            <v>0.88235294117647056</v>
          </cell>
          <cell r="AP20">
            <v>11</v>
          </cell>
        </row>
        <row r="21">
          <cell r="E21" t="str">
            <v>ESTILLORE, Marbert</v>
          </cell>
          <cell r="F21">
            <v>1</v>
          </cell>
          <cell r="G21">
            <v>5</v>
          </cell>
          <cell r="H21">
            <v>5</v>
          </cell>
          <cell r="I21">
            <v>5</v>
          </cell>
          <cell r="J21">
            <v>5</v>
          </cell>
          <cell r="K21">
            <v>5</v>
          </cell>
          <cell r="M21" t="str">
            <v>RD</v>
          </cell>
          <cell r="N21">
            <v>5</v>
          </cell>
          <cell r="O21">
            <v>5</v>
          </cell>
          <cell r="P21">
            <v>5</v>
          </cell>
          <cell r="Q21">
            <v>5</v>
          </cell>
          <cell r="R21">
            <v>5</v>
          </cell>
          <cell r="U21">
            <v>5</v>
          </cell>
          <cell r="V21">
            <v>5</v>
          </cell>
          <cell r="W21">
            <v>5</v>
          </cell>
          <cell r="X21">
            <v>5</v>
          </cell>
          <cell r="Y21">
            <v>5</v>
          </cell>
          <cell r="Z21">
            <v>5</v>
          </cell>
          <cell r="AK21">
            <v>1</v>
          </cell>
          <cell r="AL21">
            <v>1</v>
          </cell>
          <cell r="AP21">
            <v>16</v>
          </cell>
        </row>
        <row r="22">
          <cell r="E22" t="str">
            <v>KHO, Jansen D.</v>
          </cell>
          <cell r="F22">
            <v>1</v>
          </cell>
          <cell r="G22">
            <v>5</v>
          </cell>
          <cell r="H22">
            <v>5</v>
          </cell>
          <cell r="I22">
            <v>5</v>
          </cell>
          <cell r="J22">
            <v>5</v>
          </cell>
          <cell r="K22">
            <v>5</v>
          </cell>
          <cell r="M22" t="str">
            <v>RD</v>
          </cell>
          <cell r="N22">
            <v>5</v>
          </cell>
          <cell r="O22">
            <v>5</v>
          </cell>
          <cell r="P22">
            <v>5</v>
          </cell>
          <cell r="Q22">
            <v>5</v>
          </cell>
          <cell r="R22">
            <v>5</v>
          </cell>
          <cell r="U22" t="str">
            <v>VL</v>
          </cell>
          <cell r="V22" t="str">
            <v>VL</v>
          </cell>
          <cell r="W22" t="str">
            <v>VL</v>
          </cell>
          <cell r="X22" t="str">
            <v>VL</v>
          </cell>
          <cell r="Y22" t="str">
            <v>VL</v>
          </cell>
          <cell r="Z22" t="str">
            <v>VL</v>
          </cell>
          <cell r="AK22">
            <v>1</v>
          </cell>
          <cell r="AL22">
            <v>1</v>
          </cell>
          <cell r="AP22">
            <v>10</v>
          </cell>
        </row>
        <row r="23">
          <cell r="E23" t="str">
            <v>CARACOL, Marwin</v>
          </cell>
          <cell r="F23">
            <v>1</v>
          </cell>
          <cell r="G23">
            <v>5</v>
          </cell>
          <cell r="H23">
            <v>2</v>
          </cell>
          <cell r="I23">
            <v>4</v>
          </cell>
          <cell r="J23">
            <v>4</v>
          </cell>
          <cell r="K23">
            <v>5</v>
          </cell>
          <cell r="M23" t="str">
            <v>RD</v>
          </cell>
          <cell r="N23">
            <v>5</v>
          </cell>
          <cell r="O23">
            <v>4</v>
          </cell>
          <cell r="P23">
            <v>4</v>
          </cell>
          <cell r="Q23">
            <v>4</v>
          </cell>
          <cell r="R23" t="str">
            <v>SL</v>
          </cell>
          <cell r="S23">
            <v>5</v>
          </cell>
          <cell r="U23" t="str">
            <v>EL</v>
          </cell>
          <cell r="V23">
            <v>5</v>
          </cell>
          <cell r="W23" t="str">
            <v>EL</v>
          </cell>
          <cell r="X23" t="str">
            <v>EL</v>
          </cell>
          <cell r="Y23" t="str">
            <v>EL</v>
          </cell>
          <cell r="Z23" t="str">
            <v>EL</v>
          </cell>
          <cell r="AK23">
            <v>0.92727272727272725</v>
          </cell>
          <cell r="AL23">
            <v>1</v>
          </cell>
          <cell r="AP23">
            <v>11</v>
          </cell>
        </row>
        <row r="24">
          <cell r="E24" t="str">
            <v>CONSIGNA, Joel L.</v>
          </cell>
          <cell r="F24">
            <v>1</v>
          </cell>
          <cell r="G24">
            <v>5</v>
          </cell>
          <cell r="H24">
            <v>5</v>
          </cell>
          <cell r="I24">
            <v>5</v>
          </cell>
          <cell r="J24">
            <v>5</v>
          </cell>
          <cell r="K24">
            <v>5</v>
          </cell>
          <cell r="M24" t="str">
            <v>RD</v>
          </cell>
          <cell r="N24">
            <v>5</v>
          </cell>
          <cell r="O24">
            <v>5</v>
          </cell>
          <cell r="P24">
            <v>5</v>
          </cell>
          <cell r="Q24">
            <v>5</v>
          </cell>
          <cell r="R24">
            <v>5</v>
          </cell>
          <cell r="U24">
            <v>5</v>
          </cell>
          <cell r="V24">
            <v>5</v>
          </cell>
          <cell r="W24">
            <v>5</v>
          </cell>
          <cell r="X24">
            <v>5</v>
          </cell>
          <cell r="Y24">
            <v>5</v>
          </cell>
          <cell r="Z24">
            <v>5</v>
          </cell>
          <cell r="AK24">
            <v>1</v>
          </cell>
          <cell r="AL24">
            <v>1</v>
          </cell>
          <cell r="AP24">
            <v>16</v>
          </cell>
        </row>
        <row r="25">
          <cell r="E25" t="str">
            <v>PEROL, Remart</v>
          </cell>
          <cell r="F25">
            <v>1</v>
          </cell>
          <cell r="G25">
            <v>5</v>
          </cell>
          <cell r="H25">
            <v>5</v>
          </cell>
          <cell r="I25">
            <v>5</v>
          </cell>
          <cell r="J25">
            <v>5</v>
          </cell>
          <cell r="K25">
            <v>5</v>
          </cell>
          <cell r="M25" t="str">
            <v>RD</v>
          </cell>
          <cell r="N25">
            <v>5</v>
          </cell>
          <cell r="O25">
            <v>5</v>
          </cell>
          <cell r="P25">
            <v>5</v>
          </cell>
          <cell r="Q25">
            <v>5</v>
          </cell>
          <cell r="R25">
            <v>5</v>
          </cell>
          <cell r="U25">
            <v>5</v>
          </cell>
          <cell r="V25" t="str">
            <v>VL</v>
          </cell>
          <cell r="W25" t="str">
            <v>VL</v>
          </cell>
          <cell r="X25" t="str">
            <v>VL</v>
          </cell>
          <cell r="Y25" t="str">
            <v>VL</v>
          </cell>
          <cell r="Z25">
            <v>5</v>
          </cell>
          <cell r="AK25">
            <v>1</v>
          </cell>
          <cell r="AL25">
            <v>1</v>
          </cell>
          <cell r="AP25">
            <v>12</v>
          </cell>
        </row>
        <row r="26">
          <cell r="AL26" t="str">
            <v/>
          </cell>
        </row>
        <row r="28">
          <cell r="AL28" t="str">
            <v/>
          </cell>
        </row>
        <row r="29">
          <cell r="E29" t="str">
            <v>GERALDINO, Chuck Neko T.</v>
          </cell>
          <cell r="F29" t="str">
            <v>All</v>
          </cell>
        </row>
        <row r="30">
          <cell r="E30" t="str">
            <v xml:space="preserve">BACLAYO, Christian Cesar P. </v>
          </cell>
          <cell r="F30" t="str">
            <v>SL/DCS</v>
          </cell>
        </row>
        <row r="31">
          <cell r="E31" t="str">
            <v>DAVIS, Jaybert E.</v>
          </cell>
          <cell r="F31" t="str">
            <v>SL/DCS</v>
          </cell>
        </row>
        <row r="32">
          <cell r="H32" t="str">
            <v>AJL</v>
          </cell>
          <cell r="I32" t="str">
            <v>YAC</v>
          </cell>
          <cell r="J32" t="str">
            <v>AJL</v>
          </cell>
          <cell r="K32" t="str">
            <v>AJL</v>
          </cell>
          <cell r="L32" t="str">
            <v>AJL</v>
          </cell>
          <cell r="M32" t="str">
            <v>YAC</v>
          </cell>
          <cell r="N32" t="str">
            <v>AKM</v>
          </cell>
          <cell r="O32" t="str">
            <v>AKM</v>
          </cell>
          <cell r="P32" t="str">
            <v>YAC</v>
          </cell>
          <cell r="Q32" t="str">
            <v>AJL</v>
          </cell>
          <cell r="R32" t="str">
            <v>AJL</v>
          </cell>
          <cell r="S32" t="str">
            <v>YAC</v>
          </cell>
          <cell r="T32" t="str">
            <v>AJL</v>
          </cell>
          <cell r="V32" t="str">
            <v>AJL</v>
          </cell>
          <cell r="W32" t="str">
            <v>YAC</v>
          </cell>
          <cell r="X32" t="str">
            <v>YAC</v>
          </cell>
          <cell r="Y32" t="str">
            <v>YAC</v>
          </cell>
          <cell r="Z32" t="str">
            <v>JDC</v>
          </cell>
        </row>
        <row r="33">
          <cell r="E33" t="str">
            <v>NECESARIO, Christie P.</v>
          </cell>
          <cell r="F33">
            <v>2</v>
          </cell>
          <cell r="G33" t="str">
            <v>RD</v>
          </cell>
          <cell r="H33">
            <v>5</v>
          </cell>
          <cell r="I33">
            <v>5</v>
          </cell>
          <cell r="J33">
            <v>5</v>
          </cell>
          <cell r="K33">
            <v>5</v>
          </cell>
          <cell r="L33">
            <v>5</v>
          </cell>
          <cell r="M33">
            <v>5</v>
          </cell>
          <cell r="N33" t="str">
            <v>RD</v>
          </cell>
          <cell r="O33">
            <v>5</v>
          </cell>
          <cell r="P33">
            <v>5</v>
          </cell>
          <cell r="Q33">
            <v>5</v>
          </cell>
          <cell r="R33">
            <v>5</v>
          </cell>
          <cell r="S33" t="str">
            <v>L</v>
          </cell>
          <cell r="T33" t="str">
            <v>L</v>
          </cell>
          <cell r="U33" t="str">
            <v>RD</v>
          </cell>
          <cell r="V33" t="str">
            <v>L</v>
          </cell>
          <cell r="W33">
            <v>5</v>
          </cell>
          <cell r="X33">
            <v>5</v>
          </cell>
          <cell r="Y33">
            <v>5</v>
          </cell>
          <cell r="Z33">
            <v>5</v>
          </cell>
          <cell r="AA33" t="str">
            <v>RD</v>
          </cell>
          <cell r="AK33">
            <v>1</v>
          </cell>
          <cell r="AL33">
            <v>1</v>
          </cell>
          <cell r="AM33">
            <v>0.99012455477529004</v>
          </cell>
          <cell r="AN33">
            <v>1</v>
          </cell>
          <cell r="AO33">
            <v>0.99506227738764497</v>
          </cell>
          <cell r="AP33">
            <v>14</v>
          </cell>
        </row>
        <row r="34">
          <cell r="E34" t="str">
            <v>URBIZTONDO, Grace</v>
          </cell>
          <cell r="F34">
            <v>2</v>
          </cell>
          <cell r="G34" t="str">
            <v>RD</v>
          </cell>
          <cell r="H34">
            <v>5</v>
          </cell>
          <cell r="I34">
            <v>5</v>
          </cell>
          <cell r="J34">
            <v>5</v>
          </cell>
          <cell r="K34">
            <v>5</v>
          </cell>
          <cell r="L34">
            <v>5</v>
          </cell>
          <cell r="M34">
            <v>5</v>
          </cell>
          <cell r="N34" t="str">
            <v>RD</v>
          </cell>
          <cell r="O34">
            <v>5</v>
          </cell>
          <cell r="P34">
            <v>5</v>
          </cell>
          <cell r="Q34">
            <v>5</v>
          </cell>
          <cell r="R34">
            <v>5</v>
          </cell>
          <cell r="S34">
            <v>5</v>
          </cell>
          <cell r="T34">
            <v>5</v>
          </cell>
          <cell r="U34" t="str">
            <v>RD</v>
          </cell>
          <cell r="V34" t="str">
            <v>L</v>
          </cell>
          <cell r="W34" t="str">
            <v>L</v>
          </cell>
          <cell r="X34" t="str">
            <v>L</v>
          </cell>
          <cell r="Y34" t="str">
            <v>L</v>
          </cell>
          <cell r="Z34" t="str">
            <v>L</v>
          </cell>
          <cell r="AA34" t="str">
            <v>L</v>
          </cell>
          <cell r="AK34">
            <v>1</v>
          </cell>
          <cell r="AL34">
            <v>1</v>
          </cell>
          <cell r="AP34">
            <v>12</v>
          </cell>
        </row>
        <row r="35">
          <cell r="E35" t="str">
            <v>COMPASIVO, Jomar</v>
          </cell>
          <cell r="F35">
            <v>2</v>
          </cell>
          <cell r="G35" t="str">
            <v>RD</v>
          </cell>
          <cell r="H35">
            <v>5</v>
          </cell>
          <cell r="I35">
            <v>5</v>
          </cell>
          <cell r="J35">
            <v>5</v>
          </cell>
          <cell r="K35">
            <v>5</v>
          </cell>
          <cell r="L35">
            <v>5</v>
          </cell>
          <cell r="M35">
            <v>4</v>
          </cell>
          <cell r="N35" t="str">
            <v>RD</v>
          </cell>
          <cell r="O35">
            <v>5</v>
          </cell>
          <cell r="P35">
            <v>5</v>
          </cell>
          <cell r="Q35">
            <v>5</v>
          </cell>
          <cell r="R35">
            <v>4</v>
          </cell>
          <cell r="S35">
            <v>5</v>
          </cell>
          <cell r="T35">
            <v>5</v>
          </cell>
          <cell r="U35" t="str">
            <v>RD</v>
          </cell>
          <cell r="V35">
            <v>4</v>
          </cell>
          <cell r="W35">
            <v>4</v>
          </cell>
          <cell r="X35">
            <v>5</v>
          </cell>
          <cell r="Y35">
            <v>5</v>
          </cell>
          <cell r="Z35">
            <v>5</v>
          </cell>
          <cell r="AA35">
            <v>5</v>
          </cell>
          <cell r="AK35">
            <v>0.97777777777777775</v>
          </cell>
          <cell r="AL35">
            <v>1</v>
          </cell>
          <cell r="AP35">
            <v>18</v>
          </cell>
        </row>
        <row r="36">
          <cell r="E36" t="str">
            <v>ROBLES, Felmir</v>
          </cell>
          <cell r="F36">
            <v>2</v>
          </cell>
          <cell r="G36" t="str">
            <v>RD</v>
          </cell>
          <cell r="H36">
            <v>5</v>
          </cell>
          <cell r="I36" t="str">
            <v>EL</v>
          </cell>
          <cell r="J36" t="str">
            <v>EL</v>
          </cell>
          <cell r="K36">
            <v>5</v>
          </cell>
          <cell r="L36">
            <v>5</v>
          </cell>
          <cell r="M36">
            <v>5</v>
          </cell>
          <cell r="N36" t="str">
            <v>RD</v>
          </cell>
          <cell r="O36">
            <v>5</v>
          </cell>
          <cell r="P36">
            <v>5</v>
          </cell>
          <cell r="Q36">
            <v>5</v>
          </cell>
          <cell r="R36">
            <v>5</v>
          </cell>
          <cell r="S36">
            <v>5</v>
          </cell>
          <cell r="T36" t="str">
            <v>SL</v>
          </cell>
          <cell r="U36" t="str">
            <v>RD</v>
          </cell>
          <cell r="V36" t="str">
            <v>L</v>
          </cell>
          <cell r="W36">
            <v>5</v>
          </cell>
          <cell r="X36" t="str">
            <v>L</v>
          </cell>
          <cell r="Y36" t="str">
            <v>L</v>
          </cell>
          <cell r="Z36" t="str">
            <v>L</v>
          </cell>
          <cell r="AA36" t="str">
            <v>L</v>
          </cell>
          <cell r="AK36">
            <v>1</v>
          </cell>
          <cell r="AL36">
            <v>1</v>
          </cell>
          <cell r="AP36">
            <v>10</v>
          </cell>
        </row>
        <row r="37">
          <cell r="E37" t="str">
            <v>BAYANG, Algemero</v>
          </cell>
          <cell r="F37">
            <v>2</v>
          </cell>
          <cell r="G37" t="str">
            <v>RD</v>
          </cell>
          <cell r="H37">
            <v>5</v>
          </cell>
          <cell r="I37">
            <v>5</v>
          </cell>
          <cell r="J37">
            <v>5</v>
          </cell>
          <cell r="K37">
            <v>4</v>
          </cell>
          <cell r="L37">
            <v>5</v>
          </cell>
          <cell r="M37">
            <v>5</v>
          </cell>
          <cell r="N37" t="str">
            <v>RD</v>
          </cell>
          <cell r="O37">
            <v>5</v>
          </cell>
          <cell r="P37" t="str">
            <v>L</v>
          </cell>
          <cell r="Q37">
            <v>5</v>
          </cell>
          <cell r="R37">
            <v>5</v>
          </cell>
          <cell r="S37">
            <v>5</v>
          </cell>
          <cell r="T37">
            <v>5</v>
          </cell>
          <cell r="U37" t="str">
            <v>RD</v>
          </cell>
          <cell r="V37">
            <v>5</v>
          </cell>
          <cell r="W37">
            <v>5</v>
          </cell>
          <cell r="X37">
            <v>5</v>
          </cell>
          <cell r="Y37" t="str">
            <v>L</v>
          </cell>
          <cell r="Z37" t="str">
            <v>L</v>
          </cell>
          <cell r="AA37" t="str">
            <v>L</v>
          </cell>
          <cell r="AK37">
            <v>0.99285714285714288</v>
          </cell>
          <cell r="AL37">
            <v>1</v>
          </cell>
          <cell r="AP37">
            <v>14</v>
          </cell>
        </row>
        <row r="38">
          <cell r="E38" t="str">
            <v>LUMAYNO, Junrey</v>
          </cell>
          <cell r="F38">
            <v>2</v>
          </cell>
          <cell r="G38" t="str">
            <v>RD</v>
          </cell>
          <cell r="H38">
            <v>5</v>
          </cell>
          <cell r="I38">
            <v>5</v>
          </cell>
          <cell r="J38" t="str">
            <v>EL</v>
          </cell>
          <cell r="K38" t="str">
            <v>EL</v>
          </cell>
          <cell r="L38">
            <v>5</v>
          </cell>
          <cell r="M38">
            <v>5</v>
          </cell>
          <cell r="N38" t="str">
            <v>RD</v>
          </cell>
          <cell r="O38">
            <v>5</v>
          </cell>
          <cell r="P38">
            <v>5</v>
          </cell>
          <cell r="Q38">
            <v>5</v>
          </cell>
          <cell r="R38">
            <v>5</v>
          </cell>
          <cell r="S38">
            <v>5</v>
          </cell>
          <cell r="T38" t="str">
            <v>L</v>
          </cell>
          <cell r="U38" t="str">
            <v>RD</v>
          </cell>
          <cell r="V38" t="str">
            <v>L</v>
          </cell>
          <cell r="W38" t="str">
            <v>L</v>
          </cell>
          <cell r="X38" t="str">
            <v>L</v>
          </cell>
          <cell r="Y38" t="str">
            <v>L</v>
          </cell>
          <cell r="Z38">
            <v>5</v>
          </cell>
          <cell r="AA38">
            <v>5</v>
          </cell>
          <cell r="AK38">
            <v>1</v>
          </cell>
          <cell r="AL38">
            <v>1</v>
          </cell>
          <cell r="AP38">
            <v>11</v>
          </cell>
        </row>
        <row r="39">
          <cell r="E39" t="str">
            <v>BADIANG, Luciano Jr.</v>
          </cell>
          <cell r="F39">
            <v>2</v>
          </cell>
          <cell r="G39" t="str">
            <v>RD</v>
          </cell>
          <cell r="H39">
            <v>4</v>
          </cell>
          <cell r="I39">
            <v>5</v>
          </cell>
          <cell r="J39">
            <v>4</v>
          </cell>
          <cell r="K39">
            <v>4</v>
          </cell>
          <cell r="L39">
            <v>5</v>
          </cell>
          <cell r="M39">
            <v>5</v>
          </cell>
          <cell r="N39" t="str">
            <v>RD</v>
          </cell>
          <cell r="O39">
            <v>5</v>
          </cell>
          <cell r="P39">
            <v>5</v>
          </cell>
          <cell r="Q39">
            <v>4</v>
          </cell>
          <cell r="R39">
            <v>4</v>
          </cell>
          <cell r="S39">
            <v>4</v>
          </cell>
          <cell r="T39">
            <v>5</v>
          </cell>
          <cell r="U39" t="str">
            <v>RD</v>
          </cell>
          <cell r="V39">
            <v>5</v>
          </cell>
          <cell r="W39">
            <v>5</v>
          </cell>
          <cell r="X39">
            <v>5</v>
          </cell>
          <cell r="Y39">
            <v>5</v>
          </cell>
          <cell r="Z39">
            <v>4</v>
          </cell>
          <cell r="AA39">
            <v>5</v>
          </cell>
          <cell r="AK39">
            <v>0.96111111111111103</v>
          </cell>
          <cell r="AL39">
            <v>1</v>
          </cell>
          <cell r="AP39">
            <v>18</v>
          </cell>
        </row>
        <row r="40">
          <cell r="E40" t="str">
            <v>GALVEZ, Jaypoy</v>
          </cell>
          <cell r="F40">
            <v>2</v>
          </cell>
          <cell r="G40" t="str">
            <v>RD</v>
          </cell>
          <cell r="H40">
            <v>4</v>
          </cell>
          <cell r="I40">
            <v>5</v>
          </cell>
          <cell r="J40">
            <v>4</v>
          </cell>
          <cell r="K40">
            <v>4</v>
          </cell>
          <cell r="L40">
            <v>5</v>
          </cell>
          <cell r="M40">
            <v>5</v>
          </cell>
          <cell r="N40" t="str">
            <v>RD</v>
          </cell>
          <cell r="O40">
            <v>5</v>
          </cell>
          <cell r="P40">
            <v>5</v>
          </cell>
          <cell r="Q40">
            <v>5</v>
          </cell>
          <cell r="R40">
            <v>4</v>
          </cell>
          <cell r="S40">
            <v>5</v>
          </cell>
          <cell r="T40">
            <v>5</v>
          </cell>
          <cell r="U40" t="str">
            <v>RD</v>
          </cell>
          <cell r="V40">
            <v>5</v>
          </cell>
          <cell r="W40">
            <v>5</v>
          </cell>
          <cell r="X40">
            <v>5</v>
          </cell>
          <cell r="Y40">
            <v>5</v>
          </cell>
          <cell r="Z40">
            <v>5</v>
          </cell>
          <cell r="AA40">
            <v>5</v>
          </cell>
          <cell r="AK40">
            <v>0.97777777777777775</v>
          </cell>
          <cell r="AL40">
            <v>1</v>
          </cell>
          <cell r="AP40">
            <v>18</v>
          </cell>
        </row>
        <row r="41">
          <cell r="E41" t="str">
            <v>GIDA, Lenie Mae R.</v>
          </cell>
          <cell r="F41">
            <v>2</v>
          </cell>
          <cell r="G41" t="str">
            <v>RD</v>
          </cell>
          <cell r="H41">
            <v>5</v>
          </cell>
          <cell r="I41">
            <v>4</v>
          </cell>
          <cell r="J41">
            <v>5</v>
          </cell>
          <cell r="K41">
            <v>5</v>
          </cell>
          <cell r="L41">
            <v>5</v>
          </cell>
          <cell r="M41">
            <v>5</v>
          </cell>
          <cell r="N41" t="str">
            <v>RD</v>
          </cell>
          <cell r="O41" t="str">
            <v>L</v>
          </cell>
          <cell r="P41" t="str">
            <v>L</v>
          </cell>
          <cell r="Q41">
            <v>5</v>
          </cell>
          <cell r="R41">
            <v>5</v>
          </cell>
          <cell r="S41">
            <v>5</v>
          </cell>
          <cell r="T41">
            <v>5</v>
          </cell>
          <cell r="U41" t="str">
            <v>RD</v>
          </cell>
          <cell r="V41">
            <v>5</v>
          </cell>
          <cell r="W41">
            <v>5</v>
          </cell>
          <cell r="X41">
            <v>5</v>
          </cell>
          <cell r="Y41">
            <v>5</v>
          </cell>
          <cell r="Z41">
            <v>5</v>
          </cell>
          <cell r="AA41">
            <v>5</v>
          </cell>
          <cell r="AK41">
            <v>0.99375000000000002</v>
          </cell>
          <cell r="AL41">
            <v>1</v>
          </cell>
          <cell r="AP41">
            <v>16</v>
          </cell>
        </row>
        <row r="42">
          <cell r="E42" t="str">
            <v>WONG, Harold G.</v>
          </cell>
          <cell r="F42">
            <v>2</v>
          </cell>
          <cell r="G42" t="str">
            <v>RD</v>
          </cell>
          <cell r="H42">
            <v>5</v>
          </cell>
          <cell r="I42">
            <v>5</v>
          </cell>
          <cell r="J42">
            <v>5</v>
          </cell>
          <cell r="K42">
            <v>5</v>
          </cell>
          <cell r="L42">
            <v>5</v>
          </cell>
          <cell r="M42">
            <v>5</v>
          </cell>
          <cell r="N42" t="str">
            <v>RD</v>
          </cell>
          <cell r="O42">
            <v>5</v>
          </cell>
          <cell r="P42">
            <v>5</v>
          </cell>
          <cell r="Q42">
            <v>4</v>
          </cell>
          <cell r="R42">
            <v>5</v>
          </cell>
          <cell r="S42">
            <v>5</v>
          </cell>
          <cell r="T42" t="str">
            <v>L</v>
          </cell>
          <cell r="U42" t="str">
            <v>RD</v>
          </cell>
          <cell r="V42" t="str">
            <v>L</v>
          </cell>
          <cell r="W42" t="str">
            <v>L</v>
          </cell>
          <cell r="X42" t="str">
            <v>L</v>
          </cell>
          <cell r="Y42" t="str">
            <v>L</v>
          </cell>
          <cell r="Z42" t="str">
            <v>L</v>
          </cell>
          <cell r="AA42" t="str">
            <v>L</v>
          </cell>
          <cell r="AK42">
            <v>0.99090909090909096</v>
          </cell>
          <cell r="AL42">
            <v>1</v>
          </cell>
          <cell r="AP42">
            <v>11</v>
          </cell>
        </row>
        <row r="43">
          <cell r="E43" t="str">
            <v>BALACUIT, Jonesa Queen</v>
          </cell>
          <cell r="F43">
            <v>2</v>
          </cell>
          <cell r="G43" t="str">
            <v>RD</v>
          </cell>
          <cell r="H43">
            <v>5</v>
          </cell>
          <cell r="I43">
            <v>5</v>
          </cell>
          <cell r="J43">
            <v>5</v>
          </cell>
          <cell r="K43">
            <v>5</v>
          </cell>
          <cell r="L43">
            <v>5</v>
          </cell>
          <cell r="M43" t="str">
            <v>VL</v>
          </cell>
          <cell r="N43" t="str">
            <v>RD</v>
          </cell>
          <cell r="O43" t="str">
            <v>L</v>
          </cell>
          <cell r="P43">
            <v>5</v>
          </cell>
          <cell r="Q43">
            <v>5</v>
          </cell>
          <cell r="R43">
            <v>5</v>
          </cell>
          <cell r="S43">
            <v>5</v>
          </cell>
          <cell r="T43" t="str">
            <v>L</v>
          </cell>
          <cell r="U43" t="str">
            <v>RD</v>
          </cell>
          <cell r="V43" t="str">
            <v>L</v>
          </cell>
          <cell r="W43" t="str">
            <v>L</v>
          </cell>
          <cell r="X43" t="str">
            <v>L</v>
          </cell>
          <cell r="Y43" t="str">
            <v>L</v>
          </cell>
          <cell r="Z43" t="str">
            <v>L</v>
          </cell>
          <cell r="AA43" t="str">
            <v>L</v>
          </cell>
          <cell r="AK43">
            <v>1</v>
          </cell>
          <cell r="AL43">
            <v>1</v>
          </cell>
          <cell r="AP43">
            <v>9</v>
          </cell>
        </row>
        <row r="44">
          <cell r="E44" t="str">
            <v>ERCILLO, Marvin J.</v>
          </cell>
          <cell r="F44">
            <v>2</v>
          </cell>
          <cell r="G44" t="str">
            <v>RD</v>
          </cell>
          <cell r="H44">
            <v>5</v>
          </cell>
          <cell r="I44">
            <v>5</v>
          </cell>
          <cell r="J44">
            <v>5</v>
          </cell>
          <cell r="K44">
            <v>5</v>
          </cell>
          <cell r="L44">
            <v>5</v>
          </cell>
          <cell r="M44">
            <v>5</v>
          </cell>
          <cell r="N44" t="str">
            <v>RD</v>
          </cell>
          <cell r="O44">
            <v>5</v>
          </cell>
          <cell r="P44">
            <v>5</v>
          </cell>
          <cell r="Q44">
            <v>5</v>
          </cell>
          <cell r="R44">
            <v>5</v>
          </cell>
          <cell r="S44">
            <v>5</v>
          </cell>
          <cell r="T44">
            <v>5</v>
          </cell>
          <cell r="U44" t="str">
            <v>RD</v>
          </cell>
          <cell r="V44">
            <v>5</v>
          </cell>
          <cell r="W44">
            <v>5</v>
          </cell>
          <cell r="X44">
            <v>5</v>
          </cell>
          <cell r="Y44">
            <v>5</v>
          </cell>
          <cell r="Z44">
            <v>5</v>
          </cell>
          <cell r="AA44">
            <v>5</v>
          </cell>
          <cell r="AK44">
            <v>1</v>
          </cell>
          <cell r="AL44">
            <v>1</v>
          </cell>
          <cell r="AP44">
            <v>18</v>
          </cell>
        </row>
        <row r="45">
          <cell r="E45" t="str">
            <v>PRESILDA, Winston</v>
          </cell>
          <cell r="F45">
            <v>2</v>
          </cell>
          <cell r="G45" t="str">
            <v>RD</v>
          </cell>
          <cell r="H45">
            <v>5</v>
          </cell>
          <cell r="I45">
            <v>4</v>
          </cell>
          <cell r="J45">
            <v>4</v>
          </cell>
          <cell r="K45">
            <v>5</v>
          </cell>
          <cell r="L45">
            <v>5</v>
          </cell>
          <cell r="M45">
            <v>5</v>
          </cell>
          <cell r="N45" t="str">
            <v>RD</v>
          </cell>
          <cell r="O45">
            <v>5</v>
          </cell>
          <cell r="P45">
            <v>5</v>
          </cell>
          <cell r="Q45">
            <v>5</v>
          </cell>
          <cell r="R45">
            <v>5</v>
          </cell>
          <cell r="S45">
            <v>5</v>
          </cell>
          <cell r="T45" t="str">
            <v>SL</v>
          </cell>
          <cell r="U45" t="str">
            <v>RD</v>
          </cell>
          <cell r="V45">
            <v>5</v>
          </cell>
          <cell r="W45">
            <v>5</v>
          </cell>
          <cell r="X45" t="str">
            <v>L</v>
          </cell>
          <cell r="Y45" t="str">
            <v>L</v>
          </cell>
          <cell r="Z45" t="str">
            <v>L</v>
          </cell>
          <cell r="AA45" t="str">
            <v>L</v>
          </cell>
          <cell r="AK45">
            <v>0.98461538461538456</v>
          </cell>
          <cell r="AL45">
            <v>1</v>
          </cell>
          <cell r="AP45">
            <v>13</v>
          </cell>
        </row>
        <row r="46">
          <cell r="E46" t="str">
            <v>NASAYAO, Jesus</v>
          </cell>
          <cell r="F46">
            <v>2</v>
          </cell>
          <cell r="G46" t="str">
            <v>RD</v>
          </cell>
          <cell r="H46">
            <v>5</v>
          </cell>
          <cell r="I46">
            <v>5</v>
          </cell>
          <cell r="J46">
            <v>5</v>
          </cell>
          <cell r="K46">
            <v>5</v>
          </cell>
          <cell r="L46">
            <v>5</v>
          </cell>
          <cell r="M46">
            <v>5</v>
          </cell>
          <cell r="N46" t="str">
            <v>RD</v>
          </cell>
          <cell r="O46">
            <v>5</v>
          </cell>
          <cell r="P46">
            <v>5</v>
          </cell>
          <cell r="Q46">
            <v>5</v>
          </cell>
          <cell r="R46">
            <v>5</v>
          </cell>
          <cell r="S46">
            <v>5</v>
          </cell>
          <cell r="T46">
            <v>5</v>
          </cell>
          <cell r="U46" t="str">
            <v>RD</v>
          </cell>
          <cell r="V46" t="str">
            <v>L</v>
          </cell>
          <cell r="W46" t="str">
            <v>L</v>
          </cell>
          <cell r="X46" t="str">
            <v>L</v>
          </cell>
          <cell r="Y46" t="str">
            <v>L</v>
          </cell>
          <cell r="Z46" t="str">
            <v>L</v>
          </cell>
          <cell r="AA46" t="str">
            <v>L</v>
          </cell>
          <cell r="AK46">
            <v>1</v>
          </cell>
          <cell r="AL46">
            <v>1</v>
          </cell>
          <cell r="AP46">
            <v>12</v>
          </cell>
        </row>
        <row r="47">
          <cell r="E47" t="str">
            <v>BALACUIT,  Prince Joewen</v>
          </cell>
          <cell r="F47">
            <v>2</v>
          </cell>
          <cell r="G47" t="str">
            <v>RD</v>
          </cell>
          <cell r="H47">
            <v>5</v>
          </cell>
          <cell r="I47">
            <v>5</v>
          </cell>
          <cell r="J47">
            <v>5</v>
          </cell>
          <cell r="K47">
            <v>5</v>
          </cell>
          <cell r="L47">
            <v>5</v>
          </cell>
          <cell r="M47" t="str">
            <v>VL</v>
          </cell>
          <cell r="N47" t="str">
            <v>RD</v>
          </cell>
          <cell r="O47" t="str">
            <v>L</v>
          </cell>
          <cell r="P47">
            <v>5</v>
          </cell>
          <cell r="Q47">
            <v>5</v>
          </cell>
          <cell r="R47">
            <v>5</v>
          </cell>
          <cell r="S47">
            <v>5</v>
          </cell>
          <cell r="T47" t="str">
            <v>L</v>
          </cell>
          <cell r="U47" t="str">
            <v>RD</v>
          </cell>
          <cell r="V47" t="str">
            <v>L</v>
          </cell>
          <cell r="W47" t="str">
            <v>L</v>
          </cell>
          <cell r="X47" t="str">
            <v>L</v>
          </cell>
          <cell r="Y47" t="str">
            <v>L</v>
          </cell>
          <cell r="Z47" t="str">
            <v>L</v>
          </cell>
          <cell r="AA47">
            <v>5</v>
          </cell>
          <cell r="AK47">
            <v>1</v>
          </cell>
          <cell r="AL47">
            <v>1</v>
          </cell>
          <cell r="AP47">
            <v>10</v>
          </cell>
        </row>
        <row r="48">
          <cell r="E48" t="str">
            <v>DELA PENA, Rapie S.</v>
          </cell>
          <cell r="F48">
            <v>2</v>
          </cell>
          <cell r="G48" t="str">
            <v>RD</v>
          </cell>
          <cell r="H48" t="str">
            <v>EL</v>
          </cell>
          <cell r="I48">
            <v>5</v>
          </cell>
          <cell r="J48">
            <v>5</v>
          </cell>
          <cell r="K48">
            <v>5</v>
          </cell>
          <cell r="L48">
            <v>5</v>
          </cell>
          <cell r="M48">
            <v>5</v>
          </cell>
          <cell r="N48" t="str">
            <v>RD</v>
          </cell>
          <cell r="O48">
            <v>5</v>
          </cell>
          <cell r="P48">
            <v>5</v>
          </cell>
          <cell r="Q48">
            <v>4</v>
          </cell>
          <cell r="R48">
            <v>5</v>
          </cell>
          <cell r="S48">
            <v>5</v>
          </cell>
          <cell r="T48" t="str">
            <v>RD</v>
          </cell>
          <cell r="U48" t="str">
            <v>RD</v>
          </cell>
          <cell r="V48">
            <v>5</v>
          </cell>
          <cell r="W48">
            <v>4</v>
          </cell>
          <cell r="X48">
            <v>4</v>
          </cell>
          <cell r="Y48">
            <v>4</v>
          </cell>
          <cell r="Z48">
            <v>5</v>
          </cell>
          <cell r="AA48">
            <v>5</v>
          </cell>
          <cell r="AK48">
            <v>0.97499999999999998</v>
          </cell>
          <cell r="AL48">
            <v>1</v>
          </cell>
          <cell r="AP48">
            <v>16</v>
          </cell>
        </row>
        <row r="49">
          <cell r="E49" t="str">
            <v>BUYO, Rico Jay</v>
          </cell>
          <cell r="F49">
            <v>2</v>
          </cell>
          <cell r="G49" t="str">
            <v>RD</v>
          </cell>
          <cell r="H49">
            <v>4</v>
          </cell>
          <cell r="I49">
            <v>5</v>
          </cell>
          <cell r="J49">
            <v>5</v>
          </cell>
          <cell r="K49">
            <v>5</v>
          </cell>
          <cell r="L49">
            <v>5</v>
          </cell>
          <cell r="M49">
            <v>5</v>
          </cell>
          <cell r="N49" t="str">
            <v>RD</v>
          </cell>
          <cell r="O49">
            <v>5</v>
          </cell>
          <cell r="P49">
            <v>5</v>
          </cell>
          <cell r="Q49">
            <v>4</v>
          </cell>
          <cell r="R49">
            <v>4</v>
          </cell>
          <cell r="S49">
            <v>5</v>
          </cell>
          <cell r="T49">
            <v>5</v>
          </cell>
          <cell r="U49" t="str">
            <v>RD</v>
          </cell>
          <cell r="V49">
            <v>5</v>
          </cell>
          <cell r="W49">
            <v>5</v>
          </cell>
          <cell r="X49">
            <v>5</v>
          </cell>
          <cell r="Y49">
            <v>5</v>
          </cell>
          <cell r="Z49">
            <v>5</v>
          </cell>
          <cell r="AA49">
            <v>5</v>
          </cell>
          <cell r="AK49">
            <v>0.98333333333333328</v>
          </cell>
          <cell r="AL49">
            <v>1</v>
          </cell>
          <cell r="AP49">
            <v>18</v>
          </cell>
        </row>
        <row r="50">
          <cell r="E50" t="str">
            <v>RUDIS, June Mar</v>
          </cell>
          <cell r="F50">
            <v>2</v>
          </cell>
          <cell r="G50" t="str">
            <v>RD</v>
          </cell>
          <cell r="H50">
            <v>4</v>
          </cell>
          <cell r="I50">
            <v>5</v>
          </cell>
          <cell r="J50">
            <v>5</v>
          </cell>
          <cell r="K50">
            <v>5</v>
          </cell>
          <cell r="L50">
            <v>5</v>
          </cell>
          <cell r="M50" t="str">
            <v>SL</v>
          </cell>
          <cell r="N50" t="str">
            <v>RD</v>
          </cell>
          <cell r="O50">
            <v>5</v>
          </cell>
          <cell r="P50">
            <v>5</v>
          </cell>
          <cell r="Q50">
            <v>4</v>
          </cell>
          <cell r="R50">
            <v>5</v>
          </cell>
          <cell r="S50">
            <v>5</v>
          </cell>
          <cell r="T50">
            <v>5</v>
          </cell>
          <cell r="U50" t="str">
            <v>RD</v>
          </cell>
          <cell r="V50">
            <v>5</v>
          </cell>
          <cell r="W50">
            <v>5</v>
          </cell>
          <cell r="X50">
            <v>5</v>
          </cell>
          <cell r="Y50">
            <v>5</v>
          </cell>
          <cell r="Z50">
            <v>5</v>
          </cell>
          <cell r="AA50">
            <v>5</v>
          </cell>
          <cell r="AK50">
            <v>0.9882352941176471</v>
          </cell>
          <cell r="AL50">
            <v>1</v>
          </cell>
          <cell r="AP50">
            <v>17</v>
          </cell>
        </row>
        <row r="51">
          <cell r="E51" t="str">
            <v>GASAPO, Alladin</v>
          </cell>
          <cell r="F51">
            <v>2</v>
          </cell>
          <cell r="G51" t="str">
            <v>RD</v>
          </cell>
          <cell r="H51">
            <v>5</v>
          </cell>
          <cell r="I51">
            <v>5</v>
          </cell>
          <cell r="J51">
            <v>5</v>
          </cell>
          <cell r="K51">
            <v>5</v>
          </cell>
          <cell r="L51">
            <v>5</v>
          </cell>
          <cell r="M51">
            <v>5</v>
          </cell>
          <cell r="N51" t="str">
            <v>RD</v>
          </cell>
          <cell r="O51">
            <v>5</v>
          </cell>
          <cell r="P51">
            <v>5</v>
          </cell>
          <cell r="Q51" t="str">
            <v>L</v>
          </cell>
          <cell r="R51">
            <v>5</v>
          </cell>
          <cell r="S51">
            <v>5</v>
          </cell>
          <cell r="T51">
            <v>5</v>
          </cell>
          <cell r="U51" t="str">
            <v>RD</v>
          </cell>
          <cell r="V51">
            <v>5</v>
          </cell>
          <cell r="W51">
            <v>4</v>
          </cell>
          <cell r="X51">
            <v>5</v>
          </cell>
          <cell r="Y51">
            <v>4</v>
          </cell>
          <cell r="Z51">
            <v>5</v>
          </cell>
          <cell r="AA51">
            <v>5</v>
          </cell>
          <cell r="AK51">
            <v>0.9882352941176471</v>
          </cell>
          <cell r="AL51">
            <v>1</v>
          </cell>
          <cell r="AP51">
            <v>17</v>
          </cell>
        </row>
        <row r="52">
          <cell r="E52" t="str">
            <v>AMALIAS, Carlo</v>
          </cell>
          <cell r="F52">
            <v>2</v>
          </cell>
          <cell r="G52" t="str">
            <v>RD</v>
          </cell>
          <cell r="N52" t="str">
            <v>RD</v>
          </cell>
          <cell r="AK52" t="str">
            <v>--</v>
          </cell>
          <cell r="AL52">
            <v>1</v>
          </cell>
          <cell r="AP52">
            <v>0</v>
          </cell>
        </row>
        <row r="53">
          <cell r="E53" t="str">
            <v>DAGASDAS, Gregorio Jr.</v>
          </cell>
          <cell r="F53">
            <v>2</v>
          </cell>
          <cell r="G53" t="str">
            <v>RD</v>
          </cell>
          <cell r="H53">
            <v>5</v>
          </cell>
          <cell r="I53">
            <v>5</v>
          </cell>
          <cell r="J53">
            <v>4</v>
          </cell>
          <cell r="K53">
            <v>5</v>
          </cell>
          <cell r="L53">
            <v>5</v>
          </cell>
          <cell r="M53">
            <v>5</v>
          </cell>
          <cell r="N53" t="str">
            <v>RD</v>
          </cell>
          <cell r="O53">
            <v>5</v>
          </cell>
          <cell r="P53">
            <v>5</v>
          </cell>
          <cell r="Q53">
            <v>5</v>
          </cell>
          <cell r="R53">
            <v>5</v>
          </cell>
          <cell r="S53">
            <v>5</v>
          </cell>
          <cell r="T53">
            <v>5</v>
          </cell>
          <cell r="U53" t="str">
            <v>RD</v>
          </cell>
          <cell r="V53">
            <v>5</v>
          </cell>
          <cell r="W53">
            <v>5</v>
          </cell>
          <cell r="X53">
            <v>5</v>
          </cell>
          <cell r="Y53">
            <v>4</v>
          </cell>
          <cell r="Z53">
            <v>5</v>
          </cell>
          <cell r="AA53">
            <v>5</v>
          </cell>
          <cell r="AK53">
            <v>0.98888888888888893</v>
          </cell>
          <cell r="AL53">
            <v>1</v>
          </cell>
          <cell r="AP53">
            <v>18</v>
          </cell>
        </row>
        <row r="54">
          <cell r="AL54" t="str">
            <v/>
          </cell>
        </row>
        <row r="55">
          <cell r="AL55" t="str">
            <v/>
          </cell>
        </row>
        <row r="56">
          <cell r="E56" t="str">
            <v>GAYAPA, Joseph Kent</v>
          </cell>
          <cell r="F56" t="str">
            <v>All</v>
          </cell>
        </row>
        <row r="57">
          <cell r="E57" t="str">
            <v xml:space="preserve">BELARMINO, Arniel </v>
          </cell>
          <cell r="F57" t="str">
            <v>All</v>
          </cell>
        </row>
        <row r="58">
          <cell r="E58" t="str">
            <v xml:space="preserve">CORBO, Peter Ramje </v>
          </cell>
          <cell r="F58" t="str">
            <v>SL/DCS</v>
          </cell>
        </row>
        <row r="59">
          <cell r="E59" t="str">
            <v>ARTAZO, Catherine Joelor C.</v>
          </cell>
          <cell r="F59" t="str">
            <v>SL/DCS</v>
          </cell>
        </row>
        <row r="60">
          <cell r="H60" t="str">
            <v>AJL</v>
          </cell>
          <cell r="J60" t="str">
            <v>AKM</v>
          </cell>
          <cell r="N60" t="str">
            <v>LGD</v>
          </cell>
          <cell r="O60" t="str">
            <v>AKM</v>
          </cell>
          <cell r="Q60" t="str">
            <v>ECC</v>
          </cell>
          <cell r="S60" t="str">
            <v>JNY</v>
          </cell>
          <cell r="T60" t="str">
            <v>JNY</v>
          </cell>
          <cell r="U60" t="str">
            <v>JNY</v>
          </cell>
          <cell r="V60" t="str">
            <v>AJL</v>
          </cell>
          <cell r="X60" t="str">
            <v>LGD</v>
          </cell>
          <cell r="Y60" t="str">
            <v>LGD</v>
          </cell>
          <cell r="Z60" t="str">
            <v>JDC</v>
          </cell>
          <cell r="AA60" t="str">
            <v>JDC</v>
          </cell>
        </row>
        <row r="61">
          <cell r="E61" t="str">
            <v>SIMBAJON, Sherman Nove B.</v>
          </cell>
          <cell r="F61">
            <v>3</v>
          </cell>
          <cell r="G61">
            <v>5</v>
          </cell>
          <cell r="H61">
            <v>5</v>
          </cell>
          <cell r="I61" t="str">
            <v>RD</v>
          </cell>
          <cell r="J61">
            <v>5</v>
          </cell>
          <cell r="K61">
            <v>5</v>
          </cell>
          <cell r="L61">
            <v>5</v>
          </cell>
          <cell r="M61">
            <v>5</v>
          </cell>
          <cell r="N61">
            <v>5</v>
          </cell>
          <cell r="O61">
            <v>5</v>
          </cell>
          <cell r="P61" t="str">
            <v>RD</v>
          </cell>
          <cell r="Q61">
            <v>5</v>
          </cell>
          <cell r="R61">
            <v>5</v>
          </cell>
          <cell r="S61">
            <v>5</v>
          </cell>
          <cell r="T61">
            <v>5</v>
          </cell>
          <cell r="U61" t="str">
            <v>VL</v>
          </cell>
          <cell r="V61" t="str">
            <v>L</v>
          </cell>
          <cell r="W61" t="str">
            <v>RD</v>
          </cell>
          <cell r="X61" t="str">
            <v>L</v>
          </cell>
          <cell r="Y61">
            <v>5</v>
          </cell>
          <cell r="Z61">
            <v>5</v>
          </cell>
          <cell r="AA61">
            <v>5</v>
          </cell>
          <cell r="AK61">
            <v>1</v>
          </cell>
          <cell r="AL61">
            <v>1</v>
          </cell>
          <cell r="AM61">
            <v>0.9825809527589715</v>
          </cell>
          <cell r="AN61">
            <v>0.99749373433583965</v>
          </cell>
          <cell r="AO61">
            <v>0.99003734354740558</v>
          </cell>
          <cell r="AP61">
            <v>15</v>
          </cell>
        </row>
        <row r="62">
          <cell r="E62" t="str">
            <v>ORCEJOLA, Karen Mae</v>
          </cell>
          <cell r="F62">
            <v>3</v>
          </cell>
          <cell r="G62">
            <v>5</v>
          </cell>
          <cell r="H62">
            <v>5</v>
          </cell>
          <cell r="I62" t="str">
            <v>RD</v>
          </cell>
          <cell r="J62">
            <v>5</v>
          </cell>
          <cell r="K62">
            <v>5</v>
          </cell>
          <cell r="L62">
            <v>5</v>
          </cell>
          <cell r="M62">
            <v>5</v>
          </cell>
          <cell r="N62">
            <v>5</v>
          </cell>
          <cell r="O62">
            <v>5</v>
          </cell>
          <cell r="P62" t="str">
            <v>RD</v>
          </cell>
          <cell r="Q62">
            <v>5</v>
          </cell>
          <cell r="R62">
            <v>5</v>
          </cell>
          <cell r="S62">
            <v>5</v>
          </cell>
          <cell r="T62">
            <v>5</v>
          </cell>
          <cell r="U62">
            <v>5</v>
          </cell>
          <cell r="V62">
            <v>5</v>
          </cell>
          <cell r="W62" t="str">
            <v>RD</v>
          </cell>
          <cell r="X62">
            <v>5</v>
          </cell>
          <cell r="Y62">
            <v>5</v>
          </cell>
          <cell r="Z62">
            <v>5</v>
          </cell>
          <cell r="AA62">
            <v>5</v>
          </cell>
          <cell r="AK62">
            <v>1</v>
          </cell>
          <cell r="AL62">
            <v>1</v>
          </cell>
          <cell r="AP62">
            <v>18</v>
          </cell>
        </row>
        <row r="63">
          <cell r="E63" t="str">
            <v>CORMINAL, Roland</v>
          </cell>
          <cell r="F63">
            <v>3</v>
          </cell>
          <cell r="G63">
            <v>5</v>
          </cell>
          <cell r="H63">
            <v>5</v>
          </cell>
          <cell r="I63" t="str">
            <v>RD</v>
          </cell>
          <cell r="J63">
            <v>5</v>
          </cell>
          <cell r="K63">
            <v>5</v>
          </cell>
          <cell r="L63">
            <v>5</v>
          </cell>
          <cell r="M63">
            <v>5</v>
          </cell>
          <cell r="N63">
            <v>4</v>
          </cell>
          <cell r="O63">
            <v>5</v>
          </cell>
          <cell r="P63" t="str">
            <v>RD</v>
          </cell>
          <cell r="Q63">
            <v>5</v>
          </cell>
          <cell r="R63">
            <v>5</v>
          </cell>
          <cell r="S63">
            <v>5</v>
          </cell>
          <cell r="T63">
            <v>5</v>
          </cell>
          <cell r="U63">
            <v>5</v>
          </cell>
          <cell r="V63" t="str">
            <v>L</v>
          </cell>
          <cell r="W63" t="str">
            <v>RD</v>
          </cell>
          <cell r="X63" t="str">
            <v>L</v>
          </cell>
          <cell r="Y63" t="str">
            <v>L</v>
          </cell>
          <cell r="Z63">
            <v>5</v>
          </cell>
          <cell r="AA63">
            <v>5</v>
          </cell>
          <cell r="AK63">
            <v>0.9933333333333334</v>
          </cell>
          <cell r="AL63">
            <v>1</v>
          </cell>
          <cell r="AP63">
            <v>15</v>
          </cell>
        </row>
        <row r="64">
          <cell r="E64" t="str">
            <v>MAGLINTE, Jerryll</v>
          </cell>
          <cell r="F64">
            <v>3</v>
          </cell>
          <cell r="G64">
            <v>5</v>
          </cell>
          <cell r="H64">
            <v>4</v>
          </cell>
          <cell r="I64" t="str">
            <v>RD</v>
          </cell>
          <cell r="J64">
            <v>5</v>
          </cell>
          <cell r="K64">
            <v>5</v>
          </cell>
          <cell r="L64">
            <v>5</v>
          </cell>
          <cell r="M64" t="str">
            <v>EL</v>
          </cell>
          <cell r="N64">
            <v>4</v>
          </cell>
          <cell r="O64">
            <v>4</v>
          </cell>
          <cell r="P64" t="str">
            <v>RD</v>
          </cell>
          <cell r="Q64">
            <v>5</v>
          </cell>
          <cell r="R64">
            <v>5</v>
          </cell>
          <cell r="S64">
            <v>5</v>
          </cell>
          <cell r="T64" t="str">
            <v>L</v>
          </cell>
          <cell r="U64">
            <v>5</v>
          </cell>
          <cell r="V64">
            <v>5</v>
          </cell>
          <cell r="W64" t="str">
            <v>RD</v>
          </cell>
          <cell r="X64" t="str">
            <v>L</v>
          </cell>
          <cell r="Y64" t="str">
            <v>L</v>
          </cell>
          <cell r="Z64" t="str">
            <v>L</v>
          </cell>
          <cell r="AA64">
            <v>5</v>
          </cell>
          <cell r="AK64">
            <v>0.97692307692307689</v>
          </cell>
          <cell r="AL64">
            <v>1</v>
          </cell>
          <cell r="AP64">
            <v>13</v>
          </cell>
        </row>
        <row r="65">
          <cell r="E65" t="str">
            <v>MANILI, Jessie</v>
          </cell>
          <cell r="F65">
            <v>3</v>
          </cell>
          <cell r="G65">
            <v>5</v>
          </cell>
          <cell r="H65">
            <v>5</v>
          </cell>
          <cell r="I65" t="str">
            <v>RD</v>
          </cell>
          <cell r="J65">
            <v>5</v>
          </cell>
          <cell r="K65">
            <v>5</v>
          </cell>
          <cell r="L65">
            <v>5</v>
          </cell>
          <cell r="M65">
            <v>5</v>
          </cell>
          <cell r="N65">
            <v>5</v>
          </cell>
          <cell r="O65">
            <v>5</v>
          </cell>
          <cell r="P65" t="str">
            <v>RD</v>
          </cell>
          <cell r="Q65">
            <v>5</v>
          </cell>
          <cell r="R65">
            <v>5</v>
          </cell>
          <cell r="S65" t="str">
            <v>SL</v>
          </cell>
          <cell r="T65">
            <v>5</v>
          </cell>
          <cell r="U65">
            <v>5</v>
          </cell>
          <cell r="V65">
            <v>5</v>
          </cell>
          <cell r="W65" t="str">
            <v>RD</v>
          </cell>
          <cell r="X65">
            <v>5</v>
          </cell>
          <cell r="Y65">
            <v>5</v>
          </cell>
          <cell r="Z65">
            <v>5</v>
          </cell>
          <cell r="AA65">
            <v>5</v>
          </cell>
          <cell r="AK65">
            <v>1</v>
          </cell>
          <cell r="AL65">
            <v>1</v>
          </cell>
          <cell r="AP65">
            <v>17</v>
          </cell>
        </row>
        <row r="66">
          <cell r="E66" t="str">
            <v>CATONG, Abel</v>
          </cell>
          <cell r="F66">
            <v>3</v>
          </cell>
          <cell r="G66">
            <v>4</v>
          </cell>
          <cell r="H66">
            <v>5</v>
          </cell>
          <cell r="I66" t="str">
            <v>RD</v>
          </cell>
          <cell r="J66">
            <v>5</v>
          </cell>
          <cell r="K66">
            <v>5</v>
          </cell>
          <cell r="L66">
            <v>5</v>
          </cell>
          <cell r="M66" t="str">
            <v>SL</v>
          </cell>
          <cell r="N66" t="str">
            <v>EL</v>
          </cell>
          <cell r="O66" t="str">
            <v>L</v>
          </cell>
          <cell r="P66" t="str">
            <v>RD</v>
          </cell>
          <cell r="Q66">
            <v>5</v>
          </cell>
          <cell r="R66">
            <v>5</v>
          </cell>
          <cell r="S66">
            <v>5</v>
          </cell>
          <cell r="T66">
            <v>5</v>
          </cell>
          <cell r="U66">
            <v>5</v>
          </cell>
          <cell r="V66">
            <v>5</v>
          </cell>
          <cell r="W66" t="str">
            <v>RD</v>
          </cell>
          <cell r="X66">
            <v>4</v>
          </cell>
          <cell r="Y66" t="str">
            <v>L</v>
          </cell>
          <cell r="Z66" t="str">
            <v>L</v>
          </cell>
          <cell r="AK66">
            <v>0.98333333333333328</v>
          </cell>
          <cell r="AL66">
            <v>1</v>
          </cell>
          <cell r="AP66">
            <v>12</v>
          </cell>
        </row>
        <row r="67">
          <cell r="E67" t="str">
            <v xml:space="preserve">SAMONTINA, Michael Jhun </v>
          </cell>
          <cell r="F67">
            <v>3</v>
          </cell>
          <cell r="G67">
            <v>5</v>
          </cell>
          <cell r="H67">
            <v>4</v>
          </cell>
          <cell r="I67" t="str">
            <v>RD</v>
          </cell>
          <cell r="J67">
            <v>5</v>
          </cell>
          <cell r="K67">
            <v>5</v>
          </cell>
          <cell r="L67">
            <v>5</v>
          </cell>
          <cell r="M67">
            <v>5</v>
          </cell>
          <cell r="N67">
            <v>5</v>
          </cell>
          <cell r="O67">
            <v>5</v>
          </cell>
          <cell r="P67" t="str">
            <v>RD</v>
          </cell>
          <cell r="Q67">
            <v>5</v>
          </cell>
          <cell r="R67">
            <v>5</v>
          </cell>
          <cell r="S67">
            <v>5</v>
          </cell>
          <cell r="T67">
            <v>5</v>
          </cell>
          <cell r="U67">
            <v>5</v>
          </cell>
          <cell r="V67" t="str">
            <v>L</v>
          </cell>
          <cell r="W67" t="str">
            <v>RD</v>
          </cell>
          <cell r="X67">
            <v>4</v>
          </cell>
          <cell r="Y67">
            <v>5</v>
          </cell>
          <cell r="Z67">
            <v>5</v>
          </cell>
          <cell r="AA67">
            <v>5</v>
          </cell>
          <cell r="AK67">
            <v>0.9882352941176471</v>
          </cell>
          <cell r="AL67">
            <v>1</v>
          </cell>
          <cell r="AP67">
            <v>17</v>
          </cell>
        </row>
        <row r="68">
          <cell r="E68" t="str">
            <v xml:space="preserve">DEGOLTO, Joel </v>
          </cell>
          <cell r="F68">
            <v>3</v>
          </cell>
          <cell r="G68" t="str">
            <v>SL</v>
          </cell>
          <cell r="H68" t="str">
            <v>SL</v>
          </cell>
          <cell r="I68" t="str">
            <v>RD</v>
          </cell>
          <cell r="J68">
            <v>0</v>
          </cell>
          <cell r="K68">
            <v>5</v>
          </cell>
          <cell r="L68">
            <v>5</v>
          </cell>
          <cell r="M68">
            <v>5</v>
          </cell>
          <cell r="N68">
            <v>5</v>
          </cell>
          <cell r="O68">
            <v>5</v>
          </cell>
          <cell r="P68" t="str">
            <v>RD</v>
          </cell>
          <cell r="Q68" t="str">
            <v>SL</v>
          </cell>
          <cell r="R68">
            <v>5</v>
          </cell>
          <cell r="S68">
            <v>5</v>
          </cell>
          <cell r="T68">
            <v>5</v>
          </cell>
          <cell r="U68">
            <v>5</v>
          </cell>
          <cell r="V68">
            <v>5</v>
          </cell>
          <cell r="W68" t="str">
            <v>RD</v>
          </cell>
          <cell r="X68">
            <v>5</v>
          </cell>
          <cell r="Y68">
            <v>5</v>
          </cell>
          <cell r="Z68" t="str">
            <v>L</v>
          </cell>
          <cell r="AA68" t="str">
            <v>L</v>
          </cell>
          <cell r="AK68">
            <v>0.96153846153846156</v>
          </cell>
          <cell r="AL68">
            <v>0.95238095238095233</v>
          </cell>
          <cell r="AP68">
            <v>13</v>
          </cell>
        </row>
        <row r="69">
          <cell r="E69" t="str">
            <v>TAYOR,  Rocar John Paul P.</v>
          </cell>
          <cell r="F69">
            <v>3</v>
          </cell>
          <cell r="G69">
            <v>5</v>
          </cell>
          <cell r="H69">
            <v>5</v>
          </cell>
          <cell r="I69" t="str">
            <v>RD</v>
          </cell>
          <cell r="J69">
            <v>5</v>
          </cell>
          <cell r="K69">
            <v>5</v>
          </cell>
          <cell r="L69">
            <v>5</v>
          </cell>
          <cell r="M69">
            <v>5</v>
          </cell>
          <cell r="N69" t="str">
            <v>L</v>
          </cell>
          <cell r="O69" t="str">
            <v>L</v>
          </cell>
          <cell r="P69" t="str">
            <v>RD</v>
          </cell>
          <cell r="Q69" t="str">
            <v>HTL</v>
          </cell>
          <cell r="R69" t="str">
            <v>L</v>
          </cell>
          <cell r="S69" t="str">
            <v>L</v>
          </cell>
          <cell r="T69" t="str">
            <v>L</v>
          </cell>
          <cell r="U69">
            <v>5</v>
          </cell>
          <cell r="V69">
            <v>5</v>
          </cell>
          <cell r="W69" t="str">
            <v>RD</v>
          </cell>
          <cell r="X69">
            <v>5</v>
          </cell>
          <cell r="Y69">
            <v>5</v>
          </cell>
          <cell r="Z69">
            <v>5</v>
          </cell>
          <cell r="AA69">
            <v>5</v>
          </cell>
          <cell r="AK69">
            <v>1</v>
          </cell>
          <cell r="AL69">
            <v>1</v>
          </cell>
          <cell r="AP69">
            <v>12</v>
          </cell>
        </row>
        <row r="70">
          <cell r="E70" t="str">
            <v>COCAMAS, Louie R</v>
          </cell>
          <cell r="F70">
            <v>3</v>
          </cell>
          <cell r="G70">
            <v>5</v>
          </cell>
          <cell r="H70">
            <v>5</v>
          </cell>
          <cell r="I70" t="str">
            <v>RD</v>
          </cell>
          <cell r="J70">
            <v>5</v>
          </cell>
          <cell r="K70">
            <v>5</v>
          </cell>
          <cell r="L70">
            <v>5</v>
          </cell>
          <cell r="M70">
            <v>5</v>
          </cell>
          <cell r="N70">
            <v>5</v>
          </cell>
          <cell r="O70">
            <v>5</v>
          </cell>
          <cell r="P70" t="str">
            <v>RD</v>
          </cell>
          <cell r="Q70">
            <v>5</v>
          </cell>
          <cell r="R70">
            <v>5</v>
          </cell>
          <cell r="S70">
            <v>5</v>
          </cell>
          <cell r="T70">
            <v>5</v>
          </cell>
          <cell r="U70">
            <v>5</v>
          </cell>
          <cell r="V70">
            <v>5</v>
          </cell>
          <cell r="W70" t="str">
            <v>RD</v>
          </cell>
          <cell r="X70">
            <v>5</v>
          </cell>
          <cell r="Y70">
            <v>5</v>
          </cell>
          <cell r="Z70">
            <v>5</v>
          </cell>
          <cell r="AA70">
            <v>5</v>
          </cell>
          <cell r="AK70">
            <v>1</v>
          </cell>
          <cell r="AL70">
            <v>1</v>
          </cell>
          <cell r="AP70">
            <v>18</v>
          </cell>
        </row>
        <row r="71">
          <cell r="E71" t="str">
            <v>NECESARIO, Nhergil</v>
          </cell>
          <cell r="F71">
            <v>3</v>
          </cell>
          <cell r="G71">
            <v>5</v>
          </cell>
          <cell r="H71">
            <v>4</v>
          </cell>
          <cell r="I71" t="str">
            <v>RD</v>
          </cell>
          <cell r="J71">
            <v>5</v>
          </cell>
          <cell r="K71">
            <v>5</v>
          </cell>
          <cell r="L71">
            <v>5</v>
          </cell>
          <cell r="M71">
            <v>5</v>
          </cell>
          <cell r="N71">
            <v>4</v>
          </cell>
          <cell r="O71">
            <v>4</v>
          </cell>
          <cell r="P71" t="str">
            <v>RD</v>
          </cell>
          <cell r="Q71">
            <v>2</v>
          </cell>
          <cell r="R71">
            <v>4</v>
          </cell>
          <cell r="S71">
            <v>4</v>
          </cell>
          <cell r="T71" t="str">
            <v>L</v>
          </cell>
          <cell r="U71">
            <v>5</v>
          </cell>
          <cell r="V71">
            <v>5</v>
          </cell>
          <cell r="W71" t="str">
            <v>RD</v>
          </cell>
          <cell r="X71">
            <v>5</v>
          </cell>
          <cell r="Y71">
            <v>5</v>
          </cell>
          <cell r="Z71">
            <v>5</v>
          </cell>
          <cell r="AA71">
            <v>5</v>
          </cell>
          <cell r="AK71">
            <v>0.95294117647058818</v>
          </cell>
          <cell r="AL71">
            <v>1</v>
          </cell>
          <cell r="AP71">
            <v>17</v>
          </cell>
        </row>
        <row r="72">
          <cell r="E72" t="str">
            <v>DELCORRO, Edgar S., Jr.</v>
          </cell>
          <cell r="F72">
            <v>3</v>
          </cell>
          <cell r="G72">
            <v>5</v>
          </cell>
          <cell r="H72">
            <v>5</v>
          </cell>
          <cell r="I72" t="str">
            <v>RD</v>
          </cell>
          <cell r="J72">
            <v>5</v>
          </cell>
          <cell r="K72">
            <v>5</v>
          </cell>
          <cell r="L72">
            <v>5</v>
          </cell>
          <cell r="M72">
            <v>5</v>
          </cell>
          <cell r="N72">
            <v>4</v>
          </cell>
          <cell r="O72">
            <v>5</v>
          </cell>
          <cell r="P72" t="str">
            <v>RD</v>
          </cell>
          <cell r="Q72">
            <v>5</v>
          </cell>
          <cell r="R72">
            <v>5</v>
          </cell>
          <cell r="S72">
            <v>5</v>
          </cell>
          <cell r="T72">
            <v>5</v>
          </cell>
          <cell r="U72">
            <v>5</v>
          </cell>
          <cell r="V72">
            <v>5</v>
          </cell>
          <cell r="W72" t="str">
            <v>RD</v>
          </cell>
          <cell r="X72" t="str">
            <v>L</v>
          </cell>
          <cell r="Y72" t="str">
            <v>L</v>
          </cell>
          <cell r="Z72">
            <v>5</v>
          </cell>
          <cell r="AA72">
            <v>5</v>
          </cell>
          <cell r="AK72">
            <v>0.99375000000000002</v>
          </cell>
          <cell r="AL72">
            <v>1</v>
          </cell>
          <cell r="AP72">
            <v>16</v>
          </cell>
        </row>
        <row r="73">
          <cell r="E73" t="str">
            <v>DOCOR, Romeo</v>
          </cell>
          <cell r="F73">
            <v>3</v>
          </cell>
          <cell r="G73">
            <v>5</v>
          </cell>
          <cell r="H73">
            <v>5</v>
          </cell>
          <cell r="I73" t="str">
            <v>RD</v>
          </cell>
          <cell r="J73">
            <v>5</v>
          </cell>
          <cell r="K73">
            <v>5</v>
          </cell>
          <cell r="L73">
            <v>5</v>
          </cell>
          <cell r="M73">
            <v>5</v>
          </cell>
          <cell r="N73">
            <v>5</v>
          </cell>
          <cell r="O73">
            <v>5</v>
          </cell>
          <cell r="P73" t="str">
            <v>RD</v>
          </cell>
          <cell r="Q73">
            <v>5</v>
          </cell>
          <cell r="R73">
            <v>5</v>
          </cell>
          <cell r="S73">
            <v>5</v>
          </cell>
          <cell r="T73">
            <v>5</v>
          </cell>
          <cell r="U73">
            <v>5</v>
          </cell>
          <cell r="V73">
            <v>5</v>
          </cell>
          <cell r="W73" t="str">
            <v>RD</v>
          </cell>
          <cell r="X73" t="str">
            <v>L</v>
          </cell>
          <cell r="Y73" t="str">
            <v>L</v>
          </cell>
          <cell r="Z73" t="str">
            <v>L</v>
          </cell>
          <cell r="AA73" t="str">
            <v>L</v>
          </cell>
          <cell r="AK73">
            <v>1</v>
          </cell>
          <cell r="AL73">
            <v>1</v>
          </cell>
          <cell r="AP73">
            <v>14</v>
          </cell>
        </row>
        <row r="74">
          <cell r="E74" t="str">
            <v>VALLEJOS, Ronelo</v>
          </cell>
          <cell r="F74">
            <v>3</v>
          </cell>
          <cell r="G74">
            <v>5</v>
          </cell>
          <cell r="H74">
            <v>4</v>
          </cell>
          <cell r="I74" t="str">
            <v>RD</v>
          </cell>
          <cell r="J74">
            <v>5</v>
          </cell>
          <cell r="K74">
            <v>4</v>
          </cell>
          <cell r="L74">
            <v>4</v>
          </cell>
          <cell r="M74">
            <v>4</v>
          </cell>
          <cell r="N74">
            <v>4</v>
          </cell>
          <cell r="O74">
            <v>5</v>
          </cell>
          <cell r="P74" t="str">
            <v>RD</v>
          </cell>
          <cell r="Q74">
            <v>5</v>
          </cell>
          <cell r="R74">
            <v>5</v>
          </cell>
          <cell r="S74">
            <v>4</v>
          </cell>
          <cell r="T74">
            <v>4</v>
          </cell>
          <cell r="U74" t="str">
            <v>VL</v>
          </cell>
          <cell r="V74">
            <v>4</v>
          </cell>
          <cell r="W74" t="str">
            <v>RD</v>
          </cell>
          <cell r="X74">
            <v>5</v>
          </cell>
          <cell r="Y74">
            <v>5</v>
          </cell>
          <cell r="Z74">
            <v>5</v>
          </cell>
          <cell r="AA74">
            <v>4</v>
          </cell>
          <cell r="AK74">
            <v>0.94705882352941173</v>
          </cell>
          <cell r="AL74">
            <v>1</v>
          </cell>
          <cell r="AP74">
            <v>17</v>
          </cell>
        </row>
        <row r="75">
          <cell r="E75" t="str">
            <v xml:space="preserve">GALENDEZ, Reyden </v>
          </cell>
          <cell r="F75">
            <v>3</v>
          </cell>
          <cell r="G75">
            <v>4</v>
          </cell>
          <cell r="H75">
            <v>4</v>
          </cell>
          <cell r="I75" t="str">
            <v>RD</v>
          </cell>
          <cell r="J75">
            <v>4</v>
          </cell>
          <cell r="K75">
            <v>4</v>
          </cell>
          <cell r="L75">
            <v>4</v>
          </cell>
          <cell r="M75">
            <v>5</v>
          </cell>
          <cell r="N75">
            <v>4</v>
          </cell>
          <cell r="O75">
            <v>5</v>
          </cell>
          <cell r="P75" t="str">
            <v>RD</v>
          </cell>
          <cell r="Q75" t="str">
            <v>VL</v>
          </cell>
          <cell r="R75">
            <v>4</v>
          </cell>
          <cell r="S75">
            <v>4</v>
          </cell>
          <cell r="T75">
            <v>4</v>
          </cell>
          <cell r="U75" t="str">
            <v>SD</v>
          </cell>
          <cell r="V75" t="str">
            <v>RD</v>
          </cell>
          <cell r="W75" t="str">
            <v>RD</v>
          </cell>
          <cell r="X75">
            <v>4</v>
          </cell>
          <cell r="Y75">
            <v>4</v>
          </cell>
          <cell r="Z75">
            <v>4</v>
          </cell>
          <cell r="AA75" t="str">
            <v>L</v>
          </cell>
          <cell r="AK75">
            <v>0.91428571428571437</v>
          </cell>
          <cell r="AL75">
            <v>1</v>
          </cell>
          <cell r="AP75">
            <v>14</v>
          </cell>
        </row>
        <row r="76">
          <cell r="E76" t="str">
            <v>CERIO, Jenny Mae A.</v>
          </cell>
          <cell r="F76">
            <v>3</v>
          </cell>
          <cell r="G76" t="str">
            <v>VL</v>
          </cell>
          <cell r="H76">
            <v>5</v>
          </cell>
          <cell r="I76" t="str">
            <v>RD</v>
          </cell>
          <cell r="J76">
            <v>5</v>
          </cell>
          <cell r="K76">
            <v>5</v>
          </cell>
          <cell r="L76">
            <v>5</v>
          </cell>
          <cell r="M76">
            <v>5</v>
          </cell>
          <cell r="N76">
            <v>5</v>
          </cell>
          <cell r="O76" t="str">
            <v>L</v>
          </cell>
          <cell r="P76" t="str">
            <v>RD</v>
          </cell>
          <cell r="Q76">
            <v>5</v>
          </cell>
          <cell r="R76">
            <v>5</v>
          </cell>
          <cell r="S76">
            <v>5</v>
          </cell>
          <cell r="T76">
            <v>5</v>
          </cell>
          <cell r="U76">
            <v>5</v>
          </cell>
          <cell r="V76">
            <v>5</v>
          </cell>
          <cell r="W76" t="str">
            <v>RD</v>
          </cell>
          <cell r="X76" t="str">
            <v>L</v>
          </cell>
          <cell r="Y76" t="str">
            <v>L</v>
          </cell>
          <cell r="Z76" t="str">
            <v>L</v>
          </cell>
          <cell r="AA76">
            <v>5</v>
          </cell>
          <cell r="AK76">
            <v>1</v>
          </cell>
          <cell r="AL76">
            <v>1</v>
          </cell>
          <cell r="AP76">
            <v>13</v>
          </cell>
        </row>
        <row r="77">
          <cell r="E77" t="str">
            <v>LAPINING, Sanny Boy S.</v>
          </cell>
          <cell r="F77">
            <v>3</v>
          </cell>
          <cell r="G77">
            <v>5</v>
          </cell>
          <cell r="H77">
            <v>5</v>
          </cell>
          <cell r="I77" t="str">
            <v>RD</v>
          </cell>
          <cell r="J77">
            <v>5</v>
          </cell>
          <cell r="K77">
            <v>5</v>
          </cell>
          <cell r="L77">
            <v>5</v>
          </cell>
          <cell r="M77">
            <v>5</v>
          </cell>
          <cell r="N77">
            <v>5</v>
          </cell>
          <cell r="O77">
            <v>5</v>
          </cell>
          <cell r="P77" t="str">
            <v>RD</v>
          </cell>
          <cell r="Q77">
            <v>5</v>
          </cell>
          <cell r="R77">
            <v>5</v>
          </cell>
          <cell r="S77">
            <v>5</v>
          </cell>
          <cell r="T77">
            <v>5</v>
          </cell>
          <cell r="U77">
            <v>5</v>
          </cell>
          <cell r="V77">
            <v>5</v>
          </cell>
          <cell r="W77" t="str">
            <v>RD</v>
          </cell>
          <cell r="X77">
            <v>5</v>
          </cell>
          <cell r="Y77">
            <v>5</v>
          </cell>
          <cell r="Z77">
            <v>5</v>
          </cell>
          <cell r="AA77">
            <v>5</v>
          </cell>
          <cell r="AK77">
            <v>1</v>
          </cell>
          <cell r="AL77">
            <v>1</v>
          </cell>
          <cell r="AP77">
            <v>18</v>
          </cell>
        </row>
        <row r="78">
          <cell r="E78" t="str">
            <v>SANCHEZ, Pablo</v>
          </cell>
          <cell r="F78">
            <v>3</v>
          </cell>
          <cell r="G78">
            <v>5</v>
          </cell>
          <cell r="H78">
            <v>5</v>
          </cell>
          <cell r="I78" t="str">
            <v>RD</v>
          </cell>
          <cell r="J78">
            <v>5</v>
          </cell>
          <cell r="K78">
            <v>4</v>
          </cell>
          <cell r="L78">
            <v>4</v>
          </cell>
          <cell r="M78">
            <v>4</v>
          </cell>
          <cell r="N78">
            <v>4</v>
          </cell>
          <cell r="O78">
            <v>5</v>
          </cell>
          <cell r="P78" t="str">
            <v>RD</v>
          </cell>
          <cell r="Q78" t="str">
            <v>SL</v>
          </cell>
          <cell r="R78">
            <v>5</v>
          </cell>
          <cell r="S78">
            <v>5</v>
          </cell>
          <cell r="T78">
            <v>5</v>
          </cell>
          <cell r="U78">
            <v>5</v>
          </cell>
          <cell r="V78" t="str">
            <v>L</v>
          </cell>
          <cell r="W78" t="str">
            <v>RD</v>
          </cell>
          <cell r="X78">
            <v>5</v>
          </cell>
          <cell r="Y78">
            <v>5</v>
          </cell>
          <cell r="Z78">
            <v>5</v>
          </cell>
          <cell r="AA78">
            <v>4</v>
          </cell>
          <cell r="AK78">
            <v>0.96875</v>
          </cell>
          <cell r="AL78">
            <v>1</v>
          </cell>
          <cell r="AP78">
            <v>16</v>
          </cell>
        </row>
        <row r="79">
          <cell r="E79" t="str">
            <v>GALOS, Marlon</v>
          </cell>
          <cell r="F79">
            <v>3</v>
          </cell>
          <cell r="G79">
            <v>5</v>
          </cell>
          <cell r="H79">
            <v>5</v>
          </cell>
          <cell r="I79" t="str">
            <v>RD</v>
          </cell>
          <cell r="J79" t="str">
            <v>L</v>
          </cell>
          <cell r="K79" t="str">
            <v>L</v>
          </cell>
          <cell r="L79" t="str">
            <v>L</v>
          </cell>
          <cell r="M79" t="str">
            <v>L</v>
          </cell>
          <cell r="N79">
            <v>4</v>
          </cell>
          <cell r="O79" t="str">
            <v>L</v>
          </cell>
          <cell r="P79" t="str">
            <v>RD</v>
          </cell>
          <cell r="Q79">
            <v>5</v>
          </cell>
          <cell r="R79">
            <v>5</v>
          </cell>
          <cell r="S79">
            <v>5</v>
          </cell>
          <cell r="T79">
            <v>5</v>
          </cell>
          <cell r="U79">
            <v>5</v>
          </cell>
          <cell r="V79">
            <v>5</v>
          </cell>
          <cell r="W79" t="str">
            <v>RD</v>
          </cell>
          <cell r="X79" t="str">
            <v>L</v>
          </cell>
          <cell r="Y79" t="str">
            <v>L</v>
          </cell>
          <cell r="Z79" t="str">
            <v>L</v>
          </cell>
          <cell r="AA79" t="str">
            <v>L</v>
          </cell>
          <cell r="AK79">
            <v>0.98888888888888893</v>
          </cell>
          <cell r="AL79">
            <v>1</v>
          </cell>
          <cell r="AP79">
            <v>9</v>
          </cell>
        </row>
        <row r="80">
          <cell r="AL80" t="str">
            <v/>
          </cell>
        </row>
        <row r="82">
          <cell r="G82" t="str">
            <v>JAO</v>
          </cell>
          <cell r="H82" t="str">
            <v>AKM</v>
          </cell>
          <cell r="I82" t="str">
            <v>JAO</v>
          </cell>
          <cell r="J82" t="str">
            <v>AKM</v>
          </cell>
          <cell r="L82" t="str">
            <v>LGD</v>
          </cell>
          <cell r="M82" t="str">
            <v>LGD</v>
          </cell>
          <cell r="N82" t="str">
            <v>AKM</v>
          </cell>
          <cell r="O82" t="str">
            <v>AJL</v>
          </cell>
          <cell r="P82" t="str">
            <v>DA</v>
          </cell>
          <cell r="Q82" t="str">
            <v>ECC</v>
          </cell>
          <cell r="R82" t="str">
            <v>-</v>
          </cell>
          <cell r="S82" t="str">
            <v>AKM</v>
          </cell>
          <cell r="T82" t="str">
            <v>AKM</v>
          </cell>
          <cell r="U82" t="str">
            <v>AKM</v>
          </cell>
          <cell r="V82" t="str">
            <v>LGD</v>
          </cell>
          <cell r="W82" t="str">
            <v>LGD</v>
          </cell>
        </row>
        <row r="83">
          <cell r="E83" t="str">
            <v>ELLO, Janine</v>
          </cell>
          <cell r="F83">
            <v>4</v>
          </cell>
          <cell r="G83">
            <v>5</v>
          </cell>
          <cell r="H83">
            <v>5</v>
          </cell>
          <cell r="I83">
            <v>5</v>
          </cell>
          <cell r="J83">
            <v>5</v>
          </cell>
          <cell r="K83" t="str">
            <v>RD</v>
          </cell>
          <cell r="L83" t="str">
            <v>VL</v>
          </cell>
          <cell r="M83" t="str">
            <v>L</v>
          </cell>
          <cell r="N83" t="str">
            <v>L</v>
          </cell>
          <cell r="O83" t="str">
            <v>VL</v>
          </cell>
          <cell r="P83">
            <v>5</v>
          </cell>
          <cell r="Q83">
            <v>5</v>
          </cell>
          <cell r="R83" t="str">
            <v>RD</v>
          </cell>
          <cell r="S83">
            <v>5</v>
          </cell>
          <cell r="T83">
            <v>5</v>
          </cell>
          <cell r="U83">
            <v>5</v>
          </cell>
          <cell r="V83">
            <v>5</v>
          </cell>
          <cell r="W83">
            <v>5</v>
          </cell>
          <cell r="X83">
            <v>5</v>
          </cell>
          <cell r="AK83">
            <v>1</v>
          </cell>
          <cell r="AL83">
            <v>1</v>
          </cell>
          <cell r="AM83">
            <v>0.93994408835795373</v>
          </cell>
          <cell r="AN83">
            <v>0.98175995544416594</v>
          </cell>
          <cell r="AO83">
            <v>0.96085202190105989</v>
          </cell>
          <cell r="AP83">
            <v>12</v>
          </cell>
        </row>
        <row r="84">
          <cell r="E84" t="str">
            <v>MARATAS, Ernie Mark</v>
          </cell>
          <cell r="F84">
            <v>4</v>
          </cell>
          <cell r="G84">
            <v>5</v>
          </cell>
          <cell r="H84">
            <v>0</v>
          </cell>
          <cell r="I84">
            <v>5</v>
          </cell>
          <cell r="J84">
            <v>5</v>
          </cell>
          <cell r="K84" t="str">
            <v>RD</v>
          </cell>
          <cell r="L84">
            <v>5</v>
          </cell>
          <cell r="M84">
            <v>4</v>
          </cell>
          <cell r="N84">
            <v>4</v>
          </cell>
          <cell r="O84">
            <v>4</v>
          </cell>
          <cell r="P84">
            <v>4</v>
          </cell>
          <cell r="Q84">
            <v>4</v>
          </cell>
          <cell r="R84" t="str">
            <v>RD</v>
          </cell>
          <cell r="S84">
            <v>0</v>
          </cell>
          <cell r="T84">
            <v>5</v>
          </cell>
          <cell r="U84">
            <v>5</v>
          </cell>
          <cell r="V84">
            <v>4</v>
          </cell>
          <cell r="W84">
            <v>5</v>
          </cell>
          <cell r="X84">
            <v>4</v>
          </cell>
          <cell r="AK84">
            <v>0.88749999999999996</v>
          </cell>
          <cell r="AL84">
            <v>0.88888888888888884</v>
          </cell>
          <cell r="AP84">
            <v>16</v>
          </cell>
        </row>
        <row r="85">
          <cell r="E85" t="str">
            <v>LAUREJAS, Eduardo Jr. A.</v>
          </cell>
          <cell r="F85">
            <v>4</v>
          </cell>
          <cell r="G85">
            <v>5</v>
          </cell>
          <cell r="H85">
            <v>5</v>
          </cell>
          <cell r="I85">
            <v>5</v>
          </cell>
          <cell r="J85">
            <v>5</v>
          </cell>
          <cell r="K85" t="str">
            <v>RD</v>
          </cell>
          <cell r="L85">
            <v>5</v>
          </cell>
          <cell r="M85">
            <v>5</v>
          </cell>
          <cell r="N85">
            <v>5</v>
          </cell>
          <cell r="O85">
            <v>4</v>
          </cell>
          <cell r="P85">
            <v>4</v>
          </cell>
          <cell r="Q85">
            <v>0</v>
          </cell>
          <cell r="R85" t="str">
            <v>RD</v>
          </cell>
          <cell r="S85" t="str">
            <v>L</v>
          </cell>
          <cell r="T85">
            <v>5</v>
          </cell>
          <cell r="U85">
            <v>5</v>
          </cell>
          <cell r="V85">
            <v>4</v>
          </cell>
          <cell r="W85">
            <v>5</v>
          </cell>
          <cell r="X85">
            <v>5</v>
          </cell>
          <cell r="AK85">
            <v>0.94523809523809521</v>
          </cell>
          <cell r="AL85">
            <v>0.94444444444444442</v>
          </cell>
          <cell r="AP85">
            <v>15</v>
          </cell>
        </row>
        <row r="86">
          <cell r="E86" t="str">
            <v>ROSILLO, King Mark</v>
          </cell>
          <cell r="F86">
            <v>4</v>
          </cell>
          <cell r="G86">
            <v>5</v>
          </cell>
          <cell r="H86">
            <v>5</v>
          </cell>
          <cell r="I86">
            <v>5</v>
          </cell>
          <cell r="J86">
            <v>5</v>
          </cell>
          <cell r="K86" t="str">
            <v>RD</v>
          </cell>
          <cell r="L86">
            <v>5</v>
          </cell>
          <cell r="M86">
            <v>5</v>
          </cell>
          <cell r="N86">
            <v>5</v>
          </cell>
          <cell r="O86">
            <v>5</v>
          </cell>
          <cell r="P86">
            <v>4</v>
          </cell>
          <cell r="Q86">
            <v>5</v>
          </cell>
          <cell r="R86" t="str">
            <v>RD</v>
          </cell>
          <cell r="S86">
            <v>5</v>
          </cell>
          <cell r="T86">
            <v>5</v>
          </cell>
          <cell r="U86">
            <v>5</v>
          </cell>
          <cell r="V86">
            <v>5</v>
          </cell>
          <cell r="W86">
            <v>5</v>
          </cell>
          <cell r="X86">
            <v>5</v>
          </cell>
          <cell r="Y86">
            <v>5</v>
          </cell>
          <cell r="AK86">
            <v>0.99411764705882355</v>
          </cell>
          <cell r="AL86">
            <v>1</v>
          </cell>
          <cell r="AP86">
            <v>17</v>
          </cell>
        </row>
        <row r="87">
          <cell r="E87" t="str">
            <v>PADILLA, Chris Anthony</v>
          </cell>
          <cell r="F87">
            <v>4</v>
          </cell>
          <cell r="G87">
            <v>5</v>
          </cell>
          <cell r="H87">
            <v>5</v>
          </cell>
          <cell r="I87">
            <v>5</v>
          </cell>
          <cell r="J87">
            <v>5</v>
          </cell>
          <cell r="K87" t="str">
            <v>RD</v>
          </cell>
          <cell r="L87">
            <v>5</v>
          </cell>
          <cell r="M87">
            <v>4</v>
          </cell>
          <cell r="N87">
            <v>4</v>
          </cell>
          <cell r="O87" t="str">
            <v>SL</v>
          </cell>
          <cell r="P87" t="str">
            <v>SL</v>
          </cell>
          <cell r="Q87" t="str">
            <v>SL</v>
          </cell>
          <cell r="R87" t="str">
            <v>RD</v>
          </cell>
          <cell r="S87">
            <v>5</v>
          </cell>
          <cell r="T87">
            <v>4</v>
          </cell>
          <cell r="U87">
            <v>5</v>
          </cell>
          <cell r="V87">
            <v>4</v>
          </cell>
          <cell r="W87">
            <v>4</v>
          </cell>
          <cell r="X87">
            <v>4</v>
          </cell>
          <cell r="AK87">
            <v>0.95384615384615379</v>
          </cell>
          <cell r="AL87">
            <v>1</v>
          </cell>
          <cell r="AP87">
            <v>13</v>
          </cell>
        </row>
        <row r="88">
          <cell r="E88" t="str">
            <v>SOLAR, Ricardo Jr.</v>
          </cell>
          <cell r="F88">
            <v>4</v>
          </cell>
          <cell r="G88" t="str">
            <v>L</v>
          </cell>
          <cell r="H88" t="str">
            <v>L</v>
          </cell>
          <cell r="I88">
            <v>0</v>
          </cell>
          <cell r="J88">
            <v>4</v>
          </cell>
          <cell r="K88" t="str">
            <v>RD</v>
          </cell>
          <cell r="L88">
            <v>4</v>
          </cell>
          <cell r="M88">
            <v>5</v>
          </cell>
          <cell r="N88">
            <v>4</v>
          </cell>
          <cell r="O88">
            <v>4</v>
          </cell>
          <cell r="P88">
            <v>3</v>
          </cell>
          <cell r="Q88">
            <v>4</v>
          </cell>
          <cell r="R88" t="str">
            <v>RD</v>
          </cell>
          <cell r="S88">
            <v>5</v>
          </cell>
          <cell r="T88">
            <v>5</v>
          </cell>
          <cell r="U88">
            <v>5</v>
          </cell>
          <cell r="V88" t="str">
            <v>VL</v>
          </cell>
          <cell r="W88" t="str">
            <v>L</v>
          </cell>
          <cell r="X88" t="str">
            <v>L</v>
          </cell>
          <cell r="AK88">
            <v>0.88454545454545452</v>
          </cell>
          <cell r="AL88">
            <v>0.94444444444444442</v>
          </cell>
          <cell r="AP88">
            <v>11</v>
          </cell>
        </row>
        <row r="89">
          <cell r="E89" t="str">
            <v>SALABE, Mando C.</v>
          </cell>
          <cell r="F89">
            <v>4</v>
          </cell>
          <cell r="G89">
            <v>4</v>
          </cell>
          <cell r="H89">
            <v>3</v>
          </cell>
          <cell r="I89">
            <v>4</v>
          </cell>
          <cell r="J89" t="str">
            <v>L</v>
          </cell>
          <cell r="K89" t="str">
            <v>RD</v>
          </cell>
          <cell r="L89">
            <v>4</v>
          </cell>
          <cell r="M89">
            <v>4</v>
          </cell>
          <cell r="N89">
            <v>4</v>
          </cell>
          <cell r="O89">
            <v>4</v>
          </cell>
          <cell r="P89">
            <v>4</v>
          </cell>
          <cell r="Q89">
            <v>3</v>
          </cell>
          <cell r="R89" t="str">
            <v>RD</v>
          </cell>
          <cell r="S89">
            <v>3</v>
          </cell>
          <cell r="T89">
            <v>3</v>
          </cell>
          <cell r="U89">
            <v>3</v>
          </cell>
          <cell r="V89" t="str">
            <v>L</v>
          </cell>
          <cell r="W89">
            <v>4</v>
          </cell>
          <cell r="X89">
            <v>4</v>
          </cell>
          <cell r="AK89">
            <v>0.86428571428571432</v>
          </cell>
          <cell r="AL89">
            <v>1</v>
          </cell>
          <cell r="AP89">
            <v>14</v>
          </cell>
        </row>
        <row r="90">
          <cell r="E90" t="str">
            <v>CALIMBO, Romel</v>
          </cell>
          <cell r="F90">
            <v>4</v>
          </cell>
          <cell r="G90">
            <v>4</v>
          </cell>
          <cell r="H90">
            <v>4</v>
          </cell>
          <cell r="I90">
            <v>4</v>
          </cell>
          <cell r="J90">
            <v>5</v>
          </cell>
          <cell r="K90" t="str">
            <v>RD</v>
          </cell>
          <cell r="L90">
            <v>4</v>
          </cell>
          <cell r="M90">
            <v>5</v>
          </cell>
          <cell r="N90">
            <v>5</v>
          </cell>
          <cell r="O90">
            <v>5</v>
          </cell>
          <cell r="P90">
            <v>4</v>
          </cell>
          <cell r="Q90">
            <v>4</v>
          </cell>
          <cell r="R90" t="str">
            <v>RD</v>
          </cell>
          <cell r="S90">
            <v>4</v>
          </cell>
          <cell r="T90">
            <v>4</v>
          </cell>
          <cell r="U90">
            <v>4</v>
          </cell>
          <cell r="V90">
            <v>5</v>
          </cell>
          <cell r="W90">
            <v>5</v>
          </cell>
          <cell r="X90">
            <v>5</v>
          </cell>
          <cell r="AK90">
            <v>0.94374999999999998</v>
          </cell>
          <cell r="AL90">
            <v>1</v>
          </cell>
          <cell r="AP90">
            <v>16</v>
          </cell>
        </row>
        <row r="91">
          <cell r="E91" t="str">
            <v>EUPEÑA. Joshua</v>
          </cell>
          <cell r="F91">
            <v>4</v>
          </cell>
          <cell r="G91">
            <v>5</v>
          </cell>
          <cell r="H91">
            <v>5</v>
          </cell>
          <cell r="I91">
            <v>5</v>
          </cell>
          <cell r="J91">
            <v>5</v>
          </cell>
          <cell r="K91" t="str">
            <v>RD</v>
          </cell>
          <cell r="L91">
            <v>5</v>
          </cell>
          <cell r="M91">
            <v>5</v>
          </cell>
          <cell r="N91">
            <v>4</v>
          </cell>
          <cell r="O91">
            <v>4</v>
          </cell>
          <cell r="P91">
            <v>4</v>
          </cell>
          <cell r="Q91">
            <v>5</v>
          </cell>
          <cell r="R91" t="str">
            <v>RD</v>
          </cell>
          <cell r="S91">
            <v>5</v>
          </cell>
          <cell r="T91" t="str">
            <v>L</v>
          </cell>
          <cell r="U91" t="str">
            <v>L</v>
          </cell>
          <cell r="V91">
            <v>5</v>
          </cell>
          <cell r="W91">
            <v>5</v>
          </cell>
          <cell r="X91">
            <v>5</v>
          </cell>
          <cell r="AK91">
            <v>0.97857142857142854</v>
          </cell>
          <cell r="AL91">
            <v>1</v>
          </cell>
          <cell r="AP91">
            <v>14</v>
          </cell>
        </row>
        <row r="92">
          <cell r="E92" t="str">
            <v>CAMINO, Jyzl E.</v>
          </cell>
          <cell r="F92">
            <v>4</v>
          </cell>
          <cell r="G92">
            <v>5</v>
          </cell>
          <cell r="H92">
            <v>5</v>
          </cell>
          <cell r="I92">
            <v>5</v>
          </cell>
          <cell r="J92">
            <v>5</v>
          </cell>
          <cell r="K92" t="str">
            <v>RD</v>
          </cell>
          <cell r="L92">
            <v>5</v>
          </cell>
          <cell r="M92">
            <v>5</v>
          </cell>
          <cell r="N92">
            <v>5</v>
          </cell>
          <cell r="O92">
            <v>5</v>
          </cell>
          <cell r="P92">
            <v>4</v>
          </cell>
          <cell r="Q92">
            <v>5</v>
          </cell>
          <cell r="R92" t="str">
            <v>RD</v>
          </cell>
          <cell r="S92" t="str">
            <v>L</v>
          </cell>
          <cell r="T92">
            <v>5</v>
          </cell>
          <cell r="U92">
            <v>5</v>
          </cell>
          <cell r="V92">
            <v>5</v>
          </cell>
          <cell r="W92">
            <v>5</v>
          </cell>
          <cell r="X92">
            <v>5</v>
          </cell>
          <cell r="Y92">
            <v>5</v>
          </cell>
          <cell r="AK92">
            <v>0.99375000000000002</v>
          </cell>
          <cell r="AL92">
            <v>1</v>
          </cell>
          <cell r="AP92">
            <v>16</v>
          </cell>
        </row>
        <row r="93">
          <cell r="E93" t="str">
            <v>ANIB, Karl Patrick S.</v>
          </cell>
          <cell r="F93">
            <v>4</v>
          </cell>
          <cell r="G93">
            <v>5</v>
          </cell>
          <cell r="H93">
            <v>5</v>
          </cell>
          <cell r="I93">
            <v>5</v>
          </cell>
          <cell r="J93">
            <v>5</v>
          </cell>
          <cell r="K93" t="str">
            <v>RD</v>
          </cell>
          <cell r="L93">
            <v>4</v>
          </cell>
          <cell r="M93">
            <v>5</v>
          </cell>
          <cell r="N93">
            <v>5</v>
          </cell>
          <cell r="O93">
            <v>5</v>
          </cell>
          <cell r="P93">
            <v>4</v>
          </cell>
          <cell r="Q93">
            <v>5</v>
          </cell>
          <cell r="R93" t="str">
            <v>RD</v>
          </cell>
          <cell r="S93">
            <v>5</v>
          </cell>
          <cell r="T93">
            <v>5</v>
          </cell>
          <cell r="U93">
            <v>5</v>
          </cell>
          <cell r="V93">
            <v>5</v>
          </cell>
          <cell r="W93">
            <v>5</v>
          </cell>
          <cell r="X93" t="str">
            <v>L</v>
          </cell>
          <cell r="AK93">
            <v>0.98666666666666658</v>
          </cell>
          <cell r="AL93">
            <v>1</v>
          </cell>
          <cell r="AP93">
            <v>15</v>
          </cell>
        </row>
        <row r="94">
          <cell r="E94" t="str">
            <v xml:space="preserve">SALON, Michael </v>
          </cell>
          <cell r="F94">
            <v>4</v>
          </cell>
          <cell r="G94">
            <v>5</v>
          </cell>
          <cell r="H94">
            <v>5</v>
          </cell>
          <cell r="I94">
            <v>5</v>
          </cell>
          <cell r="J94">
            <v>5</v>
          </cell>
          <cell r="K94" t="str">
            <v>RD</v>
          </cell>
          <cell r="L94">
            <v>4</v>
          </cell>
          <cell r="M94">
            <v>4</v>
          </cell>
          <cell r="N94">
            <v>4</v>
          </cell>
          <cell r="O94">
            <v>4</v>
          </cell>
          <cell r="P94">
            <v>4</v>
          </cell>
          <cell r="Q94" t="str">
            <v>L</v>
          </cell>
          <cell r="R94" t="str">
            <v>RD</v>
          </cell>
          <cell r="S94">
            <v>5</v>
          </cell>
          <cell r="T94" t="str">
            <v>L</v>
          </cell>
          <cell r="U94">
            <v>5</v>
          </cell>
          <cell r="V94">
            <v>4</v>
          </cell>
          <cell r="W94">
            <v>4</v>
          </cell>
          <cell r="X94">
            <v>4</v>
          </cell>
          <cell r="AK94">
            <v>0.94285714285714284</v>
          </cell>
          <cell r="AL94">
            <v>1</v>
          </cell>
          <cell r="AP94">
            <v>14</v>
          </cell>
        </row>
        <row r="95">
          <cell r="E95" t="str">
            <v>OCON, Jonathan P.</v>
          </cell>
          <cell r="F95">
            <v>4</v>
          </cell>
          <cell r="G95">
            <v>4</v>
          </cell>
          <cell r="H95">
            <v>4</v>
          </cell>
          <cell r="I95">
            <v>4</v>
          </cell>
          <cell r="J95">
            <v>4</v>
          </cell>
          <cell r="K95" t="str">
            <v>RD</v>
          </cell>
          <cell r="L95">
            <v>4</v>
          </cell>
          <cell r="M95">
            <v>5</v>
          </cell>
          <cell r="N95">
            <v>5</v>
          </cell>
          <cell r="O95">
            <v>5</v>
          </cell>
          <cell r="P95">
            <v>4</v>
          </cell>
          <cell r="Q95">
            <v>4</v>
          </cell>
          <cell r="R95" t="str">
            <v>RD</v>
          </cell>
          <cell r="S95">
            <v>5</v>
          </cell>
          <cell r="T95">
            <v>5</v>
          </cell>
          <cell r="U95">
            <v>5</v>
          </cell>
          <cell r="V95" t="str">
            <v>SL</v>
          </cell>
          <cell r="W95">
            <v>4</v>
          </cell>
          <cell r="X95">
            <v>5</v>
          </cell>
          <cell r="AK95">
            <v>0.94666666666666666</v>
          </cell>
          <cell r="AL95">
            <v>1</v>
          </cell>
          <cell r="AP95">
            <v>15</v>
          </cell>
        </row>
        <row r="96">
          <cell r="E96" t="str">
            <v xml:space="preserve">SERAFIN, Fortunato L. Jr. </v>
          </cell>
          <cell r="F96">
            <v>4</v>
          </cell>
          <cell r="G96">
            <v>4</v>
          </cell>
          <cell r="H96">
            <v>4</v>
          </cell>
          <cell r="I96">
            <v>4</v>
          </cell>
          <cell r="J96">
            <v>3</v>
          </cell>
          <cell r="K96" t="str">
            <v>RD</v>
          </cell>
          <cell r="L96" t="str">
            <v>L</v>
          </cell>
          <cell r="M96">
            <v>5</v>
          </cell>
          <cell r="N96">
            <v>5</v>
          </cell>
          <cell r="O96">
            <v>5</v>
          </cell>
          <cell r="P96">
            <v>4</v>
          </cell>
          <cell r="Q96">
            <v>5</v>
          </cell>
          <cell r="R96" t="str">
            <v>RD</v>
          </cell>
          <cell r="S96">
            <v>5</v>
          </cell>
          <cell r="T96">
            <v>5</v>
          </cell>
          <cell r="U96" t="str">
            <v>L</v>
          </cell>
          <cell r="V96">
            <v>5</v>
          </cell>
          <cell r="W96" t="str">
            <v>L</v>
          </cell>
          <cell r="X96" t="str">
            <v>L</v>
          </cell>
          <cell r="AK96">
            <v>0.95</v>
          </cell>
          <cell r="AL96">
            <v>1</v>
          </cell>
          <cell r="AP96">
            <v>12</v>
          </cell>
        </row>
        <row r="97">
          <cell r="E97" t="str">
            <v>ROZAL, DJ O.</v>
          </cell>
          <cell r="F97">
            <v>4</v>
          </cell>
          <cell r="G97">
            <v>4</v>
          </cell>
          <cell r="H97">
            <v>4</v>
          </cell>
          <cell r="I97">
            <v>5</v>
          </cell>
          <cell r="J97">
            <v>5</v>
          </cell>
          <cell r="K97" t="str">
            <v>RD</v>
          </cell>
          <cell r="L97">
            <v>5</v>
          </cell>
          <cell r="M97">
            <v>5</v>
          </cell>
          <cell r="N97">
            <v>5</v>
          </cell>
          <cell r="O97">
            <v>5</v>
          </cell>
          <cell r="P97">
            <v>4</v>
          </cell>
          <cell r="Q97" t="str">
            <v>VL</v>
          </cell>
          <cell r="R97" t="str">
            <v>RD</v>
          </cell>
          <cell r="S97" t="str">
            <v>L</v>
          </cell>
          <cell r="T97" t="str">
            <v>L</v>
          </cell>
          <cell r="U97" t="str">
            <v>L</v>
          </cell>
          <cell r="V97" t="str">
            <v>L</v>
          </cell>
          <cell r="W97">
            <v>4</v>
          </cell>
          <cell r="X97">
            <v>4</v>
          </cell>
          <cell r="AK97">
            <v>0.95454545454545459</v>
          </cell>
          <cell r="AL97">
            <v>1</v>
          </cell>
          <cell r="AP97">
            <v>11</v>
          </cell>
        </row>
        <row r="98">
          <cell r="E98" t="str">
            <v>JORTA, Jowei C.</v>
          </cell>
          <cell r="F98">
            <v>4</v>
          </cell>
          <cell r="G98">
            <v>4</v>
          </cell>
          <cell r="H98" t="str">
            <v>L</v>
          </cell>
          <cell r="I98" t="str">
            <v>L</v>
          </cell>
          <cell r="J98" t="str">
            <v>L</v>
          </cell>
          <cell r="K98" t="str">
            <v>RD</v>
          </cell>
          <cell r="L98">
            <v>4</v>
          </cell>
          <cell r="M98">
            <v>5</v>
          </cell>
          <cell r="N98">
            <v>4</v>
          </cell>
          <cell r="O98">
            <v>4</v>
          </cell>
          <cell r="P98">
            <v>4</v>
          </cell>
          <cell r="Q98" t="str">
            <v>L</v>
          </cell>
          <cell r="R98" t="str">
            <v>RD</v>
          </cell>
          <cell r="S98">
            <v>4</v>
          </cell>
          <cell r="T98">
            <v>5</v>
          </cell>
          <cell r="U98">
            <v>0</v>
          </cell>
          <cell r="V98">
            <v>5</v>
          </cell>
          <cell r="W98">
            <v>4</v>
          </cell>
          <cell r="X98">
            <v>5</v>
          </cell>
          <cell r="AK98">
            <v>0.89469696969696966</v>
          </cell>
          <cell r="AL98">
            <v>0.94444444444444442</v>
          </cell>
          <cell r="AP98">
            <v>12</v>
          </cell>
        </row>
        <row r="99">
          <cell r="E99" t="str">
            <v>NASAYAO, Dionesio</v>
          </cell>
          <cell r="F99">
            <v>4</v>
          </cell>
          <cell r="G99">
            <v>4</v>
          </cell>
          <cell r="H99">
            <v>5</v>
          </cell>
          <cell r="I99">
            <v>5</v>
          </cell>
          <cell r="J99">
            <v>5</v>
          </cell>
          <cell r="K99" t="str">
            <v>RD</v>
          </cell>
          <cell r="L99">
            <v>4</v>
          </cell>
          <cell r="M99">
            <v>4</v>
          </cell>
          <cell r="N99">
            <v>5</v>
          </cell>
          <cell r="O99">
            <v>4</v>
          </cell>
          <cell r="P99">
            <v>4</v>
          </cell>
          <cell r="Q99">
            <v>4</v>
          </cell>
          <cell r="R99" t="str">
            <v>RD</v>
          </cell>
          <cell r="S99">
            <v>5</v>
          </cell>
          <cell r="T99">
            <v>5</v>
          </cell>
          <cell r="U99">
            <v>5</v>
          </cell>
          <cell r="V99">
            <v>5</v>
          </cell>
          <cell r="W99">
            <v>4</v>
          </cell>
          <cell r="X99">
            <v>5</v>
          </cell>
          <cell r="AK99">
            <v>0.95625000000000004</v>
          </cell>
          <cell r="AL99">
            <v>1</v>
          </cell>
          <cell r="AP99">
            <v>16</v>
          </cell>
        </row>
        <row r="100">
          <cell r="E100" t="str">
            <v>GRAN, April Jane</v>
          </cell>
          <cell r="F100">
            <v>4</v>
          </cell>
          <cell r="G100">
            <v>4</v>
          </cell>
          <cell r="H100" t="str">
            <v>L</v>
          </cell>
          <cell r="I100" t="str">
            <v>L</v>
          </cell>
          <cell r="J100" t="str">
            <v>L</v>
          </cell>
          <cell r="K100" t="str">
            <v>RD</v>
          </cell>
          <cell r="L100">
            <v>4</v>
          </cell>
          <cell r="M100">
            <v>5</v>
          </cell>
          <cell r="N100">
            <v>5</v>
          </cell>
          <cell r="O100">
            <v>5</v>
          </cell>
          <cell r="P100">
            <v>4</v>
          </cell>
          <cell r="Q100" t="str">
            <v>VL</v>
          </cell>
          <cell r="R100" t="str">
            <v>RD</v>
          </cell>
          <cell r="S100">
            <v>5</v>
          </cell>
          <cell r="T100">
            <v>5</v>
          </cell>
          <cell r="U100">
            <v>5</v>
          </cell>
          <cell r="V100" t="str">
            <v>L</v>
          </cell>
          <cell r="W100" t="str">
            <v>L</v>
          </cell>
          <cell r="X100" t="str">
            <v>L</v>
          </cell>
          <cell r="AK100">
            <v>0.96666666666666667</v>
          </cell>
          <cell r="AL100">
            <v>1</v>
          </cell>
          <cell r="AP100">
            <v>9</v>
          </cell>
        </row>
        <row r="101">
          <cell r="E101" t="str">
            <v>YAMIT, John Paul P.</v>
          </cell>
          <cell r="F101">
            <v>4</v>
          </cell>
          <cell r="G101">
            <v>4</v>
          </cell>
          <cell r="H101">
            <v>5</v>
          </cell>
          <cell r="I101">
            <v>4</v>
          </cell>
          <cell r="J101" t="str">
            <v>L</v>
          </cell>
          <cell r="K101" t="str">
            <v>RD</v>
          </cell>
          <cell r="L101">
            <v>4</v>
          </cell>
          <cell r="M101">
            <v>4</v>
          </cell>
          <cell r="N101">
            <v>4</v>
          </cell>
          <cell r="O101">
            <v>4</v>
          </cell>
          <cell r="P101">
            <v>4</v>
          </cell>
          <cell r="Q101">
            <v>4</v>
          </cell>
          <cell r="R101" t="str">
            <v>RD</v>
          </cell>
          <cell r="S101">
            <v>3</v>
          </cell>
          <cell r="T101">
            <v>4</v>
          </cell>
          <cell r="U101">
            <v>4</v>
          </cell>
          <cell r="V101">
            <v>4</v>
          </cell>
          <cell r="W101">
            <v>4</v>
          </cell>
          <cell r="X101">
            <v>4</v>
          </cell>
          <cell r="AK101">
            <v>0.9</v>
          </cell>
          <cell r="AL101">
            <v>1</v>
          </cell>
          <cell r="AP101">
            <v>15</v>
          </cell>
        </row>
        <row r="102">
          <cell r="E102" t="str">
            <v>DECAP, Anthony</v>
          </cell>
          <cell r="F102">
            <v>4</v>
          </cell>
          <cell r="G102">
            <v>5</v>
          </cell>
          <cell r="H102">
            <v>5</v>
          </cell>
          <cell r="I102">
            <v>5</v>
          </cell>
          <cell r="J102" t="str">
            <v>L</v>
          </cell>
          <cell r="K102" t="str">
            <v>RD</v>
          </cell>
          <cell r="L102">
            <v>5</v>
          </cell>
          <cell r="M102">
            <v>4</v>
          </cell>
          <cell r="N102">
            <v>4</v>
          </cell>
          <cell r="O102">
            <v>5</v>
          </cell>
          <cell r="P102">
            <v>4</v>
          </cell>
          <cell r="Q102" t="str">
            <v>L</v>
          </cell>
          <cell r="R102" t="str">
            <v>RD</v>
          </cell>
          <cell r="S102" t="str">
            <v>L</v>
          </cell>
          <cell r="T102">
            <v>4</v>
          </cell>
          <cell r="U102">
            <v>5</v>
          </cell>
          <cell r="V102">
            <v>4</v>
          </cell>
          <cell r="W102">
            <v>4</v>
          </cell>
          <cell r="X102">
            <v>5</v>
          </cell>
          <cell r="AK102">
            <v>0.95384615384615379</v>
          </cell>
          <cell r="AL102">
            <v>1</v>
          </cell>
          <cell r="AP102">
            <v>13</v>
          </cell>
        </row>
        <row r="103">
          <cell r="E103" t="str">
            <v>PATINO, Hernan L.</v>
          </cell>
          <cell r="F103">
            <v>4</v>
          </cell>
          <cell r="G103">
            <v>4</v>
          </cell>
          <cell r="H103">
            <v>5</v>
          </cell>
          <cell r="I103">
            <v>4</v>
          </cell>
          <cell r="J103">
            <v>4</v>
          </cell>
          <cell r="K103" t="str">
            <v>RD</v>
          </cell>
          <cell r="L103" t="str">
            <v>RD</v>
          </cell>
          <cell r="M103">
            <v>4</v>
          </cell>
          <cell r="N103" t="str">
            <v>L</v>
          </cell>
          <cell r="O103">
            <v>4</v>
          </cell>
          <cell r="P103">
            <v>0</v>
          </cell>
          <cell r="Q103">
            <v>4</v>
          </cell>
          <cell r="R103" t="str">
            <v>RD</v>
          </cell>
          <cell r="S103">
            <v>4</v>
          </cell>
          <cell r="T103">
            <v>5</v>
          </cell>
          <cell r="U103">
            <v>3</v>
          </cell>
          <cell r="V103">
            <v>5</v>
          </cell>
          <cell r="W103">
            <v>3</v>
          </cell>
          <cell r="X103">
            <v>4</v>
          </cell>
          <cell r="Y103">
            <v>0</v>
          </cell>
          <cell r="AK103">
            <v>0.84102564102564104</v>
          </cell>
          <cell r="AL103">
            <v>0.89473684210526316</v>
          </cell>
          <cell r="AP103">
            <v>15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lines"/>
      <sheetName val="Performance Trend 1"/>
      <sheetName val="Jan"/>
      <sheetName val="Feb"/>
      <sheetName val="Mar"/>
      <sheetName val="Performance trend- Summary"/>
      <sheetName val="Graph"/>
      <sheetName val="List of Wall of Fame"/>
      <sheetName val="Performance trend"/>
      <sheetName val="template"/>
      <sheetName val="Sheet2"/>
      <sheetName val="March"/>
      <sheetName val="Sheet3"/>
      <sheetName val="Sheet4"/>
      <sheetName val="Sheet5"/>
    </sheetNames>
    <sheetDataSet>
      <sheetData sheetId="0" refreshError="1"/>
      <sheetData sheetId="1" refreshError="1"/>
      <sheetData sheetId="2" refreshError="1">
        <row r="6">
          <cell r="AO6">
            <v>21</v>
          </cell>
        </row>
        <row r="7">
          <cell r="AO7">
            <v>21</v>
          </cell>
        </row>
        <row r="8">
          <cell r="AO8">
            <v>20</v>
          </cell>
        </row>
        <row r="9">
          <cell r="AO9">
            <v>23</v>
          </cell>
        </row>
        <row r="10">
          <cell r="AO10">
            <v>23</v>
          </cell>
        </row>
        <row r="11">
          <cell r="AO11">
            <v>22</v>
          </cell>
        </row>
        <row r="12">
          <cell r="AO12">
            <v>15</v>
          </cell>
        </row>
        <row r="13">
          <cell r="AO13">
            <v>17</v>
          </cell>
        </row>
        <row r="14">
          <cell r="AO14">
            <v>21</v>
          </cell>
        </row>
        <row r="15">
          <cell r="AO15">
            <v>17</v>
          </cell>
        </row>
        <row r="16">
          <cell r="AO16">
            <v>18</v>
          </cell>
        </row>
        <row r="17">
          <cell r="AO17">
            <v>20</v>
          </cell>
        </row>
        <row r="18">
          <cell r="AO18">
            <v>23</v>
          </cell>
        </row>
        <row r="19">
          <cell r="AO19">
            <v>14</v>
          </cell>
        </row>
        <row r="20">
          <cell r="AO20">
            <v>22</v>
          </cell>
        </row>
        <row r="21">
          <cell r="AO21">
            <v>19</v>
          </cell>
        </row>
        <row r="22">
          <cell r="AO22">
            <v>21</v>
          </cell>
        </row>
        <row r="23">
          <cell r="AO23">
            <v>20</v>
          </cell>
        </row>
        <row r="24">
          <cell r="AO24">
            <v>21</v>
          </cell>
        </row>
        <row r="25">
          <cell r="AO25">
            <v>19</v>
          </cell>
        </row>
        <row r="26">
          <cell r="AO26">
            <v>17</v>
          </cell>
        </row>
        <row r="34">
          <cell r="AO34">
            <v>22</v>
          </cell>
        </row>
        <row r="35">
          <cell r="AO35">
            <v>23</v>
          </cell>
        </row>
        <row r="36">
          <cell r="AO36">
            <v>21</v>
          </cell>
        </row>
        <row r="37">
          <cell r="AO37">
            <v>13</v>
          </cell>
        </row>
        <row r="38">
          <cell r="AO38">
            <v>22</v>
          </cell>
        </row>
        <row r="39">
          <cell r="AO39">
            <v>22</v>
          </cell>
        </row>
        <row r="40">
          <cell r="AO40">
            <v>23</v>
          </cell>
        </row>
        <row r="41">
          <cell r="AO41">
            <v>23</v>
          </cell>
        </row>
        <row r="42">
          <cell r="AO42">
            <v>20</v>
          </cell>
        </row>
        <row r="43">
          <cell r="AO43">
            <v>20</v>
          </cell>
        </row>
        <row r="44">
          <cell r="AO44">
            <v>19</v>
          </cell>
        </row>
        <row r="45">
          <cell r="AO45">
            <v>20</v>
          </cell>
        </row>
        <row r="46">
          <cell r="AO46">
            <v>23</v>
          </cell>
        </row>
        <row r="47">
          <cell r="AO47">
            <v>20</v>
          </cell>
        </row>
        <row r="48">
          <cell r="AO48">
            <v>18</v>
          </cell>
        </row>
        <row r="49">
          <cell r="AO49">
            <v>16</v>
          </cell>
        </row>
        <row r="50">
          <cell r="AO50">
            <v>19</v>
          </cell>
        </row>
        <row r="51">
          <cell r="AO51">
            <v>18</v>
          </cell>
        </row>
        <row r="52">
          <cell r="AO52">
            <v>23</v>
          </cell>
        </row>
        <row r="53">
          <cell r="AO53">
            <v>0</v>
          </cell>
        </row>
        <row r="54">
          <cell r="AO54">
            <v>23</v>
          </cell>
        </row>
        <row r="62">
          <cell r="AO62">
            <v>20</v>
          </cell>
        </row>
        <row r="63">
          <cell r="AO63">
            <v>12</v>
          </cell>
        </row>
        <row r="64">
          <cell r="AO64">
            <v>23</v>
          </cell>
        </row>
        <row r="65">
          <cell r="AO65">
            <v>18</v>
          </cell>
        </row>
        <row r="66">
          <cell r="AO66">
            <v>19</v>
          </cell>
        </row>
        <row r="67">
          <cell r="AO67">
            <v>21</v>
          </cell>
        </row>
        <row r="68">
          <cell r="AO68">
            <v>23</v>
          </cell>
        </row>
        <row r="69">
          <cell r="AO69">
            <v>19</v>
          </cell>
        </row>
        <row r="70">
          <cell r="AO70">
            <v>19</v>
          </cell>
        </row>
        <row r="71">
          <cell r="AO71">
            <v>22</v>
          </cell>
        </row>
        <row r="72">
          <cell r="AO72">
            <v>21</v>
          </cell>
        </row>
        <row r="73">
          <cell r="AO73">
            <v>23</v>
          </cell>
        </row>
        <row r="74">
          <cell r="AO74">
            <v>21</v>
          </cell>
        </row>
        <row r="75">
          <cell r="AO75">
            <v>21</v>
          </cell>
        </row>
        <row r="76">
          <cell r="AO76">
            <v>23</v>
          </cell>
        </row>
        <row r="77">
          <cell r="AO77">
            <v>23</v>
          </cell>
        </row>
        <row r="78">
          <cell r="AO78">
            <v>5</v>
          </cell>
        </row>
        <row r="79">
          <cell r="AO79">
            <v>21</v>
          </cell>
        </row>
        <row r="80">
          <cell r="AO80">
            <v>22</v>
          </cell>
        </row>
        <row r="81">
          <cell r="AO81">
            <v>8</v>
          </cell>
        </row>
        <row r="85">
          <cell r="AO85">
            <v>19</v>
          </cell>
        </row>
        <row r="86">
          <cell r="AO86">
            <v>19</v>
          </cell>
        </row>
        <row r="87">
          <cell r="AO87">
            <v>21</v>
          </cell>
        </row>
        <row r="88">
          <cell r="AO88">
            <v>23</v>
          </cell>
        </row>
        <row r="89">
          <cell r="AO89">
            <v>20</v>
          </cell>
        </row>
        <row r="90">
          <cell r="AO90">
            <v>15</v>
          </cell>
        </row>
        <row r="91">
          <cell r="AO91">
            <v>17</v>
          </cell>
        </row>
        <row r="92">
          <cell r="AO92">
            <v>21</v>
          </cell>
        </row>
        <row r="93">
          <cell r="AO93">
            <v>17</v>
          </cell>
        </row>
        <row r="94">
          <cell r="AO94">
            <v>12</v>
          </cell>
        </row>
        <row r="95">
          <cell r="AO95">
            <v>21</v>
          </cell>
        </row>
        <row r="96">
          <cell r="AO96">
            <v>15</v>
          </cell>
        </row>
        <row r="97">
          <cell r="AO97">
            <v>15</v>
          </cell>
        </row>
        <row r="98">
          <cell r="AO98">
            <v>22</v>
          </cell>
        </row>
        <row r="99">
          <cell r="AO99">
            <v>22</v>
          </cell>
        </row>
        <row r="100">
          <cell r="AO100">
            <v>19</v>
          </cell>
        </row>
        <row r="101">
          <cell r="AO101">
            <v>22</v>
          </cell>
        </row>
        <row r="102">
          <cell r="AO102">
            <v>20</v>
          </cell>
        </row>
        <row r="103">
          <cell r="AO103">
            <v>21</v>
          </cell>
        </row>
        <row r="104">
          <cell r="AO104">
            <v>19</v>
          </cell>
        </row>
        <row r="105">
          <cell r="AO105">
            <v>3</v>
          </cell>
        </row>
      </sheetData>
      <sheetData sheetId="3" refreshError="1">
        <row r="6">
          <cell r="AI6">
            <v>1</v>
          </cell>
          <cell r="AK6">
            <v>21</v>
          </cell>
        </row>
        <row r="7">
          <cell r="AI7">
            <v>1</v>
          </cell>
          <cell r="AK7">
            <v>20</v>
          </cell>
        </row>
        <row r="8">
          <cell r="AI8">
            <v>0.96153846153846156</v>
          </cell>
          <cell r="AK8">
            <v>16</v>
          </cell>
        </row>
        <row r="9">
          <cell r="AI9">
            <v>1</v>
          </cell>
          <cell r="AK9">
            <v>23</v>
          </cell>
        </row>
        <row r="10">
          <cell r="AI10">
            <v>1</v>
          </cell>
          <cell r="AK10">
            <v>20</v>
          </cell>
        </row>
        <row r="11">
          <cell r="AI11">
            <v>0.92592592592592593</v>
          </cell>
          <cell r="AK11">
            <v>17</v>
          </cell>
        </row>
        <row r="12">
          <cell r="AI12">
            <v>1</v>
          </cell>
          <cell r="AK12">
            <v>13</v>
          </cell>
        </row>
        <row r="13">
          <cell r="AI13">
            <v>1</v>
          </cell>
          <cell r="AK13">
            <v>16</v>
          </cell>
        </row>
        <row r="14">
          <cell r="AI14">
            <v>1</v>
          </cell>
          <cell r="AK14">
            <v>22</v>
          </cell>
        </row>
        <row r="15">
          <cell r="AI15">
            <v>0.96296296296296291</v>
          </cell>
          <cell r="AK15">
            <v>16</v>
          </cell>
        </row>
        <row r="16">
          <cell r="AI16">
            <v>1</v>
          </cell>
          <cell r="AK16">
            <v>14</v>
          </cell>
        </row>
        <row r="17">
          <cell r="AI17">
            <v>0.96296296296296291</v>
          </cell>
          <cell r="AK17">
            <v>21</v>
          </cell>
        </row>
        <row r="18">
          <cell r="AI18">
            <v>0.96296296296296291</v>
          </cell>
          <cell r="AK18">
            <v>19</v>
          </cell>
        </row>
        <row r="19">
          <cell r="AI19">
            <v>1</v>
          </cell>
          <cell r="AK19">
            <v>23</v>
          </cell>
        </row>
        <row r="20">
          <cell r="AI20">
            <v>1</v>
          </cell>
          <cell r="AK20">
            <v>22</v>
          </cell>
        </row>
        <row r="21">
          <cell r="AI21">
            <v>1</v>
          </cell>
          <cell r="AK21">
            <v>16</v>
          </cell>
        </row>
        <row r="22">
          <cell r="AI22">
            <v>1</v>
          </cell>
          <cell r="AK22">
            <v>23</v>
          </cell>
        </row>
        <row r="23">
          <cell r="AI23">
            <v>0.96296296296296291</v>
          </cell>
          <cell r="AK23">
            <v>19</v>
          </cell>
        </row>
        <row r="24">
          <cell r="AI24">
            <v>1</v>
          </cell>
          <cell r="AK24">
            <v>22</v>
          </cell>
        </row>
        <row r="25">
          <cell r="AI25">
            <v>1</v>
          </cell>
          <cell r="AK25">
            <v>23</v>
          </cell>
        </row>
        <row r="26">
          <cell r="AI26">
            <v>1</v>
          </cell>
          <cell r="AK26">
            <v>21</v>
          </cell>
        </row>
        <row r="34">
          <cell r="AI34">
            <v>1</v>
          </cell>
          <cell r="AK34">
            <v>16</v>
          </cell>
        </row>
        <row r="35">
          <cell r="AI35">
            <v>1</v>
          </cell>
          <cell r="AK35">
            <v>18</v>
          </cell>
        </row>
        <row r="36">
          <cell r="AI36">
            <v>1</v>
          </cell>
          <cell r="AK36">
            <v>21</v>
          </cell>
        </row>
        <row r="37">
          <cell r="AI37">
            <v>1</v>
          </cell>
          <cell r="AK37">
            <v>15</v>
          </cell>
        </row>
        <row r="38">
          <cell r="AI38">
            <v>1</v>
          </cell>
          <cell r="AK38">
            <v>19</v>
          </cell>
        </row>
        <row r="39">
          <cell r="AI39">
            <v>1</v>
          </cell>
          <cell r="AK39">
            <v>23</v>
          </cell>
        </row>
        <row r="40">
          <cell r="AI40">
            <v>1</v>
          </cell>
          <cell r="AK40">
            <v>22</v>
          </cell>
        </row>
        <row r="41">
          <cell r="AI41">
            <v>1</v>
          </cell>
          <cell r="AK41">
            <v>23</v>
          </cell>
        </row>
        <row r="42">
          <cell r="AI42">
            <v>1</v>
          </cell>
          <cell r="AK42">
            <v>22</v>
          </cell>
        </row>
        <row r="43">
          <cell r="AI43">
            <v>1</v>
          </cell>
          <cell r="AK43">
            <v>19</v>
          </cell>
        </row>
        <row r="44">
          <cell r="AI44">
            <v>1</v>
          </cell>
          <cell r="AK44">
            <v>14</v>
          </cell>
        </row>
        <row r="45">
          <cell r="AI45">
            <v>1</v>
          </cell>
          <cell r="AK45">
            <v>19</v>
          </cell>
        </row>
        <row r="46">
          <cell r="AI46">
            <v>1</v>
          </cell>
          <cell r="AK46">
            <v>18</v>
          </cell>
        </row>
        <row r="47">
          <cell r="AI47">
            <v>1</v>
          </cell>
          <cell r="AK47">
            <v>18</v>
          </cell>
        </row>
        <row r="48">
          <cell r="AI48">
            <v>1</v>
          </cell>
          <cell r="AK48">
            <v>17</v>
          </cell>
        </row>
        <row r="49">
          <cell r="AI49">
            <v>1</v>
          </cell>
          <cell r="AK49">
            <v>18</v>
          </cell>
        </row>
        <row r="50">
          <cell r="AI50">
            <v>1</v>
          </cell>
          <cell r="AK50">
            <v>22</v>
          </cell>
        </row>
        <row r="51">
          <cell r="AI51">
            <v>1</v>
          </cell>
          <cell r="AK51">
            <v>19</v>
          </cell>
        </row>
        <row r="52">
          <cell r="AI52">
            <v>1</v>
          </cell>
          <cell r="AK52">
            <v>21</v>
          </cell>
        </row>
        <row r="53">
          <cell r="AI53">
            <v>1</v>
          </cell>
          <cell r="AK53">
            <v>0</v>
          </cell>
        </row>
        <row r="54">
          <cell r="AI54">
            <v>1</v>
          </cell>
          <cell r="AK54">
            <v>20</v>
          </cell>
        </row>
        <row r="62">
          <cell r="AI62">
            <v>1</v>
          </cell>
          <cell r="AK62">
            <v>20</v>
          </cell>
        </row>
        <row r="63">
          <cell r="AI63">
            <v>1</v>
          </cell>
          <cell r="AK63">
            <v>18</v>
          </cell>
        </row>
        <row r="64">
          <cell r="AI64">
            <v>1</v>
          </cell>
          <cell r="AK64">
            <v>18</v>
          </cell>
        </row>
        <row r="65">
          <cell r="AI65">
            <v>0.96296296296296291</v>
          </cell>
          <cell r="AK65">
            <v>17</v>
          </cell>
        </row>
        <row r="66">
          <cell r="AI66">
            <v>1</v>
          </cell>
          <cell r="AK66">
            <v>21</v>
          </cell>
        </row>
        <row r="67">
          <cell r="AI67">
            <v>1</v>
          </cell>
          <cell r="AK67">
            <v>22</v>
          </cell>
        </row>
        <row r="68">
          <cell r="AI68">
            <v>1</v>
          </cell>
          <cell r="AK68">
            <v>23</v>
          </cell>
        </row>
        <row r="69">
          <cell r="AI69">
            <v>1</v>
          </cell>
          <cell r="AK69">
            <v>20</v>
          </cell>
        </row>
        <row r="70">
          <cell r="AI70">
            <v>1</v>
          </cell>
          <cell r="AK70">
            <v>9</v>
          </cell>
        </row>
        <row r="71">
          <cell r="AI71">
            <v>1</v>
          </cell>
          <cell r="AK71">
            <v>21</v>
          </cell>
        </row>
        <row r="72">
          <cell r="AI72">
            <v>0.96296296296296291</v>
          </cell>
          <cell r="AK72">
            <v>18</v>
          </cell>
        </row>
        <row r="73">
          <cell r="AI73">
            <v>0.96296296296296291</v>
          </cell>
          <cell r="AK73">
            <v>21</v>
          </cell>
        </row>
        <row r="74">
          <cell r="AI74">
            <v>0.96296296296296291</v>
          </cell>
          <cell r="AK74">
            <v>14</v>
          </cell>
        </row>
        <row r="75">
          <cell r="AI75">
            <v>1</v>
          </cell>
          <cell r="AK75">
            <v>18</v>
          </cell>
        </row>
        <row r="76">
          <cell r="AI76">
            <v>0.96296296296296291</v>
          </cell>
          <cell r="AK76">
            <v>18</v>
          </cell>
        </row>
        <row r="77">
          <cell r="AI77">
            <v>1</v>
          </cell>
          <cell r="AK77">
            <v>22</v>
          </cell>
        </row>
        <row r="78">
          <cell r="AI78">
            <v>1</v>
          </cell>
          <cell r="AK78">
            <v>14</v>
          </cell>
        </row>
        <row r="79">
          <cell r="AI79">
            <v>1</v>
          </cell>
          <cell r="AK79">
            <v>21</v>
          </cell>
        </row>
        <row r="80">
          <cell r="AI80">
            <v>1</v>
          </cell>
          <cell r="AK80">
            <v>21</v>
          </cell>
        </row>
        <row r="81">
          <cell r="AI81">
            <v>0.96296296296296291</v>
          </cell>
          <cell r="AK81">
            <v>16</v>
          </cell>
        </row>
        <row r="85">
          <cell r="AI85">
            <v>0.9642857142857143</v>
          </cell>
          <cell r="AK85">
            <v>11</v>
          </cell>
        </row>
        <row r="86">
          <cell r="AI86">
            <v>1</v>
          </cell>
          <cell r="AK86">
            <v>20</v>
          </cell>
        </row>
        <row r="87">
          <cell r="AI87">
            <v>0.8928571428571429</v>
          </cell>
          <cell r="AK87">
            <v>19</v>
          </cell>
        </row>
        <row r="88">
          <cell r="AI88">
            <v>1</v>
          </cell>
          <cell r="AK88">
            <v>24</v>
          </cell>
        </row>
        <row r="89">
          <cell r="AI89">
            <v>1</v>
          </cell>
          <cell r="AK89">
            <v>23</v>
          </cell>
        </row>
        <row r="90">
          <cell r="AI90">
            <v>0.8928571428571429</v>
          </cell>
          <cell r="AK90">
            <v>18</v>
          </cell>
        </row>
        <row r="91">
          <cell r="AI91">
            <v>1</v>
          </cell>
          <cell r="AK91">
            <v>17</v>
          </cell>
        </row>
        <row r="92">
          <cell r="AI92">
            <v>1</v>
          </cell>
          <cell r="AK92">
            <v>20</v>
          </cell>
        </row>
        <row r="93">
          <cell r="AI93">
            <v>0.9285714285714286</v>
          </cell>
          <cell r="AK93">
            <v>19</v>
          </cell>
        </row>
        <row r="94">
          <cell r="AI94">
            <v>0.9642857142857143</v>
          </cell>
          <cell r="AK94">
            <v>18</v>
          </cell>
        </row>
        <row r="95">
          <cell r="AI95">
            <v>1</v>
          </cell>
          <cell r="AK95">
            <v>21</v>
          </cell>
        </row>
        <row r="96">
          <cell r="AI96">
            <v>0.9285714285714286</v>
          </cell>
          <cell r="AK96">
            <v>20</v>
          </cell>
        </row>
        <row r="97">
          <cell r="AI97">
            <v>0.9285714285714286</v>
          </cell>
          <cell r="AK97">
            <v>13</v>
          </cell>
        </row>
        <row r="98">
          <cell r="AI98">
            <v>1</v>
          </cell>
          <cell r="AK98">
            <v>23</v>
          </cell>
        </row>
        <row r="99">
          <cell r="AI99">
            <v>1</v>
          </cell>
          <cell r="AK99">
            <v>21</v>
          </cell>
        </row>
        <row r="100">
          <cell r="AI100">
            <v>0.9642857142857143</v>
          </cell>
          <cell r="AK100">
            <v>22</v>
          </cell>
        </row>
        <row r="101">
          <cell r="AI101">
            <v>1</v>
          </cell>
          <cell r="AK101">
            <v>23</v>
          </cell>
        </row>
        <row r="102">
          <cell r="AI102">
            <v>1</v>
          </cell>
          <cell r="AK102">
            <v>22</v>
          </cell>
        </row>
        <row r="103">
          <cell r="AI103">
            <v>0.9642857142857143</v>
          </cell>
          <cell r="AK103">
            <v>22</v>
          </cell>
        </row>
        <row r="104">
          <cell r="AI104">
            <v>1</v>
          </cell>
          <cell r="AK104">
            <v>23</v>
          </cell>
        </row>
        <row r="105">
          <cell r="AI105">
            <v>1</v>
          </cell>
          <cell r="AK105">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hyperlink" Target="..\..\05%20MS%20Section%20Safety%20Audit\000%20Previous%20Years\20240713%20-%20114%20flocculant%20charging%20(ISA)" TargetMode="External"/><Relationship Id="rId13" Type="http://schemas.openxmlformats.org/officeDocument/2006/relationships/hyperlink" Target="../../06%20MS%20Section%20Cross%20Audit/2025/VSLC%20Waste%20Water%20Safety%20Audit%20with%20VSLC" TargetMode="External"/><Relationship Id="rId18" Type="http://schemas.openxmlformats.org/officeDocument/2006/relationships/image" Target="../media/image2.emf"/><Relationship Id="rId3" Type="http://schemas.openxmlformats.org/officeDocument/2006/relationships/hyperlink" Target="..\..\06%20MS%20Section%20Cross%20Audit\2025\111ML01%20steel%20balls%20charging%20(auditor%20EI)" TargetMode="External"/><Relationship Id="rId7" Type="http://schemas.openxmlformats.org/officeDocument/2006/relationships/hyperlink" Target="..\..\05%20MS%20Section%20Safety%20Audit\000%20Previous%20Years\20240708%20-%20108TK04%20Sampling%20using%20newly%20fabricated%20scoop" TargetMode="External"/><Relationship Id="rId12" Type="http://schemas.openxmlformats.org/officeDocument/2006/relationships/hyperlink" Target="../../05%20MS%20Section%20Safety%20Audit/2025/2025/109TK02%20Vent%20line%20Declogging" TargetMode="External"/><Relationship Id="rId17" Type="http://schemas.openxmlformats.org/officeDocument/2006/relationships/control" Target="../activeX/activeX2.xml"/><Relationship Id="rId2" Type="http://schemas.openxmlformats.org/officeDocument/2006/relationships/hyperlink" Target="..\..\05%20MS%20Section%20Safety%20Audit\2025\01092025%20111BC05%20flushing%20and%20clean-up" TargetMode="External"/><Relationship Id="rId16" Type="http://schemas.openxmlformats.org/officeDocument/2006/relationships/vmlDrawing" Target="../drawings/vmlDrawing2.vml"/><Relationship Id="rId20" Type="http://schemas.openxmlformats.org/officeDocument/2006/relationships/image" Target="../media/image3.emf"/><Relationship Id="rId1" Type="http://schemas.openxmlformats.org/officeDocument/2006/relationships/printerSettings" Target="../printerSettings/printerSettings3.bin"/><Relationship Id="rId6" Type="http://schemas.openxmlformats.org/officeDocument/2006/relationships/hyperlink" Target="..\..\05%20MS%20Section%20Safety%20Audit\000%20Previous%20Years\20240321%20-%20106ML02%20operation" TargetMode="External"/><Relationship Id="rId11" Type="http://schemas.openxmlformats.org/officeDocument/2006/relationships/hyperlink" Target="..\..\05%20MS%20Section%20Safety%20Audit\000%20Previous%20Years\20241129%20-%20Polishing%20Filter%20Cloth%20Cutting" TargetMode="External"/><Relationship Id="rId5" Type="http://schemas.openxmlformats.org/officeDocument/2006/relationships/hyperlink" Target="..\..\05%20MS%20Section%20Safety%20Audit\000%20Previous%20Years\20240229%20-%20111BC02-04%20Catcher%20Cleanup%20(ISA%20with%20Contractors)" TargetMode="External"/><Relationship Id="rId15" Type="http://schemas.openxmlformats.org/officeDocument/2006/relationships/drawing" Target="../drawings/drawing2.xml"/><Relationship Id="rId10" Type="http://schemas.openxmlformats.org/officeDocument/2006/relationships/hyperlink" Target="..\..\05%20MS%20Section%20Safety%20Audit\000%20Previous%20Years\20241030%20-%20Polishing%20cloth%20rewashing" TargetMode="External"/><Relationship Id="rId19" Type="http://schemas.openxmlformats.org/officeDocument/2006/relationships/control" Target="../activeX/activeX3.xml"/><Relationship Id="rId4" Type="http://schemas.openxmlformats.org/officeDocument/2006/relationships/hyperlink" Target="..\..\05%20MS%20Section%20Safety%20Audit\000%20Previous%20Years\20240130%20-%20VE03%20cold%20leg%20declogging" TargetMode="External"/><Relationship Id="rId9" Type="http://schemas.openxmlformats.org/officeDocument/2006/relationships/hyperlink" Target="..\..\05%20MS%20Section%20Safety%20Audit\000%20Previous%20Years\20240831%20-%20111PU02-03%20suction%20strainer%20clean%20up" TargetMode="External"/><Relationship Id="rId1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image" Target="../media/image4.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6.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5.xml"/><Relationship Id="rId7" Type="http://schemas.openxmlformats.org/officeDocument/2006/relationships/control" Target="../activeX/activeX8.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omments" Target="../comments1.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image" Target="../media/image8.emf"/><Relationship Id="rId5" Type="http://schemas.openxmlformats.org/officeDocument/2006/relationships/control" Target="../activeX/activeX9.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image" Target="../media/image9.emf"/><Relationship Id="rId5" Type="http://schemas.openxmlformats.org/officeDocument/2006/relationships/control" Target="../activeX/activeX10.xml"/><Relationship Id="rId4"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53"/>
  <sheetViews>
    <sheetView view="pageBreakPreview" topLeftCell="A28" zoomScaleNormal="100" zoomScaleSheetLayoutView="100" workbookViewId="0">
      <selection activeCell="F44" sqref="F44"/>
    </sheetView>
  </sheetViews>
  <sheetFormatPr defaultRowHeight="15" x14ac:dyDescent="0.25"/>
  <cols>
    <col min="4" max="4" width="12.28515625" bestFit="1" customWidth="1"/>
    <col min="5" max="5" width="47" bestFit="1" customWidth="1"/>
    <col min="6" max="6" width="25" customWidth="1"/>
    <col min="7" max="7" width="35.85546875" bestFit="1" customWidth="1"/>
    <col min="8" max="8" width="15.28515625" bestFit="1" customWidth="1"/>
    <col min="9" max="9" width="15.28515625" customWidth="1"/>
    <col min="10" max="10" width="19.7109375" bestFit="1" customWidth="1"/>
  </cols>
  <sheetData>
    <row r="1" spans="1:10" x14ac:dyDescent="0.25">
      <c r="A1" t="s">
        <v>1</v>
      </c>
      <c r="B1" t="s">
        <v>0</v>
      </c>
      <c r="C1" s="13" t="s">
        <v>108</v>
      </c>
      <c r="D1" s="13" t="s">
        <v>109</v>
      </c>
      <c r="E1" t="s">
        <v>110</v>
      </c>
      <c r="F1" t="s">
        <v>117</v>
      </c>
      <c r="G1" t="s">
        <v>113</v>
      </c>
      <c r="H1" t="s">
        <v>125</v>
      </c>
      <c r="I1" t="s">
        <v>126</v>
      </c>
      <c r="J1" t="s">
        <v>111</v>
      </c>
    </row>
    <row r="2" spans="1:10" x14ac:dyDescent="0.25">
      <c r="A2">
        <v>1</v>
      </c>
      <c r="B2">
        <v>1</v>
      </c>
      <c r="C2" s="13">
        <v>2024</v>
      </c>
      <c r="D2" t="s">
        <v>112</v>
      </c>
      <c r="E2" t="s">
        <v>114</v>
      </c>
      <c r="F2" t="s">
        <v>118</v>
      </c>
      <c r="G2" t="s">
        <v>119</v>
      </c>
      <c r="H2" s="14">
        <v>45321</v>
      </c>
      <c r="I2" t="s">
        <v>128</v>
      </c>
    </row>
    <row r="3" spans="1:10" x14ac:dyDescent="0.25">
      <c r="A3">
        <v>2</v>
      </c>
      <c r="B3">
        <v>4</v>
      </c>
      <c r="C3" s="13">
        <v>2024</v>
      </c>
      <c r="D3" t="s">
        <v>112</v>
      </c>
      <c r="E3" t="s">
        <v>116</v>
      </c>
      <c r="F3" t="s">
        <v>120</v>
      </c>
      <c r="I3" t="s">
        <v>128</v>
      </c>
    </row>
    <row r="4" spans="1:10" x14ac:dyDescent="0.25">
      <c r="A4">
        <v>3</v>
      </c>
      <c r="B4">
        <v>4</v>
      </c>
      <c r="C4" s="13">
        <v>2024</v>
      </c>
      <c r="D4" t="s">
        <v>115</v>
      </c>
      <c r="E4" t="s">
        <v>121</v>
      </c>
      <c r="F4" t="s">
        <v>124</v>
      </c>
      <c r="G4" s="15" t="s">
        <v>170</v>
      </c>
      <c r="I4" t="s">
        <v>128</v>
      </c>
    </row>
    <row r="5" spans="1:10" x14ac:dyDescent="0.25">
      <c r="A5">
        <v>4</v>
      </c>
      <c r="B5">
        <v>1</v>
      </c>
      <c r="C5" s="13">
        <v>2024</v>
      </c>
      <c r="D5" t="s">
        <v>115</v>
      </c>
      <c r="E5" t="s">
        <v>116</v>
      </c>
      <c r="F5" t="s">
        <v>127</v>
      </c>
      <c r="H5" s="14">
        <v>45344</v>
      </c>
      <c r="I5" t="s">
        <v>128</v>
      </c>
    </row>
    <row r="6" spans="1:10" x14ac:dyDescent="0.25">
      <c r="A6">
        <v>5</v>
      </c>
      <c r="B6" t="s">
        <v>122</v>
      </c>
      <c r="C6" s="13">
        <v>2024</v>
      </c>
      <c r="D6" t="s">
        <v>115</v>
      </c>
      <c r="E6" t="s">
        <v>123</v>
      </c>
      <c r="I6" t="s">
        <v>128</v>
      </c>
    </row>
    <row r="7" spans="1:10" x14ac:dyDescent="0.25">
      <c r="A7">
        <v>6</v>
      </c>
      <c r="B7">
        <v>2</v>
      </c>
      <c r="C7" s="13">
        <v>2024</v>
      </c>
      <c r="D7" t="s">
        <v>129</v>
      </c>
      <c r="E7" t="s">
        <v>114</v>
      </c>
      <c r="F7" t="s">
        <v>120</v>
      </c>
      <c r="G7" t="s">
        <v>11</v>
      </c>
      <c r="H7" s="14">
        <v>45372</v>
      </c>
      <c r="I7" t="s">
        <v>128</v>
      </c>
    </row>
    <row r="8" spans="1:10" x14ac:dyDescent="0.25">
      <c r="A8">
        <v>7</v>
      </c>
      <c r="B8">
        <v>3</v>
      </c>
      <c r="C8" s="13">
        <v>2024</v>
      </c>
      <c r="D8" t="s">
        <v>129</v>
      </c>
      <c r="E8" t="s">
        <v>134</v>
      </c>
      <c r="F8" t="s">
        <v>118</v>
      </c>
      <c r="G8" t="s">
        <v>140</v>
      </c>
      <c r="H8" s="14">
        <v>45370</v>
      </c>
      <c r="I8" t="s">
        <v>128</v>
      </c>
      <c r="J8" t="s">
        <v>135</v>
      </c>
    </row>
    <row r="9" spans="1:10" x14ac:dyDescent="0.25">
      <c r="A9">
        <v>8</v>
      </c>
      <c r="B9" t="s">
        <v>122</v>
      </c>
      <c r="C9" s="13">
        <v>2024</v>
      </c>
      <c r="D9" t="s">
        <v>130</v>
      </c>
      <c r="E9" t="s">
        <v>131</v>
      </c>
      <c r="F9" t="s">
        <v>122</v>
      </c>
      <c r="I9" t="s">
        <v>128</v>
      </c>
    </row>
    <row r="10" spans="1:10" x14ac:dyDescent="0.25">
      <c r="A10">
        <v>9</v>
      </c>
      <c r="B10">
        <v>2</v>
      </c>
      <c r="C10" s="13">
        <v>2024</v>
      </c>
      <c r="D10" t="s">
        <v>18</v>
      </c>
      <c r="E10" t="s">
        <v>116</v>
      </c>
      <c r="F10" t="s">
        <v>124</v>
      </c>
      <c r="I10" t="s">
        <v>128</v>
      </c>
    </row>
    <row r="11" spans="1:10" x14ac:dyDescent="0.25">
      <c r="A11">
        <v>10</v>
      </c>
      <c r="B11">
        <v>3</v>
      </c>
      <c r="C11" s="13">
        <v>2024</v>
      </c>
      <c r="D11" t="s">
        <v>132</v>
      </c>
      <c r="E11" t="s">
        <v>121</v>
      </c>
      <c r="F11" t="s">
        <v>127</v>
      </c>
      <c r="G11" t="s">
        <v>137</v>
      </c>
      <c r="I11" t="s">
        <v>128</v>
      </c>
    </row>
    <row r="12" spans="1:10" x14ac:dyDescent="0.25">
      <c r="A12">
        <v>11</v>
      </c>
      <c r="B12">
        <v>4</v>
      </c>
      <c r="C12" s="13">
        <v>2024</v>
      </c>
      <c r="D12" t="s">
        <v>132</v>
      </c>
      <c r="E12" t="s">
        <v>114</v>
      </c>
      <c r="F12" t="s">
        <v>127</v>
      </c>
      <c r="G12" t="s">
        <v>138</v>
      </c>
      <c r="H12" s="14">
        <v>45472</v>
      </c>
      <c r="I12" t="s">
        <v>128</v>
      </c>
    </row>
    <row r="13" spans="1:10" x14ac:dyDescent="0.25">
      <c r="A13">
        <v>12</v>
      </c>
      <c r="B13" t="s">
        <v>122</v>
      </c>
      <c r="C13" s="13">
        <v>2024</v>
      </c>
      <c r="D13" t="s">
        <v>132</v>
      </c>
      <c r="E13" t="s">
        <v>133</v>
      </c>
      <c r="F13" t="s">
        <v>120</v>
      </c>
      <c r="G13" t="s">
        <v>139</v>
      </c>
      <c r="H13" s="14">
        <v>45473</v>
      </c>
      <c r="I13" t="s">
        <v>128</v>
      </c>
    </row>
    <row r="14" spans="1:10" x14ac:dyDescent="0.25">
      <c r="A14">
        <v>13</v>
      </c>
      <c r="B14">
        <v>4</v>
      </c>
      <c r="C14" s="13">
        <v>2024</v>
      </c>
      <c r="D14" t="s">
        <v>132</v>
      </c>
      <c r="E14" t="s">
        <v>134</v>
      </c>
      <c r="G14" t="s">
        <v>141</v>
      </c>
      <c r="I14" t="s">
        <v>128</v>
      </c>
      <c r="J14" t="s">
        <v>136</v>
      </c>
    </row>
    <row r="15" spans="1:10" x14ac:dyDescent="0.25">
      <c r="A15">
        <v>14</v>
      </c>
      <c r="B15" t="s">
        <v>122</v>
      </c>
      <c r="C15" s="13">
        <v>2024</v>
      </c>
      <c r="D15" t="s">
        <v>132</v>
      </c>
      <c r="E15" t="s">
        <v>142</v>
      </c>
      <c r="F15" t="s">
        <v>122</v>
      </c>
      <c r="I15" t="s">
        <v>128</v>
      </c>
    </row>
    <row r="16" spans="1:10" x14ac:dyDescent="0.25">
      <c r="A16">
        <v>15</v>
      </c>
      <c r="B16" t="s">
        <v>122</v>
      </c>
      <c r="C16" s="13">
        <v>2024</v>
      </c>
      <c r="D16" t="s">
        <v>132</v>
      </c>
      <c r="E16" t="s">
        <v>145</v>
      </c>
      <c r="F16" t="s">
        <v>122</v>
      </c>
      <c r="G16" t="s">
        <v>146</v>
      </c>
      <c r="I16" t="s">
        <v>128</v>
      </c>
    </row>
    <row r="17" spans="1:10" x14ac:dyDescent="0.25">
      <c r="A17">
        <v>16</v>
      </c>
      <c r="B17" t="s">
        <v>122</v>
      </c>
      <c r="C17" s="13">
        <v>2024</v>
      </c>
      <c r="D17" t="s">
        <v>143</v>
      </c>
      <c r="E17" t="s">
        <v>142</v>
      </c>
      <c r="F17" t="s">
        <v>122</v>
      </c>
      <c r="I17" t="s">
        <v>128</v>
      </c>
    </row>
    <row r="18" spans="1:10" x14ac:dyDescent="0.25">
      <c r="A18">
        <v>17</v>
      </c>
      <c r="B18">
        <v>2</v>
      </c>
      <c r="C18" s="13">
        <v>2024</v>
      </c>
      <c r="D18" t="s">
        <v>143</v>
      </c>
      <c r="E18" t="s">
        <v>144</v>
      </c>
      <c r="F18" t="s">
        <v>120</v>
      </c>
      <c r="I18" t="s">
        <v>128</v>
      </c>
    </row>
    <row r="19" spans="1:10" x14ac:dyDescent="0.25">
      <c r="A19">
        <v>18</v>
      </c>
      <c r="B19">
        <v>1</v>
      </c>
      <c r="C19" s="13">
        <v>2024</v>
      </c>
      <c r="D19" t="s">
        <v>143</v>
      </c>
      <c r="E19" t="s">
        <v>116</v>
      </c>
      <c r="F19" t="s">
        <v>127</v>
      </c>
      <c r="I19" t="s">
        <v>128</v>
      </c>
    </row>
    <row r="20" spans="1:10" x14ac:dyDescent="0.25">
      <c r="A20">
        <v>19</v>
      </c>
      <c r="B20">
        <v>3</v>
      </c>
      <c r="C20" s="13">
        <v>2024</v>
      </c>
      <c r="D20" t="s">
        <v>147</v>
      </c>
      <c r="E20" t="s">
        <v>114</v>
      </c>
      <c r="F20" t="s">
        <v>124</v>
      </c>
      <c r="G20" t="s">
        <v>149</v>
      </c>
      <c r="I20" t="s">
        <v>128</v>
      </c>
    </row>
    <row r="21" spans="1:10" x14ac:dyDescent="0.25">
      <c r="A21">
        <v>20</v>
      </c>
      <c r="B21">
        <v>2</v>
      </c>
      <c r="C21" s="13">
        <v>2024</v>
      </c>
      <c r="D21" t="s">
        <v>147</v>
      </c>
      <c r="E21" t="s">
        <v>134</v>
      </c>
      <c r="F21" t="s">
        <v>118</v>
      </c>
      <c r="G21" t="s">
        <v>150</v>
      </c>
      <c r="I21" t="s">
        <v>128</v>
      </c>
      <c r="J21" t="s">
        <v>136</v>
      </c>
    </row>
    <row r="22" spans="1:10" x14ac:dyDescent="0.25">
      <c r="A22">
        <v>21</v>
      </c>
      <c r="B22" t="s">
        <v>122</v>
      </c>
      <c r="C22" s="13">
        <v>2024</v>
      </c>
      <c r="D22" t="s">
        <v>147</v>
      </c>
      <c r="E22" t="s">
        <v>123</v>
      </c>
      <c r="I22" t="s">
        <v>128</v>
      </c>
    </row>
    <row r="23" spans="1:10" x14ac:dyDescent="0.25">
      <c r="A23">
        <v>22</v>
      </c>
      <c r="B23" t="s">
        <v>122</v>
      </c>
      <c r="C23" s="13">
        <v>2024</v>
      </c>
      <c r="D23" t="s">
        <v>148</v>
      </c>
      <c r="E23" t="s">
        <v>131</v>
      </c>
      <c r="F23" t="s">
        <v>122</v>
      </c>
      <c r="I23" t="s">
        <v>128</v>
      </c>
    </row>
    <row r="24" spans="1:10" x14ac:dyDescent="0.25">
      <c r="A24">
        <v>23</v>
      </c>
      <c r="B24">
        <v>2</v>
      </c>
      <c r="C24" s="13">
        <v>2024</v>
      </c>
      <c r="D24" t="s">
        <v>151</v>
      </c>
      <c r="E24" t="s">
        <v>121</v>
      </c>
      <c r="F24" t="s">
        <v>120</v>
      </c>
      <c r="G24" t="s">
        <v>155</v>
      </c>
      <c r="I24" t="s">
        <v>128</v>
      </c>
    </row>
    <row r="25" spans="1:10" x14ac:dyDescent="0.25">
      <c r="A25">
        <v>24</v>
      </c>
      <c r="B25">
        <v>3</v>
      </c>
      <c r="C25" s="13">
        <v>2024</v>
      </c>
      <c r="D25" t="s">
        <v>151</v>
      </c>
      <c r="E25" t="s">
        <v>144</v>
      </c>
      <c r="F25" t="s">
        <v>156</v>
      </c>
      <c r="I25" t="s">
        <v>128</v>
      </c>
    </row>
    <row r="26" spans="1:10" x14ac:dyDescent="0.25">
      <c r="A26">
        <v>25</v>
      </c>
      <c r="B26">
        <v>3</v>
      </c>
      <c r="C26" s="13">
        <v>2024</v>
      </c>
      <c r="D26" t="s">
        <v>151</v>
      </c>
      <c r="E26" t="s">
        <v>116</v>
      </c>
      <c r="F26" t="s">
        <v>124</v>
      </c>
      <c r="I26" t="s">
        <v>128</v>
      </c>
    </row>
    <row r="27" spans="1:10" x14ac:dyDescent="0.25">
      <c r="A27">
        <v>26</v>
      </c>
      <c r="B27">
        <v>1</v>
      </c>
      <c r="C27" s="13">
        <v>2024</v>
      </c>
      <c r="D27" t="s">
        <v>152</v>
      </c>
      <c r="E27" t="s">
        <v>114</v>
      </c>
      <c r="F27" t="s">
        <v>120</v>
      </c>
      <c r="I27" t="s">
        <v>128</v>
      </c>
    </row>
    <row r="28" spans="1:10" x14ac:dyDescent="0.25">
      <c r="A28">
        <v>27</v>
      </c>
      <c r="B28">
        <v>4</v>
      </c>
      <c r="C28" s="13">
        <v>2024</v>
      </c>
      <c r="D28" t="s">
        <v>152</v>
      </c>
      <c r="E28" t="s">
        <v>133</v>
      </c>
      <c r="F28" t="s">
        <v>157</v>
      </c>
      <c r="I28" t="s">
        <v>128</v>
      </c>
    </row>
    <row r="29" spans="1:10" x14ac:dyDescent="0.25">
      <c r="A29">
        <v>28</v>
      </c>
      <c r="B29">
        <v>3</v>
      </c>
      <c r="C29" s="13">
        <v>2024</v>
      </c>
      <c r="D29" t="s">
        <v>152</v>
      </c>
      <c r="E29" t="s">
        <v>134</v>
      </c>
      <c r="I29" t="s">
        <v>128</v>
      </c>
    </row>
    <row r="30" spans="1:10" x14ac:dyDescent="0.25">
      <c r="A30">
        <v>29</v>
      </c>
      <c r="B30">
        <v>4</v>
      </c>
      <c r="C30" s="13">
        <v>2024</v>
      </c>
      <c r="D30" t="s">
        <v>153</v>
      </c>
      <c r="E30" t="s">
        <v>116</v>
      </c>
      <c r="I30" t="s">
        <v>154</v>
      </c>
    </row>
    <row r="31" spans="1:10" x14ac:dyDescent="0.25">
      <c r="A31">
        <v>30</v>
      </c>
      <c r="B31">
        <v>1</v>
      </c>
      <c r="C31" s="13">
        <v>2025</v>
      </c>
      <c r="D31" t="s">
        <v>112</v>
      </c>
      <c r="E31" t="s">
        <v>164</v>
      </c>
      <c r="F31" t="s">
        <v>124</v>
      </c>
      <c r="G31" t="s">
        <v>500</v>
      </c>
      <c r="H31" s="14">
        <v>45666</v>
      </c>
      <c r="I31" t="s">
        <v>501</v>
      </c>
    </row>
    <row r="32" spans="1:10" x14ac:dyDescent="0.25">
      <c r="A32">
        <v>31</v>
      </c>
      <c r="B32">
        <v>3</v>
      </c>
      <c r="C32" s="13">
        <v>2025</v>
      </c>
      <c r="D32" t="s">
        <v>112</v>
      </c>
      <c r="E32" t="s">
        <v>123</v>
      </c>
      <c r="F32" t="s">
        <v>158</v>
      </c>
      <c r="G32" t="s">
        <v>172</v>
      </c>
      <c r="H32" s="14">
        <v>45685</v>
      </c>
      <c r="I32" t="s">
        <v>128</v>
      </c>
    </row>
    <row r="33" spans="1:10" x14ac:dyDescent="0.25">
      <c r="A33">
        <v>32</v>
      </c>
      <c r="B33" t="s">
        <v>122</v>
      </c>
      <c r="C33" s="13">
        <v>2025</v>
      </c>
      <c r="D33" t="s">
        <v>130</v>
      </c>
      <c r="E33" t="s">
        <v>123</v>
      </c>
      <c r="F33" t="s">
        <v>159</v>
      </c>
      <c r="I33" t="s">
        <v>524</v>
      </c>
    </row>
    <row r="34" spans="1:10" x14ac:dyDescent="0.25">
      <c r="A34">
        <v>33</v>
      </c>
      <c r="B34">
        <v>4</v>
      </c>
      <c r="C34" s="13">
        <v>2025</v>
      </c>
      <c r="D34" t="s">
        <v>115</v>
      </c>
      <c r="E34" t="s">
        <v>116</v>
      </c>
      <c r="H34" s="14">
        <v>45708</v>
      </c>
      <c r="I34" t="s">
        <v>128</v>
      </c>
    </row>
    <row r="35" spans="1:10" x14ac:dyDescent="0.25">
      <c r="A35">
        <v>34</v>
      </c>
      <c r="B35">
        <v>2</v>
      </c>
      <c r="C35" s="13">
        <v>2025</v>
      </c>
      <c r="D35" t="s">
        <v>115</v>
      </c>
      <c r="E35" t="s">
        <v>133</v>
      </c>
      <c r="F35" t="s">
        <v>124</v>
      </c>
      <c r="G35" t="s">
        <v>171</v>
      </c>
      <c r="H35" s="14">
        <v>45701</v>
      </c>
      <c r="I35" t="s">
        <v>128</v>
      </c>
      <c r="J35" t="s">
        <v>167</v>
      </c>
    </row>
    <row r="36" spans="1:10" x14ac:dyDescent="0.25">
      <c r="A36">
        <v>35</v>
      </c>
      <c r="B36" t="s">
        <v>122</v>
      </c>
      <c r="C36" s="13">
        <v>2025</v>
      </c>
      <c r="D36" t="s">
        <v>129</v>
      </c>
      <c r="E36" t="s">
        <v>131</v>
      </c>
      <c r="F36" t="s">
        <v>122</v>
      </c>
      <c r="I36" t="s">
        <v>128</v>
      </c>
    </row>
    <row r="37" spans="1:10" x14ac:dyDescent="0.25">
      <c r="A37">
        <v>36</v>
      </c>
      <c r="B37">
        <v>3</v>
      </c>
      <c r="C37" s="13">
        <v>2025</v>
      </c>
      <c r="D37" t="s">
        <v>130</v>
      </c>
      <c r="E37" t="s">
        <v>114</v>
      </c>
      <c r="F37" t="s">
        <v>118</v>
      </c>
      <c r="G37" t="s">
        <v>160</v>
      </c>
      <c r="I37" t="s">
        <v>128</v>
      </c>
      <c r="J37" s="54"/>
    </row>
    <row r="38" spans="1:10" x14ac:dyDescent="0.25">
      <c r="A38">
        <v>37</v>
      </c>
      <c r="B38">
        <v>3</v>
      </c>
      <c r="C38" s="13">
        <v>2025</v>
      </c>
      <c r="D38" t="s">
        <v>130</v>
      </c>
      <c r="E38" t="s">
        <v>116</v>
      </c>
      <c r="F38" t="s">
        <v>118</v>
      </c>
      <c r="G38" t="s">
        <v>160</v>
      </c>
      <c r="I38" t="s">
        <v>128</v>
      </c>
    </row>
    <row r="39" spans="1:10" x14ac:dyDescent="0.25">
      <c r="A39">
        <v>38</v>
      </c>
      <c r="B39">
        <v>1</v>
      </c>
      <c r="C39" s="13">
        <v>2025</v>
      </c>
      <c r="D39" t="s">
        <v>18</v>
      </c>
      <c r="E39" t="s">
        <v>114</v>
      </c>
      <c r="F39" t="s">
        <v>120</v>
      </c>
    </row>
    <row r="40" spans="1:10" x14ac:dyDescent="0.25">
      <c r="A40">
        <v>39</v>
      </c>
      <c r="B40">
        <v>4</v>
      </c>
      <c r="C40" s="13">
        <v>2025</v>
      </c>
      <c r="D40" t="s">
        <v>18</v>
      </c>
      <c r="E40" t="s">
        <v>134</v>
      </c>
      <c r="G40" t="s">
        <v>141</v>
      </c>
      <c r="I40" s="97">
        <v>45779</v>
      </c>
      <c r="J40" t="s">
        <v>602</v>
      </c>
    </row>
    <row r="41" spans="1:10" x14ac:dyDescent="0.25">
      <c r="A41">
        <v>40</v>
      </c>
      <c r="B41">
        <v>2</v>
      </c>
      <c r="C41" s="13">
        <v>2025</v>
      </c>
      <c r="D41" t="s">
        <v>132</v>
      </c>
      <c r="E41" t="s">
        <v>114</v>
      </c>
      <c r="F41" t="s">
        <v>127</v>
      </c>
    </row>
    <row r="42" spans="1:10" x14ac:dyDescent="0.25">
      <c r="A42">
        <v>41</v>
      </c>
      <c r="B42">
        <v>1</v>
      </c>
      <c r="C42" s="13">
        <v>2025</v>
      </c>
      <c r="D42" t="s">
        <v>132</v>
      </c>
      <c r="E42" t="s">
        <v>116</v>
      </c>
      <c r="F42" t="s">
        <v>118</v>
      </c>
    </row>
    <row r="43" spans="1:10" x14ac:dyDescent="0.25">
      <c r="A43">
        <v>42</v>
      </c>
      <c r="B43">
        <v>1</v>
      </c>
      <c r="C43" s="13">
        <v>2025</v>
      </c>
      <c r="D43" t="s">
        <v>143</v>
      </c>
      <c r="E43" t="s">
        <v>144</v>
      </c>
      <c r="F43" t="s">
        <v>120</v>
      </c>
    </row>
    <row r="44" spans="1:10" x14ac:dyDescent="0.25">
      <c r="A44">
        <v>43</v>
      </c>
      <c r="B44">
        <v>2</v>
      </c>
      <c r="C44" s="13">
        <v>2025</v>
      </c>
      <c r="D44" t="s">
        <v>143</v>
      </c>
      <c r="E44" t="s">
        <v>134</v>
      </c>
      <c r="F44" t="s">
        <v>161</v>
      </c>
      <c r="G44" t="s">
        <v>141</v>
      </c>
      <c r="J44" t="s">
        <v>163</v>
      </c>
    </row>
    <row r="45" spans="1:10" x14ac:dyDescent="0.25">
      <c r="A45">
        <v>44</v>
      </c>
      <c r="B45">
        <v>4</v>
      </c>
      <c r="C45" s="13">
        <v>2025</v>
      </c>
      <c r="D45" t="s">
        <v>147</v>
      </c>
      <c r="E45" t="s">
        <v>164</v>
      </c>
      <c r="F45" t="s">
        <v>124</v>
      </c>
    </row>
    <row r="46" spans="1:10" x14ac:dyDescent="0.25">
      <c r="A46">
        <v>45</v>
      </c>
      <c r="B46" t="s">
        <v>122</v>
      </c>
      <c r="C46" s="13">
        <v>2025</v>
      </c>
      <c r="D46" t="s">
        <v>147</v>
      </c>
      <c r="E46" t="s">
        <v>123</v>
      </c>
      <c r="F46" t="s">
        <v>158</v>
      </c>
    </row>
    <row r="47" spans="1:10" x14ac:dyDescent="0.25">
      <c r="A47">
        <v>46</v>
      </c>
      <c r="B47">
        <v>2</v>
      </c>
      <c r="C47" s="13">
        <v>2025</v>
      </c>
      <c r="D47" t="s">
        <v>147</v>
      </c>
      <c r="E47" t="s">
        <v>116</v>
      </c>
      <c r="F47" t="s">
        <v>124</v>
      </c>
    </row>
    <row r="48" spans="1:10" x14ac:dyDescent="0.25">
      <c r="A48">
        <v>47</v>
      </c>
      <c r="B48" t="s">
        <v>122</v>
      </c>
      <c r="C48" s="13">
        <v>2025</v>
      </c>
      <c r="D48" t="s">
        <v>148</v>
      </c>
      <c r="E48" t="s">
        <v>131</v>
      </c>
      <c r="F48" t="s">
        <v>122</v>
      </c>
    </row>
    <row r="49" spans="1:10" x14ac:dyDescent="0.25">
      <c r="A49">
        <v>48</v>
      </c>
      <c r="B49">
        <v>3</v>
      </c>
      <c r="C49" s="13">
        <v>2025</v>
      </c>
      <c r="D49" t="s">
        <v>151</v>
      </c>
      <c r="E49" t="s">
        <v>164</v>
      </c>
      <c r="F49" t="s">
        <v>120</v>
      </c>
    </row>
    <row r="50" spans="1:10" x14ac:dyDescent="0.25">
      <c r="A50">
        <v>49</v>
      </c>
      <c r="B50">
        <v>1</v>
      </c>
      <c r="C50" s="13">
        <v>2025</v>
      </c>
      <c r="D50" t="s">
        <v>151</v>
      </c>
      <c r="E50" t="s">
        <v>134</v>
      </c>
      <c r="F50" t="s">
        <v>169</v>
      </c>
      <c r="J50" t="s">
        <v>162</v>
      </c>
    </row>
    <row r="51" spans="1:10" x14ac:dyDescent="0.25">
      <c r="A51">
        <v>50</v>
      </c>
      <c r="B51">
        <v>4</v>
      </c>
      <c r="C51" s="13">
        <v>2025</v>
      </c>
      <c r="D51" t="s">
        <v>152</v>
      </c>
      <c r="E51" t="s">
        <v>144</v>
      </c>
      <c r="F51" t="s">
        <v>156</v>
      </c>
      <c r="J51" t="s">
        <v>166</v>
      </c>
    </row>
    <row r="52" spans="1:10" x14ac:dyDescent="0.25">
      <c r="A52">
        <v>51</v>
      </c>
      <c r="B52">
        <v>3</v>
      </c>
      <c r="C52" s="13">
        <v>2025</v>
      </c>
      <c r="D52" t="s">
        <v>153</v>
      </c>
      <c r="E52" t="s">
        <v>133</v>
      </c>
      <c r="J52" t="s">
        <v>168</v>
      </c>
    </row>
    <row r="53" spans="1:10" x14ac:dyDescent="0.25">
      <c r="A53">
        <v>52</v>
      </c>
      <c r="B53" t="s">
        <v>122</v>
      </c>
      <c r="C53" s="13">
        <v>2025</v>
      </c>
      <c r="D53" t="s">
        <v>153</v>
      </c>
      <c r="E53" t="s">
        <v>165</v>
      </c>
    </row>
  </sheetData>
  <autoFilter ref="A1:J53"/>
  <customSheetViews>
    <customSheetView guid="{95B9DE93-5E26-48CF-B2F2-F6D6799F59EE}" showPageBreaks="1" printArea="1" showAutoFilter="1" view="pageBreakPreview">
      <selection activeCell="G23" sqref="G23"/>
      <pageMargins left="0.7" right="0.7" top="0.75" bottom="0.75" header="0.3" footer="0.3"/>
      <pageSetup paperSize="9" scale="44" orientation="portrait" r:id="rId1"/>
      <autoFilter ref="A1:J53"/>
    </customSheetView>
  </customSheetViews>
  <pageMargins left="0.7" right="0.7" top="0.75" bottom="0.75" header="0.3" footer="0.3"/>
  <pageSetup paperSize="9" scale="44" orientation="portrait" r:id="rId2"/>
  <drawing r:id="rId3"/>
  <legacyDrawing r:id="rId4"/>
  <controls>
    <mc:AlternateContent xmlns:mc="http://schemas.openxmlformats.org/markup-compatibility/2006">
      <mc:Choice Requires="x14">
        <control shapeId="3073" r:id="rId5" name="CommandButton1">
          <controlPr defaultSize="0" autoLine="0" r:id="rId6">
            <anchor moveWithCells="1">
              <from>
                <xdr:col>10</xdr:col>
                <xdr:colOff>542925</xdr:colOff>
                <xdr:row>29</xdr:row>
                <xdr:rowOff>180975</xdr:rowOff>
              </from>
              <to>
                <xdr:col>12</xdr:col>
                <xdr:colOff>466725</xdr:colOff>
                <xdr:row>31</xdr:row>
                <xdr:rowOff>152400</xdr:rowOff>
              </to>
            </anchor>
          </controlPr>
        </control>
      </mc:Choice>
      <mc:Fallback>
        <control shapeId="3073"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84"/>
  <sheetViews>
    <sheetView view="pageBreakPreview" zoomScaleNormal="100" zoomScaleSheetLayoutView="100" workbookViewId="0">
      <selection activeCell="H9" sqref="H9"/>
    </sheetView>
  </sheetViews>
  <sheetFormatPr defaultRowHeight="15" x14ac:dyDescent="0.25"/>
  <cols>
    <col min="2" max="2" width="27" style="1" bestFit="1" customWidth="1"/>
    <col min="3" max="3" width="27" bestFit="1" customWidth="1"/>
    <col min="4" max="4" width="27" customWidth="1"/>
    <col min="5" max="5" width="13.42578125" style="4" customWidth="1"/>
    <col min="6" max="6" width="43.42578125" customWidth="1"/>
    <col min="7" max="7" width="22.28515625" style="1" customWidth="1"/>
    <col min="8" max="8" width="24.140625" style="1" customWidth="1"/>
    <col min="9" max="9" width="21" style="5" customWidth="1"/>
  </cols>
  <sheetData>
    <row r="1" spans="1:11" x14ac:dyDescent="0.25">
      <c r="A1" s="1" t="s">
        <v>1</v>
      </c>
      <c r="B1" s="1" t="s">
        <v>0</v>
      </c>
      <c r="C1" s="1" t="s">
        <v>2</v>
      </c>
      <c r="D1" s="1" t="s">
        <v>117</v>
      </c>
      <c r="E1" s="3" t="s">
        <v>4</v>
      </c>
      <c r="F1" s="1" t="s">
        <v>3</v>
      </c>
      <c r="G1" s="1" t="s">
        <v>5</v>
      </c>
      <c r="H1" s="1" t="s">
        <v>6</v>
      </c>
      <c r="I1" s="5" t="s">
        <v>7</v>
      </c>
      <c r="J1" s="1" t="s">
        <v>543</v>
      </c>
    </row>
    <row r="2" spans="1:11" x14ac:dyDescent="0.25">
      <c r="A2" s="1">
        <v>1</v>
      </c>
      <c r="B2" s="1">
        <v>1</v>
      </c>
      <c r="C2" s="2" t="s">
        <v>534</v>
      </c>
      <c r="D2" s="2" t="s">
        <v>118</v>
      </c>
      <c r="E2" s="3">
        <v>45321</v>
      </c>
      <c r="F2" s="6" t="s">
        <v>556</v>
      </c>
      <c r="G2" s="1">
        <v>11</v>
      </c>
      <c r="H2" s="1">
        <v>8</v>
      </c>
      <c r="I2" s="5">
        <f>IF(G2="","",(H2/G2))</f>
        <v>0.72727272727272729</v>
      </c>
      <c r="J2" t="s">
        <v>544</v>
      </c>
    </row>
    <row r="3" spans="1:11" x14ac:dyDescent="0.25">
      <c r="A3" s="1">
        <f>IF(B3="","",A2+1)</f>
        <v>2</v>
      </c>
      <c r="B3" s="1">
        <v>4</v>
      </c>
      <c r="C3" s="2" t="s">
        <v>536</v>
      </c>
      <c r="D3" s="2" t="s">
        <v>124</v>
      </c>
      <c r="E3" s="3">
        <v>45351</v>
      </c>
      <c r="F3" s="6" t="s">
        <v>537</v>
      </c>
      <c r="G3" s="1">
        <v>5</v>
      </c>
      <c r="H3" s="1">
        <v>0</v>
      </c>
      <c r="I3" s="5">
        <f t="shared" ref="I3:I66" si="0">IF(G3="","",(H3/G3))</f>
        <v>0</v>
      </c>
      <c r="J3" t="s">
        <v>545</v>
      </c>
      <c r="K3" t="s">
        <v>534</v>
      </c>
    </row>
    <row r="4" spans="1:11" x14ac:dyDescent="0.25">
      <c r="A4" s="1">
        <f t="shared" ref="A4:A67" si="1">IF(B4="","",A3+1)</f>
        <v>3</v>
      </c>
      <c r="B4" s="1">
        <v>2</v>
      </c>
      <c r="C4" s="2" t="s">
        <v>534</v>
      </c>
      <c r="D4" s="2" t="s">
        <v>120</v>
      </c>
      <c r="E4" s="3">
        <v>45372</v>
      </c>
      <c r="F4" s="6" t="s">
        <v>11</v>
      </c>
      <c r="G4" s="1">
        <v>10</v>
      </c>
      <c r="H4" s="1">
        <v>4</v>
      </c>
      <c r="I4" s="5">
        <f t="shared" si="0"/>
        <v>0.4</v>
      </c>
      <c r="J4" t="s">
        <v>546</v>
      </c>
      <c r="K4" t="s">
        <v>535</v>
      </c>
    </row>
    <row r="5" spans="1:11" x14ac:dyDescent="0.25">
      <c r="A5" s="1">
        <f t="shared" si="1"/>
        <v>4</v>
      </c>
      <c r="B5" s="1">
        <v>1</v>
      </c>
      <c r="C5" s="2" t="s">
        <v>535</v>
      </c>
      <c r="D5" s="2" t="s">
        <v>120</v>
      </c>
      <c r="E5" s="3">
        <v>45461</v>
      </c>
      <c r="F5" s="8" t="s">
        <v>8</v>
      </c>
      <c r="G5" s="1">
        <v>9</v>
      </c>
      <c r="H5" s="1">
        <v>3</v>
      </c>
      <c r="I5" s="5">
        <f t="shared" si="0"/>
        <v>0.33333333333333331</v>
      </c>
      <c r="K5" t="s">
        <v>536</v>
      </c>
    </row>
    <row r="6" spans="1:11" x14ac:dyDescent="0.25">
      <c r="A6" s="1">
        <f t="shared" si="1"/>
        <v>5</v>
      </c>
      <c r="B6" s="1">
        <v>4</v>
      </c>
      <c r="C6" s="2" t="s">
        <v>534</v>
      </c>
      <c r="D6" s="2" t="s">
        <v>127</v>
      </c>
      <c r="E6" s="3">
        <v>45481</v>
      </c>
      <c r="F6" s="6" t="s">
        <v>538</v>
      </c>
      <c r="G6" s="1">
        <v>8</v>
      </c>
      <c r="H6" s="1">
        <v>1</v>
      </c>
      <c r="I6" s="5">
        <f t="shared" si="0"/>
        <v>0.125</v>
      </c>
      <c r="J6" t="s">
        <v>547</v>
      </c>
    </row>
    <row r="7" spans="1:11" x14ac:dyDescent="0.25">
      <c r="A7" s="1">
        <f t="shared" si="1"/>
        <v>6</v>
      </c>
      <c r="B7" s="1">
        <v>3</v>
      </c>
      <c r="C7" s="2" t="s">
        <v>536</v>
      </c>
      <c r="D7" s="2" t="s">
        <v>127</v>
      </c>
      <c r="E7" s="3">
        <v>45486</v>
      </c>
      <c r="F7" s="6" t="s">
        <v>539</v>
      </c>
      <c r="G7" s="1">
        <v>10</v>
      </c>
      <c r="H7" s="1">
        <v>9</v>
      </c>
      <c r="I7" s="5">
        <f t="shared" si="0"/>
        <v>0.9</v>
      </c>
      <c r="J7" t="s">
        <v>548</v>
      </c>
    </row>
    <row r="8" spans="1:11" x14ac:dyDescent="0.25">
      <c r="A8" s="1">
        <f t="shared" si="1"/>
        <v>7</v>
      </c>
      <c r="B8" s="1">
        <v>3</v>
      </c>
      <c r="C8" s="2" t="s">
        <v>534</v>
      </c>
      <c r="D8" s="2" t="s">
        <v>124</v>
      </c>
      <c r="E8" s="4">
        <v>45535</v>
      </c>
      <c r="F8" s="6" t="s">
        <v>540</v>
      </c>
      <c r="G8" s="1">
        <v>11</v>
      </c>
      <c r="H8" s="1">
        <v>8</v>
      </c>
      <c r="I8" s="5">
        <f t="shared" si="0"/>
        <v>0.72727272727272729</v>
      </c>
      <c r="J8" t="s">
        <v>549</v>
      </c>
    </row>
    <row r="9" spans="1:11" x14ac:dyDescent="0.25">
      <c r="A9" s="1">
        <f t="shared" si="1"/>
        <v>8</v>
      </c>
      <c r="B9" s="1">
        <v>2</v>
      </c>
      <c r="C9" s="2" t="s">
        <v>534</v>
      </c>
      <c r="D9" s="2" t="s">
        <v>120</v>
      </c>
      <c r="E9" s="4">
        <v>45595</v>
      </c>
      <c r="F9" s="6" t="s">
        <v>541</v>
      </c>
      <c r="G9" s="1">
        <v>10</v>
      </c>
      <c r="H9" s="1">
        <v>8</v>
      </c>
      <c r="I9" s="5">
        <f t="shared" si="0"/>
        <v>0.8</v>
      </c>
      <c r="J9" t="s">
        <v>550</v>
      </c>
    </row>
    <row r="10" spans="1:11" x14ac:dyDescent="0.25">
      <c r="A10" s="1">
        <f t="shared" si="1"/>
        <v>9</v>
      </c>
      <c r="B10" s="1">
        <v>1</v>
      </c>
      <c r="C10" s="2" t="s">
        <v>534</v>
      </c>
      <c r="D10" s="2" t="s">
        <v>120</v>
      </c>
      <c r="E10" s="4">
        <v>45616</v>
      </c>
      <c r="F10" s="6" t="s">
        <v>542</v>
      </c>
      <c r="G10" s="1">
        <v>10</v>
      </c>
      <c r="H10" s="1">
        <v>4</v>
      </c>
      <c r="I10" s="5">
        <f t="shared" si="0"/>
        <v>0.4</v>
      </c>
      <c r="J10" t="s">
        <v>551</v>
      </c>
    </row>
    <row r="11" spans="1:11" x14ac:dyDescent="0.25">
      <c r="A11" s="1">
        <f t="shared" si="1"/>
        <v>10</v>
      </c>
      <c r="B11" s="1">
        <v>1</v>
      </c>
      <c r="C11" s="2" t="s">
        <v>536</v>
      </c>
      <c r="D11" s="2" t="s">
        <v>124</v>
      </c>
      <c r="E11" s="4">
        <v>45666</v>
      </c>
      <c r="F11" s="6" t="s">
        <v>12</v>
      </c>
      <c r="G11" s="1">
        <v>9</v>
      </c>
      <c r="H11" s="1">
        <v>5</v>
      </c>
      <c r="I11" s="5">
        <f t="shared" si="0"/>
        <v>0.55555555555555558</v>
      </c>
      <c r="J11" t="s">
        <v>552</v>
      </c>
    </row>
    <row r="12" spans="1:11" x14ac:dyDescent="0.25">
      <c r="A12" s="1">
        <f t="shared" si="1"/>
        <v>11</v>
      </c>
      <c r="B12" s="1">
        <v>3</v>
      </c>
      <c r="C12" s="2" t="s">
        <v>535</v>
      </c>
      <c r="D12" s="2" t="s">
        <v>124</v>
      </c>
      <c r="E12" s="4">
        <v>45685</v>
      </c>
      <c r="F12" s="6" t="s">
        <v>10</v>
      </c>
      <c r="I12" s="5">
        <v>1</v>
      </c>
      <c r="J12" t="s">
        <v>555</v>
      </c>
    </row>
    <row r="13" spans="1:11" x14ac:dyDescent="0.25">
      <c r="A13" s="1">
        <f t="shared" si="1"/>
        <v>12</v>
      </c>
      <c r="B13" s="1">
        <v>2</v>
      </c>
      <c r="C13" s="2" t="s">
        <v>535</v>
      </c>
      <c r="D13" s="2" t="s">
        <v>124</v>
      </c>
      <c r="E13" s="4">
        <v>45701</v>
      </c>
      <c r="F13" s="6" t="s">
        <v>9</v>
      </c>
      <c r="G13" s="1">
        <v>11</v>
      </c>
      <c r="H13" s="1">
        <v>9</v>
      </c>
      <c r="I13" s="5">
        <f t="shared" si="0"/>
        <v>0.81818181818181823</v>
      </c>
      <c r="J13" t="s">
        <v>553</v>
      </c>
    </row>
    <row r="14" spans="1:11" x14ac:dyDescent="0.25">
      <c r="A14" s="1">
        <f t="shared" si="1"/>
        <v>13</v>
      </c>
      <c r="B14" s="1">
        <v>3</v>
      </c>
      <c r="C14" s="2" t="s">
        <v>534</v>
      </c>
      <c r="D14" s="2" t="s">
        <v>118</v>
      </c>
      <c r="E14" s="4">
        <v>45761</v>
      </c>
      <c r="F14" s="6" t="s">
        <v>533</v>
      </c>
      <c r="G14" s="1">
        <v>16</v>
      </c>
      <c r="H14" s="1">
        <v>4</v>
      </c>
      <c r="I14" s="5">
        <f t="shared" si="0"/>
        <v>0.25</v>
      </c>
      <c r="J14" t="s">
        <v>554</v>
      </c>
    </row>
    <row r="15" spans="1:11" x14ac:dyDescent="0.25">
      <c r="A15" s="1" t="str">
        <f t="shared" si="1"/>
        <v/>
      </c>
      <c r="C15" s="2"/>
      <c r="D15" s="2"/>
      <c r="I15" s="5" t="str">
        <f t="shared" si="0"/>
        <v/>
      </c>
    </row>
    <row r="16" spans="1:11" x14ac:dyDescent="0.25">
      <c r="A16" s="1" t="str">
        <f t="shared" si="1"/>
        <v/>
      </c>
      <c r="C16" s="2"/>
      <c r="D16" s="2"/>
      <c r="I16" s="5" t="str">
        <f t="shared" si="0"/>
        <v/>
      </c>
    </row>
    <row r="17" spans="1:9" x14ac:dyDescent="0.25">
      <c r="A17" s="1" t="str">
        <f t="shared" si="1"/>
        <v/>
      </c>
      <c r="C17" s="2"/>
      <c r="D17" s="2"/>
      <c r="I17" s="5" t="str">
        <f t="shared" si="0"/>
        <v/>
      </c>
    </row>
    <row r="18" spans="1:9" x14ac:dyDescent="0.25">
      <c r="A18" s="1" t="str">
        <f t="shared" si="1"/>
        <v/>
      </c>
      <c r="C18" s="2"/>
      <c r="D18" s="2"/>
      <c r="I18" s="5" t="str">
        <f t="shared" si="0"/>
        <v/>
      </c>
    </row>
    <row r="19" spans="1:9" x14ac:dyDescent="0.25">
      <c r="A19" s="1" t="str">
        <f t="shared" si="1"/>
        <v/>
      </c>
      <c r="C19" s="2"/>
      <c r="D19" s="2"/>
      <c r="I19" s="5" t="str">
        <f t="shared" si="0"/>
        <v/>
      </c>
    </row>
    <row r="20" spans="1:9" x14ac:dyDescent="0.25">
      <c r="A20" s="1" t="str">
        <f t="shared" si="1"/>
        <v/>
      </c>
      <c r="C20" s="2"/>
      <c r="D20" s="2"/>
      <c r="I20" s="5" t="str">
        <f t="shared" si="0"/>
        <v/>
      </c>
    </row>
    <row r="21" spans="1:9" x14ac:dyDescent="0.25">
      <c r="A21" s="1" t="str">
        <f t="shared" si="1"/>
        <v/>
      </c>
      <c r="C21" s="2"/>
      <c r="D21" s="2"/>
      <c r="I21" s="5" t="str">
        <f t="shared" si="0"/>
        <v/>
      </c>
    </row>
    <row r="22" spans="1:9" x14ac:dyDescent="0.25">
      <c r="A22" s="1" t="str">
        <f t="shared" si="1"/>
        <v/>
      </c>
      <c r="C22" s="2"/>
      <c r="D22" s="2"/>
      <c r="I22" s="5" t="str">
        <f t="shared" si="0"/>
        <v/>
      </c>
    </row>
    <row r="23" spans="1:9" x14ac:dyDescent="0.25">
      <c r="A23" s="1" t="str">
        <f t="shared" si="1"/>
        <v/>
      </c>
      <c r="C23" s="2"/>
      <c r="D23" s="2"/>
      <c r="I23" s="5" t="str">
        <f t="shared" si="0"/>
        <v/>
      </c>
    </row>
    <row r="24" spans="1:9" x14ac:dyDescent="0.25">
      <c r="A24" s="1" t="str">
        <f t="shared" si="1"/>
        <v/>
      </c>
      <c r="C24" s="2"/>
      <c r="D24" s="2"/>
      <c r="I24" s="5" t="str">
        <f t="shared" si="0"/>
        <v/>
      </c>
    </row>
    <row r="25" spans="1:9" x14ac:dyDescent="0.25">
      <c r="A25" s="1" t="str">
        <f t="shared" si="1"/>
        <v/>
      </c>
      <c r="C25" s="2"/>
      <c r="D25" s="2"/>
      <c r="F25" s="6"/>
      <c r="I25" s="5" t="str">
        <f t="shared" si="0"/>
        <v/>
      </c>
    </row>
    <row r="26" spans="1:9" x14ac:dyDescent="0.25">
      <c r="A26" s="1" t="str">
        <f t="shared" si="1"/>
        <v/>
      </c>
      <c r="C26" s="2"/>
      <c r="D26" s="2"/>
      <c r="F26" s="6"/>
      <c r="I26" s="5" t="str">
        <f t="shared" si="0"/>
        <v/>
      </c>
    </row>
    <row r="27" spans="1:9" x14ac:dyDescent="0.25">
      <c r="A27" s="1" t="str">
        <f t="shared" si="1"/>
        <v/>
      </c>
      <c r="C27" s="2"/>
      <c r="D27" s="2"/>
      <c r="F27" s="6"/>
      <c r="I27" s="5" t="str">
        <f t="shared" si="0"/>
        <v/>
      </c>
    </row>
    <row r="28" spans="1:9" x14ac:dyDescent="0.25">
      <c r="A28" s="1" t="str">
        <f t="shared" si="1"/>
        <v/>
      </c>
      <c r="C28" s="2"/>
      <c r="D28" s="2"/>
      <c r="I28" s="5" t="str">
        <f t="shared" si="0"/>
        <v/>
      </c>
    </row>
    <row r="29" spans="1:9" x14ac:dyDescent="0.25">
      <c r="A29" s="1" t="str">
        <f t="shared" si="1"/>
        <v/>
      </c>
      <c r="C29" s="2"/>
      <c r="D29" s="2"/>
      <c r="I29" s="5" t="str">
        <f t="shared" si="0"/>
        <v/>
      </c>
    </row>
    <row r="30" spans="1:9" x14ac:dyDescent="0.25">
      <c r="A30" s="1" t="str">
        <f t="shared" si="1"/>
        <v/>
      </c>
      <c r="C30" s="2"/>
      <c r="D30" s="2"/>
      <c r="I30" s="5" t="str">
        <f t="shared" si="0"/>
        <v/>
      </c>
    </row>
    <row r="31" spans="1:9" x14ac:dyDescent="0.25">
      <c r="A31" s="1" t="str">
        <f t="shared" si="1"/>
        <v/>
      </c>
      <c r="C31" s="2"/>
      <c r="D31" s="2"/>
      <c r="I31" s="5" t="str">
        <f t="shared" si="0"/>
        <v/>
      </c>
    </row>
    <row r="32" spans="1:9" x14ac:dyDescent="0.25">
      <c r="A32" s="1" t="str">
        <f t="shared" si="1"/>
        <v/>
      </c>
      <c r="C32" s="2"/>
      <c r="D32" s="2"/>
      <c r="I32" s="5" t="str">
        <f t="shared" si="0"/>
        <v/>
      </c>
    </row>
    <row r="33" spans="1:9" x14ac:dyDescent="0.25">
      <c r="A33" s="1" t="str">
        <f t="shared" si="1"/>
        <v/>
      </c>
      <c r="C33" s="2"/>
      <c r="D33" s="2"/>
      <c r="I33" s="5" t="str">
        <f t="shared" si="0"/>
        <v/>
      </c>
    </row>
    <row r="34" spans="1:9" x14ac:dyDescent="0.25">
      <c r="A34" s="1" t="str">
        <f t="shared" si="1"/>
        <v/>
      </c>
      <c r="C34" s="2"/>
      <c r="D34" s="2"/>
      <c r="I34" s="5" t="str">
        <f t="shared" si="0"/>
        <v/>
      </c>
    </row>
    <row r="35" spans="1:9" x14ac:dyDescent="0.25">
      <c r="A35" s="1" t="str">
        <f t="shared" si="1"/>
        <v/>
      </c>
      <c r="C35" s="2"/>
      <c r="D35" s="2"/>
      <c r="I35" s="5" t="str">
        <f t="shared" si="0"/>
        <v/>
      </c>
    </row>
    <row r="36" spans="1:9" x14ac:dyDescent="0.25">
      <c r="A36" s="1" t="str">
        <f t="shared" si="1"/>
        <v/>
      </c>
      <c r="C36" s="2"/>
      <c r="D36" s="2"/>
      <c r="I36" s="5" t="str">
        <f t="shared" si="0"/>
        <v/>
      </c>
    </row>
    <row r="37" spans="1:9" x14ac:dyDescent="0.25">
      <c r="A37" s="1" t="str">
        <f t="shared" si="1"/>
        <v/>
      </c>
      <c r="C37" s="2"/>
      <c r="D37" s="2"/>
      <c r="I37" s="5" t="str">
        <f t="shared" si="0"/>
        <v/>
      </c>
    </row>
    <row r="38" spans="1:9" x14ac:dyDescent="0.25">
      <c r="A38" s="1" t="str">
        <f t="shared" si="1"/>
        <v/>
      </c>
      <c r="C38" s="2"/>
      <c r="D38" s="2"/>
      <c r="I38" s="5" t="str">
        <f t="shared" si="0"/>
        <v/>
      </c>
    </row>
    <row r="39" spans="1:9" x14ac:dyDescent="0.25">
      <c r="A39" s="1" t="str">
        <f t="shared" si="1"/>
        <v/>
      </c>
      <c r="C39" s="2"/>
      <c r="D39" s="2"/>
      <c r="I39" s="5" t="str">
        <f t="shared" si="0"/>
        <v/>
      </c>
    </row>
    <row r="40" spans="1:9" x14ac:dyDescent="0.25">
      <c r="A40" s="1" t="str">
        <f t="shared" si="1"/>
        <v/>
      </c>
      <c r="C40" s="2"/>
      <c r="D40" s="2"/>
      <c r="I40" s="5" t="str">
        <f t="shared" si="0"/>
        <v/>
      </c>
    </row>
    <row r="41" spans="1:9" x14ac:dyDescent="0.25">
      <c r="A41" s="1" t="str">
        <f t="shared" si="1"/>
        <v/>
      </c>
      <c r="C41" s="2"/>
      <c r="D41" s="2"/>
      <c r="I41" s="5" t="str">
        <f t="shared" si="0"/>
        <v/>
      </c>
    </row>
    <row r="42" spans="1:9" x14ac:dyDescent="0.25">
      <c r="A42" s="1" t="str">
        <f t="shared" si="1"/>
        <v/>
      </c>
      <c r="C42" s="2"/>
      <c r="D42" s="2"/>
      <c r="I42" s="5" t="str">
        <f t="shared" si="0"/>
        <v/>
      </c>
    </row>
    <row r="43" spans="1:9" x14ac:dyDescent="0.25">
      <c r="A43" s="1" t="str">
        <f t="shared" si="1"/>
        <v/>
      </c>
      <c r="C43" s="2"/>
      <c r="D43" s="2"/>
      <c r="I43" s="5" t="str">
        <f t="shared" si="0"/>
        <v/>
      </c>
    </row>
    <row r="44" spans="1:9" x14ac:dyDescent="0.25">
      <c r="A44" s="1" t="str">
        <f t="shared" si="1"/>
        <v/>
      </c>
      <c r="C44" s="2"/>
      <c r="D44" s="2"/>
      <c r="I44" s="5" t="str">
        <f t="shared" si="0"/>
        <v/>
      </c>
    </row>
    <row r="45" spans="1:9" x14ac:dyDescent="0.25">
      <c r="A45" s="1" t="str">
        <f t="shared" si="1"/>
        <v/>
      </c>
      <c r="C45" s="2"/>
      <c r="D45" s="2"/>
      <c r="I45" s="5" t="str">
        <f t="shared" si="0"/>
        <v/>
      </c>
    </row>
    <row r="46" spans="1:9" x14ac:dyDescent="0.25">
      <c r="A46" s="1" t="str">
        <f t="shared" si="1"/>
        <v/>
      </c>
      <c r="C46" s="2"/>
      <c r="D46" s="2"/>
      <c r="I46" s="5" t="str">
        <f t="shared" si="0"/>
        <v/>
      </c>
    </row>
    <row r="47" spans="1:9" x14ac:dyDescent="0.25">
      <c r="A47" s="1" t="str">
        <f t="shared" si="1"/>
        <v/>
      </c>
      <c r="C47" s="2"/>
      <c r="D47" s="2"/>
      <c r="I47" s="5" t="str">
        <f t="shared" si="0"/>
        <v/>
      </c>
    </row>
    <row r="48" spans="1:9" x14ac:dyDescent="0.25">
      <c r="A48" s="1" t="str">
        <f t="shared" si="1"/>
        <v/>
      </c>
      <c r="C48" s="2"/>
      <c r="D48" s="2"/>
      <c r="I48" s="5" t="str">
        <f t="shared" si="0"/>
        <v/>
      </c>
    </row>
    <row r="49" spans="1:9" x14ac:dyDescent="0.25">
      <c r="A49" s="1" t="str">
        <f t="shared" si="1"/>
        <v/>
      </c>
      <c r="C49" s="2"/>
      <c r="D49" s="2"/>
      <c r="I49" s="5" t="str">
        <f t="shared" si="0"/>
        <v/>
      </c>
    </row>
    <row r="50" spans="1:9" x14ac:dyDescent="0.25">
      <c r="A50" s="1" t="str">
        <f t="shared" si="1"/>
        <v/>
      </c>
      <c r="C50" s="2"/>
      <c r="D50" s="2"/>
      <c r="I50" s="5" t="str">
        <f t="shared" si="0"/>
        <v/>
      </c>
    </row>
    <row r="51" spans="1:9" x14ac:dyDescent="0.25">
      <c r="A51" s="1" t="str">
        <f t="shared" si="1"/>
        <v/>
      </c>
      <c r="C51" s="2"/>
      <c r="D51" s="2"/>
      <c r="I51" s="5" t="str">
        <f t="shared" si="0"/>
        <v/>
      </c>
    </row>
    <row r="52" spans="1:9" x14ac:dyDescent="0.25">
      <c r="A52" s="1" t="str">
        <f t="shared" si="1"/>
        <v/>
      </c>
      <c r="C52" s="2"/>
      <c r="D52" s="2"/>
      <c r="I52" s="5" t="str">
        <f t="shared" si="0"/>
        <v/>
      </c>
    </row>
    <row r="53" spans="1:9" x14ac:dyDescent="0.25">
      <c r="A53" s="1" t="str">
        <f t="shared" si="1"/>
        <v/>
      </c>
      <c r="C53" s="2"/>
      <c r="D53" s="2"/>
      <c r="I53" s="5" t="str">
        <f t="shared" si="0"/>
        <v/>
      </c>
    </row>
    <row r="54" spans="1:9" x14ac:dyDescent="0.25">
      <c r="A54" s="1" t="str">
        <f t="shared" si="1"/>
        <v/>
      </c>
      <c r="C54" s="2"/>
      <c r="D54" s="2"/>
      <c r="I54" s="5" t="str">
        <f t="shared" si="0"/>
        <v/>
      </c>
    </row>
    <row r="55" spans="1:9" x14ac:dyDescent="0.25">
      <c r="A55" s="1" t="str">
        <f t="shared" si="1"/>
        <v/>
      </c>
      <c r="C55" s="2"/>
      <c r="D55" s="2"/>
      <c r="I55" s="5" t="str">
        <f t="shared" si="0"/>
        <v/>
      </c>
    </row>
    <row r="56" spans="1:9" x14ac:dyDescent="0.25">
      <c r="A56" s="1" t="str">
        <f t="shared" si="1"/>
        <v/>
      </c>
      <c r="C56" s="2"/>
      <c r="D56" s="2"/>
      <c r="I56" s="5" t="str">
        <f t="shared" si="0"/>
        <v/>
      </c>
    </row>
    <row r="57" spans="1:9" x14ac:dyDescent="0.25">
      <c r="A57" s="1" t="str">
        <f t="shared" si="1"/>
        <v/>
      </c>
      <c r="C57" s="2"/>
      <c r="D57" s="2"/>
      <c r="I57" s="5" t="str">
        <f t="shared" si="0"/>
        <v/>
      </c>
    </row>
    <row r="58" spans="1:9" x14ac:dyDescent="0.25">
      <c r="A58" s="1" t="str">
        <f t="shared" si="1"/>
        <v/>
      </c>
      <c r="C58" s="2"/>
      <c r="D58" s="2"/>
      <c r="I58" s="5" t="str">
        <f t="shared" si="0"/>
        <v/>
      </c>
    </row>
    <row r="59" spans="1:9" x14ac:dyDescent="0.25">
      <c r="A59" s="1" t="str">
        <f t="shared" si="1"/>
        <v/>
      </c>
      <c r="C59" s="2"/>
      <c r="D59" s="2"/>
      <c r="I59" s="5" t="str">
        <f t="shared" si="0"/>
        <v/>
      </c>
    </row>
    <row r="60" spans="1:9" x14ac:dyDescent="0.25">
      <c r="A60" s="1" t="str">
        <f t="shared" si="1"/>
        <v/>
      </c>
      <c r="C60" s="2"/>
      <c r="D60" s="2"/>
      <c r="I60" s="5" t="str">
        <f t="shared" si="0"/>
        <v/>
      </c>
    </row>
    <row r="61" spans="1:9" x14ac:dyDescent="0.25">
      <c r="A61" s="1" t="str">
        <f t="shared" si="1"/>
        <v/>
      </c>
      <c r="C61" s="2"/>
      <c r="D61" s="2"/>
      <c r="I61" s="5" t="str">
        <f t="shared" si="0"/>
        <v/>
      </c>
    </row>
    <row r="62" spans="1:9" x14ac:dyDescent="0.25">
      <c r="A62" s="1" t="str">
        <f t="shared" si="1"/>
        <v/>
      </c>
      <c r="C62" s="2"/>
      <c r="D62" s="2"/>
      <c r="I62" s="5" t="str">
        <f t="shared" si="0"/>
        <v/>
      </c>
    </row>
    <row r="63" spans="1:9" x14ac:dyDescent="0.25">
      <c r="A63" s="1" t="str">
        <f t="shared" si="1"/>
        <v/>
      </c>
      <c r="C63" s="2"/>
      <c r="D63" s="2"/>
      <c r="I63" s="5" t="str">
        <f t="shared" si="0"/>
        <v/>
      </c>
    </row>
    <row r="64" spans="1:9" x14ac:dyDescent="0.25">
      <c r="A64" s="1" t="str">
        <f t="shared" si="1"/>
        <v/>
      </c>
      <c r="B64" s="7"/>
      <c r="C64" s="2"/>
      <c r="D64" s="2"/>
      <c r="I64" s="5" t="str">
        <f t="shared" si="0"/>
        <v/>
      </c>
    </row>
    <row r="65" spans="1:9" x14ac:dyDescent="0.25">
      <c r="A65" s="1" t="str">
        <f t="shared" si="1"/>
        <v/>
      </c>
      <c r="B65" s="7"/>
      <c r="C65" s="2"/>
      <c r="D65" s="2"/>
      <c r="I65" s="5" t="str">
        <f t="shared" si="0"/>
        <v/>
      </c>
    </row>
    <row r="66" spans="1:9" x14ac:dyDescent="0.25">
      <c r="A66" s="1" t="str">
        <f t="shared" si="1"/>
        <v/>
      </c>
      <c r="B66" s="7"/>
      <c r="C66" s="2"/>
      <c r="D66" s="2"/>
      <c r="I66" s="5" t="str">
        <f t="shared" si="0"/>
        <v/>
      </c>
    </row>
    <row r="67" spans="1:9" x14ac:dyDescent="0.25">
      <c r="A67" s="1" t="str">
        <f t="shared" si="1"/>
        <v/>
      </c>
      <c r="B67" s="7"/>
      <c r="C67" s="2"/>
      <c r="D67" s="2"/>
      <c r="I67" s="5" t="str">
        <f t="shared" ref="I67:I84" si="2">IF(G67="","",(H67/G67))</f>
        <v/>
      </c>
    </row>
    <row r="68" spans="1:9" x14ac:dyDescent="0.25">
      <c r="A68" s="1" t="str">
        <f t="shared" ref="A68:A84" si="3">IF(B68="","",A67+1)</f>
        <v/>
      </c>
      <c r="B68" s="7"/>
      <c r="C68" s="2"/>
      <c r="D68" s="2"/>
      <c r="I68" s="5" t="str">
        <f t="shared" si="2"/>
        <v/>
      </c>
    </row>
    <row r="69" spans="1:9" x14ac:dyDescent="0.25">
      <c r="A69" s="1" t="str">
        <f t="shared" si="3"/>
        <v/>
      </c>
      <c r="B69" s="7"/>
      <c r="C69" s="2"/>
      <c r="D69" s="2"/>
      <c r="I69" s="5" t="str">
        <f t="shared" si="2"/>
        <v/>
      </c>
    </row>
    <row r="70" spans="1:9" x14ac:dyDescent="0.25">
      <c r="A70" s="1" t="str">
        <f t="shared" si="3"/>
        <v/>
      </c>
      <c r="B70" s="7"/>
      <c r="C70" s="2"/>
      <c r="D70" s="2"/>
      <c r="I70" s="5" t="str">
        <f t="shared" si="2"/>
        <v/>
      </c>
    </row>
    <row r="71" spans="1:9" x14ac:dyDescent="0.25">
      <c r="A71" s="1" t="str">
        <f t="shared" si="3"/>
        <v/>
      </c>
      <c r="B71" s="7"/>
      <c r="C71" s="2"/>
      <c r="D71" s="2"/>
      <c r="I71" s="5" t="str">
        <f t="shared" si="2"/>
        <v/>
      </c>
    </row>
    <row r="72" spans="1:9" x14ac:dyDescent="0.25">
      <c r="A72" s="1" t="str">
        <f t="shared" si="3"/>
        <v/>
      </c>
      <c r="B72" s="7"/>
      <c r="C72" s="2"/>
      <c r="D72" s="2"/>
      <c r="I72" s="5" t="str">
        <f t="shared" si="2"/>
        <v/>
      </c>
    </row>
    <row r="73" spans="1:9" x14ac:dyDescent="0.25">
      <c r="A73" s="1" t="str">
        <f t="shared" si="3"/>
        <v/>
      </c>
      <c r="B73" s="7"/>
      <c r="C73" s="2"/>
      <c r="D73" s="2"/>
      <c r="I73" s="5" t="str">
        <f t="shared" si="2"/>
        <v/>
      </c>
    </row>
    <row r="74" spans="1:9" x14ac:dyDescent="0.25">
      <c r="A74" s="1" t="str">
        <f t="shared" si="3"/>
        <v/>
      </c>
      <c r="B74" s="7"/>
      <c r="C74" s="2"/>
      <c r="D74" s="2"/>
      <c r="I74" s="5" t="str">
        <f t="shared" si="2"/>
        <v/>
      </c>
    </row>
    <row r="75" spans="1:9" x14ac:dyDescent="0.25">
      <c r="A75" s="1" t="str">
        <f t="shared" si="3"/>
        <v/>
      </c>
      <c r="B75" s="7"/>
      <c r="C75" s="2"/>
      <c r="D75" s="2"/>
      <c r="I75" s="5" t="str">
        <f t="shared" si="2"/>
        <v/>
      </c>
    </row>
    <row r="76" spans="1:9" x14ac:dyDescent="0.25">
      <c r="A76" s="1" t="str">
        <f t="shared" si="3"/>
        <v/>
      </c>
      <c r="B76" s="7"/>
      <c r="C76" s="2"/>
      <c r="D76" s="2"/>
      <c r="I76" s="5" t="str">
        <f t="shared" si="2"/>
        <v/>
      </c>
    </row>
    <row r="77" spans="1:9" x14ac:dyDescent="0.25">
      <c r="A77" s="1" t="str">
        <f t="shared" si="3"/>
        <v/>
      </c>
      <c r="B77" s="7"/>
      <c r="C77" s="2"/>
      <c r="D77" s="2"/>
      <c r="I77" s="5" t="str">
        <f t="shared" si="2"/>
        <v/>
      </c>
    </row>
    <row r="78" spans="1:9" x14ac:dyDescent="0.25">
      <c r="A78" s="1" t="str">
        <f t="shared" si="3"/>
        <v/>
      </c>
      <c r="B78" s="7"/>
      <c r="C78" s="2"/>
      <c r="D78" s="2"/>
      <c r="I78" s="5" t="str">
        <f t="shared" si="2"/>
        <v/>
      </c>
    </row>
    <row r="79" spans="1:9" x14ac:dyDescent="0.25">
      <c r="A79" s="1" t="str">
        <f t="shared" si="3"/>
        <v/>
      </c>
      <c r="B79" s="7"/>
      <c r="C79" s="2"/>
      <c r="D79" s="2"/>
      <c r="I79" s="5" t="str">
        <f t="shared" si="2"/>
        <v/>
      </c>
    </row>
    <row r="80" spans="1:9" x14ac:dyDescent="0.25">
      <c r="A80" s="1" t="str">
        <f t="shared" si="3"/>
        <v/>
      </c>
      <c r="B80" s="7"/>
      <c r="C80" s="2"/>
      <c r="D80" s="2"/>
      <c r="I80" s="5" t="str">
        <f t="shared" si="2"/>
        <v/>
      </c>
    </row>
    <row r="81" spans="1:9" x14ac:dyDescent="0.25">
      <c r="A81" s="1" t="str">
        <f t="shared" si="3"/>
        <v/>
      </c>
      <c r="B81" s="7"/>
      <c r="C81" s="2"/>
      <c r="D81" s="2"/>
      <c r="I81" s="5" t="str">
        <f t="shared" si="2"/>
        <v/>
      </c>
    </row>
    <row r="82" spans="1:9" x14ac:dyDescent="0.25">
      <c r="A82" s="1" t="str">
        <f t="shared" si="3"/>
        <v/>
      </c>
      <c r="B82" s="7"/>
      <c r="C82" s="2"/>
      <c r="D82" s="2"/>
      <c r="I82" s="5" t="str">
        <f t="shared" si="2"/>
        <v/>
      </c>
    </row>
    <row r="83" spans="1:9" x14ac:dyDescent="0.25">
      <c r="A83" s="1" t="str">
        <f t="shared" si="3"/>
        <v/>
      </c>
      <c r="B83" s="7"/>
      <c r="C83" s="2"/>
      <c r="D83" s="2"/>
      <c r="I83" s="5" t="str">
        <f t="shared" si="2"/>
        <v/>
      </c>
    </row>
    <row r="84" spans="1:9" x14ac:dyDescent="0.25">
      <c r="A84" s="1" t="str">
        <f t="shared" si="3"/>
        <v/>
      </c>
      <c r="B84" s="7"/>
      <c r="C84" s="2"/>
      <c r="D84" s="2"/>
      <c r="I84" s="5" t="str">
        <f t="shared" si="2"/>
        <v/>
      </c>
    </row>
  </sheetData>
  <customSheetViews>
    <customSheetView guid="{95B9DE93-5E26-48CF-B2F2-F6D6799F59EE}" showPageBreaks="1" printArea="1" view="pageBreakPreview">
      <selection activeCell="F30" sqref="F30"/>
      <pageMargins left="0.7" right="0.7" top="0.75" bottom="0.75" header="0.3" footer="0.3"/>
      <pageSetup paperSize="9" scale="41" orientation="portrait" r:id="rId1"/>
    </customSheetView>
  </customSheetViews>
  <dataValidations count="1">
    <dataValidation type="list" allowBlank="1" showInputMessage="1" showErrorMessage="1" sqref="C2:C84">
      <formula1>$K$3:$K$6</formula1>
    </dataValidation>
  </dataValidations>
  <hyperlinks>
    <hyperlink ref="F11" r:id="rId2"/>
    <hyperlink ref="F13" r:id="rId3"/>
    <hyperlink ref="F2" r:id="rId4" display="20240130 - VE03 cold leg declogging"/>
    <hyperlink ref="F3" r:id="rId5" display="20240229 - 111BC02-04 Catcher Cleanup (ISA with Contractors)"/>
    <hyperlink ref="F4" r:id="rId6" display="20240321 - 106ML02 operation"/>
    <hyperlink ref="F6" r:id="rId7" display="20240708 - 108TK04 Sampling using newly fabricated scoop"/>
    <hyperlink ref="F7" r:id="rId8" display="20240713 - 114 flocculant charging (ISA)"/>
    <hyperlink ref="F8" r:id="rId9" display="20240831 - 111PU02-03 suction strainer clean up"/>
    <hyperlink ref="F9" r:id="rId10" display="20241030 - Polishing cloth rewashing"/>
    <hyperlink ref="F10" r:id="rId11" display="20241129 - Polishing Filter Cloth Cutting"/>
    <hyperlink ref="F14" r:id="rId12"/>
    <hyperlink ref="F12" r:id="rId13"/>
  </hyperlinks>
  <pageMargins left="0.7" right="0.7" top="0.75" bottom="0.75" header="0.3" footer="0.3"/>
  <pageSetup paperSize="9" scale="39" orientation="portrait" r:id="rId14"/>
  <drawing r:id="rId15"/>
  <legacyDrawing r:id="rId16"/>
  <controls>
    <mc:AlternateContent xmlns:mc="http://schemas.openxmlformats.org/markup-compatibility/2006">
      <mc:Choice Requires="x14">
        <control shapeId="1027" r:id="rId17" name="CommandButton2">
          <controlPr defaultSize="0" print="0" autoLine="0" r:id="rId18">
            <anchor moveWithCells="1">
              <from>
                <xdr:col>2</xdr:col>
                <xdr:colOff>342900</xdr:colOff>
                <xdr:row>28</xdr:row>
                <xdr:rowOff>171450</xdr:rowOff>
              </from>
              <to>
                <xdr:col>2</xdr:col>
                <xdr:colOff>1228725</xdr:colOff>
                <xdr:row>31</xdr:row>
                <xdr:rowOff>19050</xdr:rowOff>
              </to>
            </anchor>
          </controlPr>
        </control>
      </mc:Choice>
      <mc:Fallback>
        <control shapeId="1027" r:id="rId17" name="CommandButton2"/>
      </mc:Fallback>
    </mc:AlternateContent>
    <mc:AlternateContent xmlns:mc="http://schemas.openxmlformats.org/markup-compatibility/2006">
      <mc:Choice Requires="x14">
        <control shapeId="1025" r:id="rId19" name="CommandButton1">
          <controlPr defaultSize="0" print="0" autoLine="0" r:id="rId20">
            <anchor moveWithCells="1">
              <from>
                <xdr:col>1</xdr:col>
                <xdr:colOff>190500</xdr:colOff>
                <xdr:row>28</xdr:row>
                <xdr:rowOff>123825</xdr:rowOff>
              </from>
              <to>
                <xdr:col>1</xdr:col>
                <xdr:colOff>1724025</xdr:colOff>
                <xdr:row>31</xdr:row>
                <xdr:rowOff>114300</xdr:rowOff>
              </to>
            </anchor>
          </controlPr>
        </control>
      </mc:Choice>
      <mc:Fallback>
        <control shapeId="1025" r:id="rId19"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98"/>
  <sheetViews>
    <sheetView view="pageBreakPreview" zoomScaleNormal="100" zoomScaleSheetLayoutView="100" workbookViewId="0">
      <pane ySplit="1" topLeftCell="A68" activePane="bottomLeft" state="frozen"/>
      <selection pane="bottomLeft" activeCell="F88" sqref="F88"/>
    </sheetView>
  </sheetViews>
  <sheetFormatPr defaultRowHeight="15" x14ac:dyDescent="0.25"/>
  <cols>
    <col min="1" max="1" width="3.85546875" bestFit="1" customWidth="1"/>
    <col min="2" max="2" width="9.28515625" bestFit="1" customWidth="1"/>
    <col min="3" max="3" width="52" bestFit="1" customWidth="1"/>
    <col min="4" max="4" width="53.5703125" bestFit="1" customWidth="1"/>
    <col min="5" max="5" width="45" bestFit="1" customWidth="1"/>
    <col min="6" max="6" width="12.42578125" customWidth="1"/>
    <col min="7" max="7" width="21.42578125" bestFit="1" customWidth="1"/>
    <col min="8" max="8" width="26.140625" bestFit="1" customWidth="1"/>
    <col min="9" max="9" width="27.5703125" customWidth="1"/>
    <col min="10" max="10" width="26.140625" bestFit="1" customWidth="1"/>
    <col min="11" max="11" width="21.85546875" bestFit="1" customWidth="1"/>
    <col min="12" max="12" width="21.85546875" style="1" customWidth="1"/>
  </cols>
  <sheetData>
    <row r="1" spans="1:13" ht="74.25" customHeight="1" x14ac:dyDescent="0.25">
      <c r="A1" s="17" t="s">
        <v>1</v>
      </c>
      <c r="B1" s="18" t="s">
        <v>173</v>
      </c>
      <c r="C1" s="19" t="s">
        <v>174</v>
      </c>
      <c r="D1" s="25" t="s">
        <v>175</v>
      </c>
      <c r="E1" s="25" t="s">
        <v>176</v>
      </c>
      <c r="F1" s="27" t="s">
        <v>177</v>
      </c>
      <c r="G1" s="27" t="s">
        <v>178</v>
      </c>
      <c r="H1" s="27" t="s">
        <v>179</v>
      </c>
      <c r="I1" s="27" t="s">
        <v>180</v>
      </c>
      <c r="J1" s="26" t="s">
        <v>241</v>
      </c>
      <c r="K1" s="26" t="s">
        <v>117</v>
      </c>
      <c r="L1" s="26" t="s">
        <v>264</v>
      </c>
      <c r="M1" s="23" t="s">
        <v>263</v>
      </c>
    </row>
    <row r="2" spans="1:13" x14ac:dyDescent="0.25">
      <c r="A2" s="17">
        <v>1</v>
      </c>
      <c r="B2" s="20">
        <v>45664</v>
      </c>
      <c r="C2" s="21" t="s">
        <v>181</v>
      </c>
      <c r="D2" s="21" t="s">
        <v>182</v>
      </c>
      <c r="E2" s="21" t="s">
        <v>183</v>
      </c>
      <c r="F2" s="21" t="s">
        <v>120</v>
      </c>
      <c r="G2" s="21" t="s">
        <v>27</v>
      </c>
      <c r="H2" s="21" t="s">
        <v>90</v>
      </c>
      <c r="I2" s="21" t="s">
        <v>88</v>
      </c>
      <c r="J2" t="s">
        <v>65</v>
      </c>
      <c r="K2" t="s">
        <v>127</v>
      </c>
      <c r="L2" s="1">
        <f t="shared" ref="L2:L37" si="0">COUNTIF($G$2:$I$97,J2)</f>
        <v>0</v>
      </c>
      <c r="M2" t="s">
        <v>261</v>
      </c>
    </row>
    <row r="3" spans="1:13" x14ac:dyDescent="0.25">
      <c r="A3" s="17">
        <f>IF(B3="","",A2+1)</f>
        <v>2</v>
      </c>
      <c r="B3" s="20">
        <v>45665</v>
      </c>
      <c r="C3" s="21" t="s">
        <v>181</v>
      </c>
      <c r="D3" s="21" t="s">
        <v>182</v>
      </c>
      <c r="E3" s="21" t="s">
        <v>184</v>
      </c>
      <c r="F3" s="21" t="s">
        <v>127</v>
      </c>
      <c r="G3" s="21" t="s">
        <v>64</v>
      </c>
      <c r="H3" s="21"/>
      <c r="I3" s="21" t="s">
        <v>83</v>
      </c>
      <c r="J3" t="s">
        <v>97</v>
      </c>
      <c r="K3" t="s">
        <v>118</v>
      </c>
      <c r="L3" s="1">
        <f t="shared" si="0"/>
        <v>2</v>
      </c>
      <c r="M3" t="s">
        <v>262</v>
      </c>
    </row>
    <row r="4" spans="1:13" x14ac:dyDescent="0.25">
      <c r="A4" s="17">
        <f t="shared" ref="A4:A67" si="1">IF(B4="","",A3+1)</f>
        <v>3</v>
      </c>
      <c r="B4" s="20">
        <v>45666</v>
      </c>
      <c r="C4" s="21" t="s">
        <v>188</v>
      </c>
      <c r="D4" s="21"/>
      <c r="E4" s="21" t="s">
        <v>265</v>
      </c>
      <c r="F4" s="21" t="s">
        <v>118</v>
      </c>
      <c r="G4" s="21" t="s">
        <v>244</v>
      </c>
      <c r="H4" s="21" t="s">
        <v>97</v>
      </c>
      <c r="I4" s="21"/>
      <c r="J4" t="s">
        <v>244</v>
      </c>
      <c r="K4" t="s">
        <v>261</v>
      </c>
      <c r="L4" s="1">
        <f t="shared" si="0"/>
        <v>3</v>
      </c>
      <c r="M4" t="s">
        <v>120</v>
      </c>
    </row>
    <row r="5" spans="1:13" x14ac:dyDescent="0.25">
      <c r="A5" s="17">
        <f t="shared" si="1"/>
        <v>4</v>
      </c>
      <c r="B5" s="20">
        <v>45667</v>
      </c>
      <c r="C5" s="21" t="s">
        <v>181</v>
      </c>
      <c r="D5" s="21" t="s">
        <v>182</v>
      </c>
      <c r="E5" s="21" t="s">
        <v>185</v>
      </c>
      <c r="F5" s="21" t="s">
        <v>124</v>
      </c>
      <c r="G5" s="21"/>
      <c r="H5" s="21"/>
      <c r="I5" s="21" t="s">
        <v>60</v>
      </c>
      <c r="J5" t="s">
        <v>52</v>
      </c>
      <c r="K5" t="s">
        <v>120</v>
      </c>
      <c r="L5" s="1">
        <f t="shared" si="0"/>
        <v>0</v>
      </c>
      <c r="M5" t="s">
        <v>118</v>
      </c>
    </row>
    <row r="6" spans="1:13" x14ac:dyDescent="0.25">
      <c r="A6" s="17">
        <f t="shared" si="1"/>
        <v>5</v>
      </c>
      <c r="B6" s="20">
        <v>45668</v>
      </c>
      <c r="C6" s="21" t="s">
        <v>181</v>
      </c>
      <c r="D6" s="21" t="s">
        <v>182</v>
      </c>
      <c r="E6" s="21" t="s">
        <v>185</v>
      </c>
      <c r="F6" s="21" t="s">
        <v>118</v>
      </c>
      <c r="G6" s="21" t="s">
        <v>35</v>
      </c>
      <c r="H6" s="21" t="s">
        <v>97</v>
      </c>
      <c r="I6" s="21" t="s">
        <v>54</v>
      </c>
      <c r="J6" t="s">
        <v>60</v>
      </c>
      <c r="K6" t="s">
        <v>124</v>
      </c>
      <c r="L6" s="1">
        <f t="shared" si="0"/>
        <v>2</v>
      </c>
      <c r="M6" t="s">
        <v>127</v>
      </c>
    </row>
    <row r="7" spans="1:13" x14ac:dyDescent="0.25">
      <c r="A7" s="17">
        <f t="shared" si="1"/>
        <v>6</v>
      </c>
      <c r="B7" s="20">
        <v>45669</v>
      </c>
      <c r="C7" s="21" t="s">
        <v>181</v>
      </c>
      <c r="D7" s="21" t="s">
        <v>186</v>
      </c>
      <c r="E7" s="21" t="s">
        <v>122</v>
      </c>
      <c r="F7" s="21" t="s">
        <v>262</v>
      </c>
      <c r="G7" s="21" t="s">
        <v>26</v>
      </c>
      <c r="H7" s="21" t="s">
        <v>87</v>
      </c>
      <c r="I7" s="21" t="s">
        <v>47</v>
      </c>
      <c r="J7" t="s">
        <v>56</v>
      </c>
      <c r="K7" t="s">
        <v>118</v>
      </c>
      <c r="L7" s="1">
        <f t="shared" si="0"/>
        <v>2</v>
      </c>
      <c r="M7" t="s">
        <v>124</v>
      </c>
    </row>
    <row r="8" spans="1:13" x14ac:dyDescent="0.25">
      <c r="A8" s="17">
        <f t="shared" si="1"/>
        <v>7</v>
      </c>
      <c r="B8" s="20">
        <v>45670</v>
      </c>
      <c r="C8" s="21" t="s">
        <v>181</v>
      </c>
      <c r="D8" s="21" t="s">
        <v>182</v>
      </c>
      <c r="E8" s="21" t="s">
        <v>187</v>
      </c>
      <c r="F8" s="21" t="s">
        <v>261</v>
      </c>
      <c r="G8" s="21" t="s">
        <v>242</v>
      </c>
      <c r="H8" s="21" t="s">
        <v>250</v>
      </c>
      <c r="I8" s="21"/>
      <c r="J8" t="s">
        <v>41</v>
      </c>
      <c r="K8" t="s">
        <v>124</v>
      </c>
      <c r="L8" s="1">
        <f t="shared" si="0"/>
        <v>3</v>
      </c>
    </row>
    <row r="9" spans="1:13" x14ac:dyDescent="0.25">
      <c r="A9" s="17">
        <f t="shared" si="1"/>
        <v>8</v>
      </c>
      <c r="B9" s="20">
        <v>45671</v>
      </c>
      <c r="C9" s="21" t="s">
        <v>188</v>
      </c>
      <c r="D9" s="21" t="s">
        <v>189</v>
      </c>
      <c r="E9" s="21" t="s">
        <v>190</v>
      </c>
      <c r="F9" s="21" t="s">
        <v>120</v>
      </c>
      <c r="G9" s="21"/>
      <c r="H9" s="21"/>
      <c r="I9" s="21"/>
      <c r="J9" t="s">
        <v>50</v>
      </c>
      <c r="K9" t="s">
        <v>120</v>
      </c>
      <c r="L9" s="1">
        <f t="shared" si="0"/>
        <v>1</v>
      </c>
    </row>
    <row r="10" spans="1:13" x14ac:dyDescent="0.25">
      <c r="A10" s="17">
        <f t="shared" si="1"/>
        <v>9</v>
      </c>
      <c r="B10" s="20">
        <v>45672</v>
      </c>
      <c r="C10" s="21" t="s">
        <v>188</v>
      </c>
      <c r="D10" s="21" t="s">
        <v>189</v>
      </c>
      <c r="E10" s="21" t="s">
        <v>122</v>
      </c>
      <c r="F10" s="21" t="s">
        <v>127</v>
      </c>
      <c r="G10" s="21"/>
      <c r="H10" s="21"/>
      <c r="I10" s="21"/>
      <c r="J10" t="s">
        <v>30</v>
      </c>
      <c r="K10" t="s">
        <v>120</v>
      </c>
      <c r="L10" s="1">
        <f t="shared" si="0"/>
        <v>0</v>
      </c>
    </row>
    <row r="11" spans="1:13" x14ac:dyDescent="0.25">
      <c r="A11" s="17">
        <f t="shared" si="1"/>
        <v>10</v>
      </c>
      <c r="B11" s="20">
        <v>45673</v>
      </c>
      <c r="C11" s="21" t="s">
        <v>188</v>
      </c>
      <c r="D11" s="21" t="s">
        <v>191</v>
      </c>
      <c r="E11" s="21" t="s">
        <v>122</v>
      </c>
      <c r="F11" s="21" t="s">
        <v>118</v>
      </c>
      <c r="G11" s="21"/>
      <c r="H11" s="21"/>
      <c r="I11" s="21" t="s">
        <v>36</v>
      </c>
      <c r="J11" t="s">
        <v>259</v>
      </c>
      <c r="K11" t="s">
        <v>118</v>
      </c>
      <c r="L11" s="1">
        <f t="shared" si="0"/>
        <v>1</v>
      </c>
    </row>
    <row r="12" spans="1:13" x14ac:dyDescent="0.25">
      <c r="A12" s="17">
        <f t="shared" si="1"/>
        <v>11</v>
      </c>
      <c r="B12" s="20">
        <v>45674</v>
      </c>
      <c r="C12" s="21" t="s">
        <v>188</v>
      </c>
      <c r="D12" s="21" t="s">
        <v>192</v>
      </c>
      <c r="E12" s="21" t="s">
        <v>122</v>
      </c>
      <c r="F12" s="21" t="s">
        <v>124</v>
      </c>
      <c r="G12" s="21" t="s">
        <v>102</v>
      </c>
      <c r="H12" s="21" t="s">
        <v>62</v>
      </c>
      <c r="I12" s="21" t="s">
        <v>41</v>
      </c>
      <c r="J12" t="s">
        <v>32</v>
      </c>
      <c r="K12" t="s">
        <v>120</v>
      </c>
      <c r="L12" s="1">
        <f t="shared" si="0"/>
        <v>0</v>
      </c>
    </row>
    <row r="13" spans="1:13" x14ac:dyDescent="0.25">
      <c r="A13" s="17">
        <f t="shared" si="1"/>
        <v>12</v>
      </c>
      <c r="B13" s="20">
        <v>45675</v>
      </c>
      <c r="C13" s="21" t="s">
        <v>188</v>
      </c>
      <c r="D13" s="21" t="s">
        <v>193</v>
      </c>
      <c r="E13" s="21" t="s">
        <v>122</v>
      </c>
      <c r="F13" s="21" t="s">
        <v>118</v>
      </c>
      <c r="G13" s="21" t="s">
        <v>76</v>
      </c>
      <c r="H13" s="21" t="s">
        <v>54</v>
      </c>
      <c r="I13" s="21"/>
      <c r="J13" t="s">
        <v>27</v>
      </c>
      <c r="K13" t="s">
        <v>262</v>
      </c>
      <c r="L13" s="1">
        <f t="shared" si="0"/>
        <v>2</v>
      </c>
    </row>
    <row r="14" spans="1:13" x14ac:dyDescent="0.25">
      <c r="A14" s="17">
        <f t="shared" si="1"/>
        <v>13</v>
      </c>
      <c r="B14" s="20">
        <v>45676</v>
      </c>
      <c r="C14" s="21" t="s">
        <v>188</v>
      </c>
      <c r="D14" s="21" t="s">
        <v>194</v>
      </c>
      <c r="E14" s="21" t="s">
        <v>195</v>
      </c>
      <c r="F14" s="21" t="s">
        <v>262</v>
      </c>
      <c r="G14" s="21"/>
      <c r="H14" s="21" t="s">
        <v>47</v>
      </c>
      <c r="I14" s="21" t="s">
        <v>26</v>
      </c>
      <c r="J14" t="s">
        <v>62</v>
      </c>
      <c r="K14" t="s">
        <v>124</v>
      </c>
      <c r="L14" s="1">
        <f t="shared" si="0"/>
        <v>2</v>
      </c>
    </row>
    <row r="15" spans="1:13" x14ac:dyDescent="0.25">
      <c r="A15" s="17">
        <f t="shared" si="1"/>
        <v>14</v>
      </c>
      <c r="B15" s="20">
        <v>45677</v>
      </c>
      <c r="C15" s="21" t="s">
        <v>188</v>
      </c>
      <c r="D15" s="21" t="s">
        <v>196</v>
      </c>
      <c r="E15" s="21" t="s">
        <v>122</v>
      </c>
      <c r="F15" s="21" t="s">
        <v>261</v>
      </c>
      <c r="G15" s="21" t="s">
        <v>249</v>
      </c>
      <c r="H15" s="21" t="s">
        <v>245</v>
      </c>
      <c r="I15" s="21" t="s">
        <v>252</v>
      </c>
      <c r="J15" t="s">
        <v>39</v>
      </c>
      <c r="K15" t="s">
        <v>118</v>
      </c>
      <c r="L15" s="1">
        <f t="shared" si="0"/>
        <v>0</v>
      </c>
    </row>
    <row r="16" spans="1:13" x14ac:dyDescent="0.25">
      <c r="A16" s="17">
        <f t="shared" si="1"/>
        <v>15</v>
      </c>
      <c r="B16" s="20">
        <v>45678</v>
      </c>
      <c r="C16" s="21" t="s">
        <v>188</v>
      </c>
      <c r="D16" s="21" t="s">
        <v>197</v>
      </c>
      <c r="E16" s="21" t="s">
        <v>122</v>
      </c>
      <c r="F16" s="21" t="s">
        <v>120</v>
      </c>
      <c r="G16" s="21" t="s">
        <v>71</v>
      </c>
      <c r="H16" s="21" t="s">
        <v>53</v>
      </c>
      <c r="I16" s="21" t="s">
        <v>95</v>
      </c>
      <c r="J16" t="s">
        <v>38</v>
      </c>
      <c r="K16" t="s">
        <v>118</v>
      </c>
      <c r="L16" s="1">
        <f t="shared" si="0"/>
        <v>0</v>
      </c>
    </row>
    <row r="17" spans="1:12" x14ac:dyDescent="0.25">
      <c r="A17" s="17">
        <f t="shared" si="1"/>
        <v>16</v>
      </c>
      <c r="B17" s="20">
        <v>45679</v>
      </c>
      <c r="C17" s="21" t="s">
        <v>188</v>
      </c>
      <c r="D17" s="21" t="s">
        <v>198</v>
      </c>
      <c r="E17" s="21" t="s">
        <v>199</v>
      </c>
      <c r="F17" s="21" t="s">
        <v>127</v>
      </c>
      <c r="G17" s="21" t="s">
        <v>84</v>
      </c>
      <c r="H17" s="21" t="s">
        <v>46</v>
      </c>
      <c r="I17" s="21" t="s">
        <v>105</v>
      </c>
      <c r="J17" t="s">
        <v>94</v>
      </c>
      <c r="K17" t="s">
        <v>120</v>
      </c>
      <c r="L17" s="1">
        <f t="shared" si="0"/>
        <v>0</v>
      </c>
    </row>
    <row r="18" spans="1:12" x14ac:dyDescent="0.25">
      <c r="A18" s="17">
        <f t="shared" si="1"/>
        <v>17</v>
      </c>
      <c r="B18" s="20">
        <v>45680</v>
      </c>
      <c r="C18" s="21" t="s">
        <v>188</v>
      </c>
      <c r="D18" s="21" t="s">
        <v>200</v>
      </c>
      <c r="E18" s="21" t="s">
        <v>122</v>
      </c>
      <c r="F18" s="21" t="s">
        <v>118</v>
      </c>
      <c r="G18" s="21" t="s">
        <v>85</v>
      </c>
      <c r="H18" s="21" t="s">
        <v>37</v>
      </c>
      <c r="I18" s="21" t="s">
        <v>253</v>
      </c>
      <c r="J18" t="s">
        <v>76</v>
      </c>
      <c r="K18" t="s">
        <v>118</v>
      </c>
      <c r="L18" s="1">
        <f t="shared" si="0"/>
        <v>1</v>
      </c>
    </row>
    <row r="19" spans="1:12" x14ac:dyDescent="0.25">
      <c r="A19" s="17">
        <f t="shared" si="1"/>
        <v>18</v>
      </c>
      <c r="B19" s="20">
        <v>45681</v>
      </c>
      <c r="C19" s="21" t="s">
        <v>188</v>
      </c>
      <c r="D19" s="21" t="s">
        <v>201</v>
      </c>
      <c r="E19" s="21" t="s">
        <v>122</v>
      </c>
      <c r="F19" s="21" t="s">
        <v>124</v>
      </c>
      <c r="G19" s="21"/>
      <c r="H19" s="21" t="s">
        <v>42</v>
      </c>
      <c r="I19" s="21" t="s">
        <v>80</v>
      </c>
      <c r="J19" t="s">
        <v>248</v>
      </c>
      <c r="K19" t="s">
        <v>261</v>
      </c>
      <c r="L19" s="1">
        <f t="shared" si="0"/>
        <v>1</v>
      </c>
    </row>
    <row r="20" spans="1:12" x14ac:dyDescent="0.25">
      <c r="A20" s="17">
        <f t="shared" si="1"/>
        <v>19</v>
      </c>
      <c r="B20" s="20">
        <v>45682</v>
      </c>
      <c r="C20" s="21" t="s">
        <v>188</v>
      </c>
      <c r="D20" s="21" t="s">
        <v>202</v>
      </c>
      <c r="E20" s="21" t="s">
        <v>122</v>
      </c>
      <c r="F20" s="21" t="s">
        <v>118</v>
      </c>
      <c r="G20" s="21" t="s">
        <v>54</v>
      </c>
      <c r="H20" s="21"/>
      <c r="I20" s="21" t="s">
        <v>75</v>
      </c>
      <c r="J20" t="s">
        <v>44</v>
      </c>
      <c r="K20" t="s">
        <v>127</v>
      </c>
      <c r="L20" s="1">
        <f t="shared" si="0"/>
        <v>1</v>
      </c>
    </row>
    <row r="21" spans="1:12" x14ac:dyDescent="0.25">
      <c r="A21" s="17">
        <f t="shared" si="1"/>
        <v>20</v>
      </c>
      <c r="B21" s="20">
        <v>45683</v>
      </c>
      <c r="C21" s="21" t="s">
        <v>203</v>
      </c>
      <c r="D21" s="21" t="s">
        <v>204</v>
      </c>
      <c r="E21" s="21" t="s">
        <v>122</v>
      </c>
      <c r="F21" s="21" t="s">
        <v>262</v>
      </c>
      <c r="G21" s="21" t="s">
        <v>47</v>
      </c>
      <c r="H21" s="21" t="s">
        <v>27</v>
      </c>
      <c r="I21" s="21"/>
      <c r="J21" t="s">
        <v>72</v>
      </c>
      <c r="K21" t="s">
        <v>120</v>
      </c>
      <c r="L21" s="1">
        <f t="shared" si="0"/>
        <v>1</v>
      </c>
    </row>
    <row r="22" spans="1:12" x14ac:dyDescent="0.25">
      <c r="A22" s="17">
        <f t="shared" si="1"/>
        <v>21</v>
      </c>
      <c r="B22" s="20">
        <v>45684</v>
      </c>
      <c r="C22" s="21" t="s">
        <v>203</v>
      </c>
      <c r="D22" s="21" t="s">
        <v>205</v>
      </c>
      <c r="E22" s="21" t="s">
        <v>206</v>
      </c>
      <c r="F22" s="21" t="s">
        <v>261</v>
      </c>
      <c r="G22" s="21" t="s">
        <v>245</v>
      </c>
      <c r="H22" s="21" t="s">
        <v>243</v>
      </c>
      <c r="I22" s="21" t="s">
        <v>249</v>
      </c>
      <c r="J22" t="s">
        <v>83</v>
      </c>
      <c r="K22" t="s">
        <v>127</v>
      </c>
      <c r="L22" s="1">
        <f t="shared" si="0"/>
        <v>1</v>
      </c>
    </row>
    <row r="23" spans="1:12" x14ac:dyDescent="0.25">
      <c r="A23" s="17">
        <f t="shared" si="1"/>
        <v>22</v>
      </c>
      <c r="B23" s="20">
        <v>45685</v>
      </c>
      <c r="C23" s="21" t="s">
        <v>203</v>
      </c>
      <c r="D23" s="21" t="s">
        <v>205</v>
      </c>
      <c r="E23" s="21" t="s">
        <v>207</v>
      </c>
      <c r="F23" s="21" t="s">
        <v>120</v>
      </c>
      <c r="G23" s="21" t="s">
        <v>255</v>
      </c>
      <c r="H23" s="21" t="s">
        <v>256</v>
      </c>
      <c r="I23" s="21" t="s">
        <v>74</v>
      </c>
      <c r="J23" t="s">
        <v>250</v>
      </c>
      <c r="K23" t="s">
        <v>261</v>
      </c>
      <c r="L23" s="1">
        <f t="shared" si="0"/>
        <v>4</v>
      </c>
    </row>
    <row r="24" spans="1:12" x14ac:dyDescent="0.25">
      <c r="A24" s="17">
        <f t="shared" si="1"/>
        <v>23</v>
      </c>
      <c r="B24" s="20">
        <v>45686</v>
      </c>
      <c r="C24" s="21" t="s">
        <v>203</v>
      </c>
      <c r="D24" s="21" t="s">
        <v>205</v>
      </c>
      <c r="E24" s="21" t="s">
        <v>208</v>
      </c>
      <c r="F24" s="21" t="s">
        <v>127</v>
      </c>
      <c r="G24" s="21" t="s">
        <v>43</v>
      </c>
      <c r="H24" s="21" t="s">
        <v>107</v>
      </c>
      <c r="I24" s="21" t="s">
        <v>63</v>
      </c>
      <c r="J24" t="s">
        <v>31</v>
      </c>
      <c r="K24" t="s">
        <v>120</v>
      </c>
      <c r="L24" s="1">
        <f t="shared" si="0"/>
        <v>0</v>
      </c>
    </row>
    <row r="25" spans="1:12" x14ac:dyDescent="0.25">
      <c r="A25" s="17">
        <f t="shared" si="1"/>
        <v>24</v>
      </c>
      <c r="B25" s="20">
        <v>45687</v>
      </c>
      <c r="C25" s="21" t="s">
        <v>203</v>
      </c>
      <c r="D25" s="21" t="s">
        <v>205</v>
      </c>
      <c r="E25" s="21" t="s">
        <v>209</v>
      </c>
      <c r="F25" s="21" t="s">
        <v>118</v>
      </c>
      <c r="G25" s="21" t="s">
        <v>36</v>
      </c>
      <c r="H25" s="21" t="s">
        <v>99</v>
      </c>
      <c r="I25" s="21"/>
      <c r="J25" t="s">
        <v>77</v>
      </c>
      <c r="K25" t="s">
        <v>118</v>
      </c>
      <c r="L25" s="1">
        <f t="shared" si="0"/>
        <v>1</v>
      </c>
    </row>
    <row r="26" spans="1:12" x14ac:dyDescent="0.25">
      <c r="A26" s="17">
        <f t="shared" si="1"/>
        <v>25</v>
      </c>
      <c r="B26" s="20">
        <v>45688</v>
      </c>
      <c r="C26" s="21" t="s">
        <v>203</v>
      </c>
      <c r="D26" s="21" t="s">
        <v>205</v>
      </c>
      <c r="E26" s="21" t="s">
        <v>210</v>
      </c>
      <c r="F26" s="21" t="s">
        <v>124</v>
      </c>
      <c r="G26" s="21" t="s">
        <v>41</v>
      </c>
      <c r="H26" s="21" t="s">
        <v>101</v>
      </c>
      <c r="I26" s="21"/>
      <c r="J26" t="s">
        <v>247</v>
      </c>
      <c r="K26" t="s">
        <v>261</v>
      </c>
      <c r="L26" s="1">
        <f t="shared" si="0"/>
        <v>2</v>
      </c>
    </row>
    <row r="27" spans="1:12" x14ac:dyDescent="0.25">
      <c r="A27" s="17">
        <f t="shared" si="1"/>
        <v>26</v>
      </c>
      <c r="B27" s="20">
        <v>45689</v>
      </c>
      <c r="C27" s="21" t="s">
        <v>203</v>
      </c>
      <c r="D27" s="21" t="s">
        <v>205</v>
      </c>
      <c r="E27" s="21" t="s">
        <v>211</v>
      </c>
      <c r="F27" s="21" t="s">
        <v>118</v>
      </c>
      <c r="G27" s="21" t="s">
        <v>36</v>
      </c>
      <c r="H27" s="21"/>
      <c r="I27" s="21" t="s">
        <v>56</v>
      </c>
      <c r="J27" t="s">
        <v>255</v>
      </c>
      <c r="K27" t="s">
        <v>120</v>
      </c>
      <c r="L27" s="1">
        <f t="shared" si="0"/>
        <v>1</v>
      </c>
    </row>
    <row r="28" spans="1:12" x14ac:dyDescent="0.25">
      <c r="A28" s="17">
        <f t="shared" si="1"/>
        <v>27</v>
      </c>
      <c r="B28" s="20">
        <v>45690</v>
      </c>
      <c r="C28" s="21" t="s">
        <v>203</v>
      </c>
      <c r="D28" s="21" t="s">
        <v>205</v>
      </c>
      <c r="E28" s="21" t="s">
        <v>212</v>
      </c>
      <c r="F28" s="21" t="s">
        <v>262</v>
      </c>
      <c r="G28" s="21" t="s">
        <v>26</v>
      </c>
      <c r="H28" s="21"/>
      <c r="I28" s="21" t="s">
        <v>47</v>
      </c>
      <c r="J28" t="s">
        <v>45</v>
      </c>
      <c r="K28" t="s">
        <v>127</v>
      </c>
      <c r="L28" s="1">
        <f t="shared" si="0"/>
        <v>0</v>
      </c>
    </row>
    <row r="29" spans="1:12" x14ac:dyDescent="0.25">
      <c r="A29" s="17">
        <f t="shared" si="1"/>
        <v>28</v>
      </c>
      <c r="B29" s="20">
        <v>45691</v>
      </c>
      <c r="C29" s="21" t="s">
        <v>203</v>
      </c>
      <c r="D29" s="21" t="s">
        <v>205</v>
      </c>
      <c r="E29" s="21" t="s">
        <v>213</v>
      </c>
      <c r="F29" s="21" t="s">
        <v>261</v>
      </c>
      <c r="G29" s="21" t="s">
        <v>244</v>
      </c>
      <c r="H29" s="21" t="s">
        <v>250</v>
      </c>
      <c r="I29" s="21" t="s">
        <v>246</v>
      </c>
      <c r="J29" t="s">
        <v>69</v>
      </c>
      <c r="K29" t="s">
        <v>120</v>
      </c>
      <c r="L29" s="1">
        <f t="shared" si="0"/>
        <v>1</v>
      </c>
    </row>
    <row r="30" spans="1:12" x14ac:dyDescent="0.25">
      <c r="A30" s="17">
        <f t="shared" si="1"/>
        <v>29</v>
      </c>
      <c r="B30" s="20">
        <v>45692</v>
      </c>
      <c r="C30" s="21" t="s">
        <v>203</v>
      </c>
      <c r="D30" s="21" t="s">
        <v>205</v>
      </c>
      <c r="E30" s="21" t="s">
        <v>214</v>
      </c>
      <c r="F30" s="21" t="s">
        <v>120</v>
      </c>
      <c r="G30" s="21" t="s">
        <v>90</v>
      </c>
      <c r="H30" s="21"/>
      <c r="I30" s="21"/>
      <c r="J30" t="s">
        <v>66</v>
      </c>
      <c r="K30" t="s">
        <v>127</v>
      </c>
      <c r="L30" s="1">
        <f t="shared" si="0"/>
        <v>1</v>
      </c>
    </row>
    <row r="31" spans="1:12" x14ac:dyDescent="0.25">
      <c r="A31" s="17">
        <f t="shared" si="1"/>
        <v>30</v>
      </c>
      <c r="B31" s="20">
        <v>45693</v>
      </c>
      <c r="C31" s="21" t="s">
        <v>203</v>
      </c>
      <c r="D31" s="21" t="s">
        <v>205</v>
      </c>
      <c r="E31" s="21" t="s">
        <v>215</v>
      </c>
      <c r="F31" s="21" t="s">
        <v>127</v>
      </c>
      <c r="G31" s="21" t="s">
        <v>104</v>
      </c>
      <c r="H31" s="21"/>
      <c r="I31" s="21"/>
      <c r="J31" t="s">
        <v>252</v>
      </c>
      <c r="K31" t="s">
        <v>261</v>
      </c>
      <c r="L31" s="1">
        <f t="shared" si="0"/>
        <v>1</v>
      </c>
    </row>
    <row r="32" spans="1:12" x14ac:dyDescent="0.25">
      <c r="A32" s="17">
        <f t="shared" si="1"/>
        <v>31</v>
      </c>
      <c r="B32" s="20">
        <v>45694</v>
      </c>
      <c r="C32" s="21" t="s">
        <v>203</v>
      </c>
      <c r="D32" s="21" t="s">
        <v>205</v>
      </c>
      <c r="E32" s="21" t="s">
        <v>216</v>
      </c>
      <c r="F32" s="21" t="s">
        <v>118</v>
      </c>
      <c r="G32" s="21"/>
      <c r="H32" s="21"/>
      <c r="I32" s="21"/>
      <c r="J32" t="s">
        <v>243</v>
      </c>
      <c r="K32" t="s">
        <v>261</v>
      </c>
      <c r="L32" s="1">
        <f t="shared" si="0"/>
        <v>1</v>
      </c>
    </row>
    <row r="33" spans="1:12" x14ac:dyDescent="0.25">
      <c r="A33" s="17">
        <f t="shared" si="1"/>
        <v>32</v>
      </c>
      <c r="B33" s="20">
        <v>45695</v>
      </c>
      <c r="C33" s="21" t="s">
        <v>203</v>
      </c>
      <c r="D33" s="21" t="s">
        <v>217</v>
      </c>
      <c r="E33" s="22" t="s">
        <v>218</v>
      </c>
      <c r="F33" s="21" t="s">
        <v>124</v>
      </c>
      <c r="G33" s="21"/>
      <c r="H33" s="21"/>
      <c r="I33" s="21"/>
      <c r="J33" t="s">
        <v>106</v>
      </c>
      <c r="K33" t="s">
        <v>127</v>
      </c>
      <c r="L33" s="1">
        <f t="shared" si="0"/>
        <v>2</v>
      </c>
    </row>
    <row r="34" spans="1:12" x14ac:dyDescent="0.25">
      <c r="A34" s="17">
        <f t="shared" si="1"/>
        <v>33</v>
      </c>
      <c r="B34" s="20">
        <v>45696</v>
      </c>
      <c r="C34" s="21" t="s">
        <v>203</v>
      </c>
      <c r="D34" s="21" t="s">
        <v>217</v>
      </c>
      <c r="E34" s="21" t="s">
        <v>219</v>
      </c>
      <c r="F34" s="21" t="s">
        <v>118</v>
      </c>
      <c r="G34" s="21"/>
      <c r="H34" s="21"/>
      <c r="I34" s="21" t="s">
        <v>36</v>
      </c>
      <c r="J34" t="s">
        <v>74</v>
      </c>
      <c r="K34" t="s">
        <v>120</v>
      </c>
      <c r="L34" s="1">
        <f t="shared" si="0"/>
        <v>2</v>
      </c>
    </row>
    <row r="35" spans="1:12" x14ac:dyDescent="0.25">
      <c r="A35" s="17">
        <f t="shared" si="1"/>
        <v>34</v>
      </c>
      <c r="B35" s="20">
        <v>45697</v>
      </c>
      <c r="C35" s="21" t="s">
        <v>203</v>
      </c>
      <c r="D35" s="21" t="s">
        <v>220</v>
      </c>
      <c r="E35" s="21" t="s">
        <v>221</v>
      </c>
      <c r="F35" s="21" t="s">
        <v>262</v>
      </c>
      <c r="G35" s="21"/>
      <c r="H35" s="21" t="s">
        <v>47</v>
      </c>
      <c r="I35" s="21" t="s">
        <v>256</v>
      </c>
      <c r="J35" t="s">
        <v>61</v>
      </c>
      <c r="K35" t="s">
        <v>124</v>
      </c>
      <c r="L35" s="1">
        <f t="shared" si="0"/>
        <v>0</v>
      </c>
    </row>
    <row r="36" spans="1:12" x14ac:dyDescent="0.25">
      <c r="A36" s="17">
        <f t="shared" si="1"/>
        <v>35</v>
      </c>
      <c r="B36" s="20">
        <v>45698</v>
      </c>
      <c r="C36" s="21" t="s">
        <v>203</v>
      </c>
      <c r="D36" s="21" t="s">
        <v>220</v>
      </c>
      <c r="E36" s="21" t="s">
        <v>222</v>
      </c>
      <c r="F36" s="21" t="s">
        <v>261</v>
      </c>
      <c r="G36" s="21" t="s">
        <v>248</v>
      </c>
      <c r="H36" s="21" t="s">
        <v>245</v>
      </c>
      <c r="I36" s="21" t="s">
        <v>251</v>
      </c>
      <c r="J36" t="s">
        <v>99</v>
      </c>
      <c r="K36" t="s">
        <v>118</v>
      </c>
      <c r="L36" s="1">
        <f t="shared" si="0"/>
        <v>2</v>
      </c>
    </row>
    <row r="37" spans="1:12" x14ac:dyDescent="0.25">
      <c r="A37" s="17">
        <f t="shared" si="1"/>
        <v>36</v>
      </c>
      <c r="B37" s="20">
        <v>45699</v>
      </c>
      <c r="C37" s="21" t="s">
        <v>203</v>
      </c>
      <c r="D37" s="21" t="s">
        <v>220</v>
      </c>
      <c r="E37" s="21" t="s">
        <v>223</v>
      </c>
      <c r="F37" s="21" t="s">
        <v>120</v>
      </c>
      <c r="G37" s="21"/>
      <c r="H37" s="21" t="s">
        <v>51</v>
      </c>
      <c r="I37" s="21"/>
      <c r="J37" t="s">
        <v>80</v>
      </c>
      <c r="K37" t="s">
        <v>124</v>
      </c>
      <c r="L37" s="1">
        <f t="shared" si="0"/>
        <v>1</v>
      </c>
    </row>
    <row r="38" spans="1:12" x14ac:dyDescent="0.25">
      <c r="A38" s="17">
        <f t="shared" si="1"/>
        <v>37</v>
      </c>
      <c r="B38" s="20">
        <v>45700</v>
      </c>
      <c r="C38" s="21" t="s">
        <v>203</v>
      </c>
      <c r="D38" s="21" t="s">
        <v>220</v>
      </c>
      <c r="E38" s="21" t="s">
        <v>224</v>
      </c>
      <c r="F38" s="21" t="s">
        <v>127</v>
      </c>
      <c r="G38" s="21" t="s">
        <v>84</v>
      </c>
      <c r="H38" s="21"/>
      <c r="I38" s="21" t="s">
        <v>106</v>
      </c>
      <c r="J38" t="s">
        <v>37</v>
      </c>
      <c r="K38" t="s">
        <v>118</v>
      </c>
      <c r="L38" s="1">
        <f>COUNTIF($G$2:$I$97,J38)</f>
        <v>2</v>
      </c>
    </row>
    <row r="39" spans="1:12" x14ac:dyDescent="0.25">
      <c r="A39" s="17">
        <f t="shared" si="1"/>
        <v>38</v>
      </c>
      <c r="B39" s="20">
        <v>45701</v>
      </c>
      <c r="C39" s="21" t="s">
        <v>203</v>
      </c>
      <c r="D39" s="21" t="s">
        <v>220</v>
      </c>
      <c r="E39" s="21" t="s">
        <v>225</v>
      </c>
      <c r="F39" s="21" t="s">
        <v>118</v>
      </c>
      <c r="G39" s="21" t="s">
        <v>55</v>
      </c>
      <c r="H39" s="21" t="s">
        <v>35</v>
      </c>
      <c r="I39" s="21" t="s">
        <v>99</v>
      </c>
      <c r="J39" t="s">
        <v>87</v>
      </c>
      <c r="K39" t="s">
        <v>262</v>
      </c>
      <c r="L39" s="1">
        <f t="shared" ref="L39:L96" si="2">COUNTIF($G$2:$I$97,J39)</f>
        <v>1</v>
      </c>
    </row>
    <row r="40" spans="1:12" x14ac:dyDescent="0.25">
      <c r="A40" s="17">
        <f t="shared" si="1"/>
        <v>39</v>
      </c>
      <c r="B40" s="20">
        <v>45702</v>
      </c>
      <c r="C40" s="21" t="s">
        <v>203</v>
      </c>
      <c r="D40" s="21" t="s">
        <v>220</v>
      </c>
      <c r="E40" s="21" t="s">
        <v>226</v>
      </c>
      <c r="F40" s="21" t="s">
        <v>124</v>
      </c>
      <c r="G40" s="21" t="s">
        <v>62</v>
      </c>
      <c r="H40" s="21" t="s">
        <v>41</v>
      </c>
      <c r="I40" s="21" t="s">
        <v>82</v>
      </c>
      <c r="J40" t="s">
        <v>57</v>
      </c>
      <c r="K40" t="s">
        <v>118</v>
      </c>
      <c r="L40" s="1">
        <f t="shared" si="2"/>
        <v>1</v>
      </c>
    </row>
    <row r="41" spans="1:12" x14ac:dyDescent="0.25">
      <c r="A41" s="17">
        <f t="shared" si="1"/>
        <v>40</v>
      </c>
      <c r="B41" s="20">
        <v>45703</v>
      </c>
      <c r="C41" s="21" t="s">
        <v>227</v>
      </c>
      <c r="D41" s="21"/>
      <c r="E41" s="21"/>
      <c r="F41" s="21"/>
      <c r="G41" s="21" t="s">
        <v>492</v>
      </c>
      <c r="H41" s="21" t="s">
        <v>492</v>
      </c>
      <c r="I41" s="21" t="s">
        <v>492</v>
      </c>
      <c r="J41" t="s">
        <v>42</v>
      </c>
      <c r="K41" t="s">
        <v>124</v>
      </c>
      <c r="L41" s="1">
        <f t="shared" si="2"/>
        <v>1</v>
      </c>
    </row>
    <row r="42" spans="1:12" x14ac:dyDescent="0.25">
      <c r="A42" s="17">
        <f t="shared" si="1"/>
        <v>41</v>
      </c>
      <c r="B42" s="20">
        <v>45704</v>
      </c>
      <c r="C42" s="21" t="s">
        <v>203</v>
      </c>
      <c r="D42" s="21" t="s">
        <v>220</v>
      </c>
      <c r="E42" s="21" t="s">
        <v>228</v>
      </c>
      <c r="F42" s="21" t="s">
        <v>262</v>
      </c>
      <c r="G42" s="21" t="s">
        <v>88</v>
      </c>
      <c r="H42" s="21" t="s">
        <v>26</v>
      </c>
      <c r="I42" s="21" t="s">
        <v>67</v>
      </c>
      <c r="J42" t="s">
        <v>26</v>
      </c>
      <c r="K42" t="s">
        <v>262</v>
      </c>
      <c r="L42" s="1">
        <f t="shared" si="2"/>
        <v>6</v>
      </c>
    </row>
    <row r="43" spans="1:12" x14ac:dyDescent="0.25">
      <c r="A43" s="17">
        <f t="shared" si="1"/>
        <v>42</v>
      </c>
      <c r="B43" s="20">
        <v>45705</v>
      </c>
      <c r="C43" s="21" t="s">
        <v>203</v>
      </c>
      <c r="D43" s="21" t="s">
        <v>220</v>
      </c>
      <c r="E43" s="21" t="s">
        <v>229</v>
      </c>
      <c r="F43" s="21" t="s">
        <v>261</v>
      </c>
      <c r="G43" s="21" t="s">
        <v>247</v>
      </c>
      <c r="H43" s="21"/>
      <c r="I43" s="21"/>
      <c r="J43" t="s">
        <v>95</v>
      </c>
      <c r="K43" t="s">
        <v>120</v>
      </c>
      <c r="L43" s="1">
        <f t="shared" si="2"/>
        <v>1</v>
      </c>
    </row>
    <row r="44" spans="1:12" x14ac:dyDescent="0.25">
      <c r="A44" s="17">
        <f t="shared" si="1"/>
        <v>43</v>
      </c>
      <c r="B44" s="20">
        <v>45706</v>
      </c>
      <c r="C44" s="21" t="s">
        <v>203</v>
      </c>
      <c r="D44" s="21" t="s">
        <v>220</v>
      </c>
      <c r="E44" s="21" t="s">
        <v>230</v>
      </c>
      <c r="F44" s="21" t="s">
        <v>120</v>
      </c>
      <c r="G44" s="21" t="s">
        <v>50</v>
      </c>
      <c r="H44" s="21"/>
      <c r="I44" s="21" t="s">
        <v>72</v>
      </c>
      <c r="J44" t="s">
        <v>82</v>
      </c>
      <c r="K44" t="s">
        <v>124</v>
      </c>
      <c r="L44" s="1">
        <f t="shared" si="2"/>
        <v>1</v>
      </c>
    </row>
    <row r="45" spans="1:12" x14ac:dyDescent="0.25">
      <c r="A45" s="17">
        <f t="shared" si="1"/>
        <v>44</v>
      </c>
      <c r="B45" s="20">
        <v>45707</v>
      </c>
      <c r="C45" s="21" t="s">
        <v>203</v>
      </c>
      <c r="D45" s="21" t="s">
        <v>220</v>
      </c>
      <c r="E45" s="21" t="s">
        <v>231</v>
      </c>
      <c r="F45" s="21" t="s">
        <v>127</v>
      </c>
      <c r="G45" s="21" t="s">
        <v>74</v>
      </c>
      <c r="H45" s="21" t="s">
        <v>105</v>
      </c>
      <c r="I45" s="21" t="s">
        <v>66</v>
      </c>
      <c r="J45" t="s">
        <v>86</v>
      </c>
      <c r="K45" t="s">
        <v>127</v>
      </c>
      <c r="L45" s="1">
        <f t="shared" si="2"/>
        <v>0</v>
      </c>
    </row>
    <row r="46" spans="1:12" x14ac:dyDescent="0.25">
      <c r="A46" s="17">
        <f t="shared" si="1"/>
        <v>45</v>
      </c>
      <c r="B46" s="20">
        <v>45708</v>
      </c>
      <c r="C46" s="21" t="s">
        <v>203</v>
      </c>
      <c r="D46" s="21" t="s">
        <v>220</v>
      </c>
      <c r="E46" s="21" t="s">
        <v>232</v>
      </c>
      <c r="F46" s="21" t="s">
        <v>118</v>
      </c>
      <c r="G46" s="21" t="s">
        <v>37</v>
      </c>
      <c r="H46" s="21" t="s">
        <v>260</v>
      </c>
      <c r="I46" s="21"/>
      <c r="J46" t="s">
        <v>53</v>
      </c>
      <c r="K46" t="s">
        <v>120</v>
      </c>
      <c r="L46" s="1">
        <f t="shared" si="2"/>
        <v>1</v>
      </c>
    </row>
    <row r="47" spans="1:12" x14ac:dyDescent="0.25">
      <c r="A47" s="17">
        <f t="shared" si="1"/>
        <v>46</v>
      </c>
      <c r="B47" s="20">
        <v>45709</v>
      </c>
      <c r="C47" s="21" t="s">
        <v>203</v>
      </c>
      <c r="D47" s="21" t="s">
        <v>220</v>
      </c>
      <c r="E47" s="21" t="s">
        <v>233</v>
      </c>
      <c r="F47" s="21" t="s">
        <v>124</v>
      </c>
      <c r="G47" s="21"/>
      <c r="H47" s="21"/>
      <c r="I47" s="21"/>
      <c r="J47" t="s">
        <v>64</v>
      </c>
      <c r="K47" t="s">
        <v>127</v>
      </c>
      <c r="L47" s="1">
        <f t="shared" si="2"/>
        <v>2</v>
      </c>
    </row>
    <row r="48" spans="1:12" x14ac:dyDescent="0.25">
      <c r="A48" s="17">
        <f t="shared" si="1"/>
        <v>47</v>
      </c>
      <c r="B48" s="20">
        <v>45710</v>
      </c>
      <c r="C48" s="21" t="s">
        <v>227</v>
      </c>
      <c r="D48" s="21"/>
      <c r="E48" s="21"/>
      <c r="F48" s="21"/>
      <c r="G48" s="21" t="s">
        <v>492</v>
      </c>
      <c r="H48" s="21" t="s">
        <v>492</v>
      </c>
      <c r="I48" s="21" t="s">
        <v>492</v>
      </c>
      <c r="J48" t="s">
        <v>54</v>
      </c>
      <c r="K48" t="s">
        <v>118</v>
      </c>
      <c r="L48" s="1">
        <f t="shared" si="2"/>
        <v>3</v>
      </c>
    </row>
    <row r="49" spans="1:12" x14ac:dyDescent="0.25">
      <c r="A49" s="17">
        <f t="shared" si="1"/>
        <v>48</v>
      </c>
      <c r="B49" s="20">
        <v>45711</v>
      </c>
      <c r="C49" s="21" t="s">
        <v>203</v>
      </c>
      <c r="D49" s="21" t="s">
        <v>467</v>
      </c>
      <c r="E49" s="21" t="s">
        <v>235</v>
      </c>
      <c r="F49" s="21" t="s">
        <v>262</v>
      </c>
      <c r="G49" s="21" t="s">
        <v>26</v>
      </c>
      <c r="H49" s="21" t="s">
        <v>68</v>
      </c>
      <c r="I49" s="21" t="s">
        <v>47</v>
      </c>
      <c r="J49" t="s">
        <v>104</v>
      </c>
      <c r="K49" t="s">
        <v>127</v>
      </c>
      <c r="L49" s="1">
        <f t="shared" si="2"/>
        <v>1</v>
      </c>
    </row>
    <row r="50" spans="1:12" x14ac:dyDescent="0.25">
      <c r="A50" s="17">
        <f t="shared" si="1"/>
        <v>49</v>
      </c>
      <c r="B50" s="20">
        <v>45712</v>
      </c>
      <c r="C50" s="21" t="s">
        <v>203</v>
      </c>
      <c r="D50" s="21" t="s">
        <v>234</v>
      </c>
      <c r="E50" s="21" t="s">
        <v>236</v>
      </c>
      <c r="F50" s="21" t="s">
        <v>118</v>
      </c>
      <c r="G50" s="21" t="s">
        <v>244</v>
      </c>
      <c r="H50" s="21" t="s">
        <v>75</v>
      </c>
      <c r="I50" s="21" t="s">
        <v>57</v>
      </c>
      <c r="J50" t="s">
        <v>34</v>
      </c>
      <c r="K50" t="s">
        <v>120</v>
      </c>
      <c r="L50" s="1">
        <f t="shared" si="2"/>
        <v>1</v>
      </c>
    </row>
    <row r="51" spans="1:12" x14ac:dyDescent="0.25">
      <c r="A51" s="17">
        <f t="shared" si="1"/>
        <v>50</v>
      </c>
      <c r="B51" s="20">
        <v>45713</v>
      </c>
      <c r="C51" s="21" t="s">
        <v>203</v>
      </c>
      <c r="D51" s="21" t="s">
        <v>234</v>
      </c>
      <c r="E51" s="21" t="s">
        <v>237</v>
      </c>
      <c r="F51" s="21" t="s">
        <v>120</v>
      </c>
      <c r="G51" s="21"/>
      <c r="H51" s="21"/>
      <c r="I51" s="21"/>
      <c r="J51" t="s">
        <v>36</v>
      </c>
      <c r="K51" t="s">
        <v>118</v>
      </c>
      <c r="L51" s="1">
        <f t="shared" si="2"/>
        <v>4</v>
      </c>
    </row>
    <row r="52" spans="1:12" x14ac:dyDescent="0.25">
      <c r="A52" s="17">
        <f t="shared" si="1"/>
        <v>51</v>
      </c>
      <c r="B52" s="20">
        <v>45714</v>
      </c>
      <c r="C52" s="21" t="s">
        <v>203</v>
      </c>
      <c r="D52" s="21" t="s">
        <v>234</v>
      </c>
      <c r="E52" s="21" t="s">
        <v>238</v>
      </c>
      <c r="F52" s="21"/>
      <c r="G52" s="21"/>
      <c r="H52" s="21"/>
      <c r="I52" s="21"/>
      <c r="J52" t="s">
        <v>40</v>
      </c>
      <c r="K52" t="s">
        <v>124</v>
      </c>
      <c r="L52" s="1">
        <f t="shared" si="2"/>
        <v>1</v>
      </c>
    </row>
    <row r="53" spans="1:12" x14ac:dyDescent="0.25">
      <c r="A53" s="17">
        <f t="shared" si="1"/>
        <v>52</v>
      </c>
      <c r="B53" s="20">
        <v>45715</v>
      </c>
      <c r="C53" s="21" t="s">
        <v>203</v>
      </c>
      <c r="D53" s="21" t="s">
        <v>234</v>
      </c>
      <c r="E53" s="21" t="s">
        <v>239</v>
      </c>
      <c r="F53" s="21"/>
      <c r="G53" s="21"/>
      <c r="H53" s="21"/>
      <c r="I53" s="21"/>
      <c r="J53" t="s">
        <v>102</v>
      </c>
      <c r="K53" t="s">
        <v>124</v>
      </c>
      <c r="L53" s="1">
        <f t="shared" si="2"/>
        <v>1</v>
      </c>
    </row>
    <row r="54" spans="1:12" x14ac:dyDescent="0.25">
      <c r="A54" s="17">
        <f t="shared" si="1"/>
        <v>53</v>
      </c>
      <c r="B54" s="20">
        <v>45716</v>
      </c>
      <c r="C54" s="21" t="s">
        <v>203</v>
      </c>
      <c r="D54" s="21" t="s">
        <v>234</v>
      </c>
      <c r="E54" s="21" t="s">
        <v>240</v>
      </c>
      <c r="F54" s="21"/>
      <c r="G54" s="21"/>
      <c r="H54" s="21"/>
      <c r="I54" s="21"/>
      <c r="J54" t="s">
        <v>43</v>
      </c>
      <c r="K54" t="s">
        <v>127</v>
      </c>
      <c r="L54" s="1">
        <f t="shared" si="2"/>
        <v>1</v>
      </c>
    </row>
    <row r="55" spans="1:12" x14ac:dyDescent="0.25">
      <c r="A55" s="17">
        <f t="shared" si="1"/>
        <v>54</v>
      </c>
      <c r="B55" s="20">
        <v>45717</v>
      </c>
      <c r="C55" s="21" t="s">
        <v>227</v>
      </c>
      <c r="D55" s="21"/>
      <c r="E55" s="21"/>
      <c r="F55" s="21"/>
      <c r="G55" s="21" t="s">
        <v>492</v>
      </c>
      <c r="H55" s="21" t="s">
        <v>492</v>
      </c>
      <c r="I55" s="21" t="s">
        <v>492</v>
      </c>
      <c r="J55" t="s">
        <v>84</v>
      </c>
      <c r="K55" t="s">
        <v>127</v>
      </c>
      <c r="L55" s="1">
        <f t="shared" si="2"/>
        <v>3</v>
      </c>
    </row>
    <row r="56" spans="1:12" x14ac:dyDescent="0.25">
      <c r="A56" s="17">
        <f t="shared" si="1"/>
        <v>55</v>
      </c>
      <c r="B56" s="20">
        <v>45718</v>
      </c>
      <c r="C56" s="21" t="s">
        <v>203</v>
      </c>
      <c r="D56" s="21" t="s">
        <v>466</v>
      </c>
      <c r="E56" s="21" t="s">
        <v>465</v>
      </c>
      <c r="F56" s="21" t="s">
        <v>262</v>
      </c>
      <c r="G56" s="21" t="s">
        <v>68</v>
      </c>
      <c r="H56" s="21" t="s">
        <v>47</v>
      </c>
      <c r="I56" s="21"/>
      <c r="J56" t="s">
        <v>256</v>
      </c>
      <c r="K56" t="s">
        <v>262</v>
      </c>
      <c r="L56" s="1">
        <f t="shared" si="2"/>
        <v>3</v>
      </c>
    </row>
    <row r="57" spans="1:12" x14ac:dyDescent="0.25">
      <c r="A57" s="17">
        <f t="shared" si="1"/>
        <v>56</v>
      </c>
      <c r="B57" s="20">
        <v>45719</v>
      </c>
      <c r="C57" s="21" t="s">
        <v>203</v>
      </c>
      <c r="D57" s="21" t="s">
        <v>473</v>
      </c>
      <c r="E57" s="21" t="s">
        <v>474</v>
      </c>
      <c r="F57" s="21" t="s">
        <v>261</v>
      </c>
      <c r="G57" s="21" t="s">
        <v>250</v>
      </c>
      <c r="H57" s="21" t="s">
        <v>246</v>
      </c>
      <c r="I57" s="21"/>
      <c r="J57" t="s">
        <v>96</v>
      </c>
      <c r="K57" t="s">
        <v>118</v>
      </c>
      <c r="L57" s="1">
        <f t="shared" si="2"/>
        <v>1</v>
      </c>
    </row>
    <row r="58" spans="1:12" x14ac:dyDescent="0.25">
      <c r="A58" s="17">
        <f t="shared" si="1"/>
        <v>57</v>
      </c>
      <c r="B58" s="20">
        <v>45720</v>
      </c>
      <c r="C58" s="21" t="s">
        <v>203</v>
      </c>
      <c r="D58" s="21" t="s">
        <v>466</v>
      </c>
      <c r="E58" s="21" t="s">
        <v>475</v>
      </c>
      <c r="F58" s="21" t="s">
        <v>120</v>
      </c>
      <c r="G58" s="21" t="s">
        <v>69</v>
      </c>
      <c r="H58" s="21" t="s">
        <v>88</v>
      </c>
      <c r="I58" s="21" t="s">
        <v>92</v>
      </c>
      <c r="J58" t="s">
        <v>246</v>
      </c>
      <c r="K58" t="s">
        <v>261</v>
      </c>
      <c r="L58" s="1">
        <f t="shared" si="2"/>
        <v>2</v>
      </c>
    </row>
    <row r="59" spans="1:12" x14ac:dyDescent="0.25">
      <c r="A59" s="17">
        <f t="shared" si="1"/>
        <v>58</v>
      </c>
      <c r="B59" s="20">
        <v>45721</v>
      </c>
      <c r="C59" s="21" t="s">
        <v>203</v>
      </c>
      <c r="D59" s="21" t="s">
        <v>466</v>
      </c>
      <c r="E59" s="21" t="s">
        <v>476</v>
      </c>
      <c r="F59" s="21" t="s">
        <v>127</v>
      </c>
      <c r="G59" s="21" t="s">
        <v>84</v>
      </c>
      <c r="H59" s="21" t="s">
        <v>44</v>
      </c>
      <c r="I59" s="21" t="s">
        <v>106</v>
      </c>
      <c r="J59" t="s">
        <v>51</v>
      </c>
      <c r="K59" t="s">
        <v>120</v>
      </c>
      <c r="L59" s="1">
        <f t="shared" si="2"/>
        <v>1</v>
      </c>
    </row>
    <row r="60" spans="1:12" x14ac:dyDescent="0.25">
      <c r="A60" s="17">
        <f t="shared" si="1"/>
        <v>59</v>
      </c>
      <c r="B60" s="20">
        <v>45722</v>
      </c>
      <c r="C60" s="21" t="s">
        <v>203</v>
      </c>
      <c r="D60" s="21" t="s">
        <v>466</v>
      </c>
      <c r="E60" s="21" t="s">
        <v>477</v>
      </c>
      <c r="F60" s="21" t="s">
        <v>118</v>
      </c>
      <c r="G60" s="21" t="s">
        <v>77</v>
      </c>
      <c r="H60" s="21"/>
      <c r="I60" s="21"/>
      <c r="J60" t="s">
        <v>258</v>
      </c>
      <c r="K60" t="s">
        <v>120</v>
      </c>
      <c r="L60" s="1">
        <f t="shared" si="2"/>
        <v>0</v>
      </c>
    </row>
    <row r="61" spans="1:12" x14ac:dyDescent="0.25">
      <c r="A61" s="17">
        <f t="shared" si="1"/>
        <v>60</v>
      </c>
      <c r="B61" s="20">
        <v>45723</v>
      </c>
      <c r="C61" s="21" t="s">
        <v>203</v>
      </c>
      <c r="D61" s="21" t="s">
        <v>466</v>
      </c>
      <c r="E61" s="21" t="s">
        <v>478</v>
      </c>
      <c r="F61" s="21" t="s">
        <v>124</v>
      </c>
      <c r="G61" s="21" t="s">
        <v>60</v>
      </c>
      <c r="H61" s="21"/>
      <c r="I61" s="21"/>
      <c r="J61" t="s">
        <v>242</v>
      </c>
      <c r="K61" t="s">
        <v>261</v>
      </c>
      <c r="L61" s="1">
        <f t="shared" si="2"/>
        <v>1</v>
      </c>
    </row>
    <row r="62" spans="1:12" x14ac:dyDescent="0.25">
      <c r="A62" s="17">
        <f t="shared" si="1"/>
        <v>61</v>
      </c>
      <c r="B62" s="20">
        <v>45724</v>
      </c>
      <c r="C62" s="21" t="s">
        <v>227</v>
      </c>
      <c r="D62" s="21"/>
      <c r="E62" s="21"/>
      <c r="F62" s="21"/>
      <c r="G62" s="21" t="s">
        <v>492</v>
      </c>
      <c r="H62" s="21" t="s">
        <v>492</v>
      </c>
      <c r="I62" s="21" t="s">
        <v>492</v>
      </c>
      <c r="J62" t="s">
        <v>71</v>
      </c>
      <c r="K62" t="s">
        <v>120</v>
      </c>
      <c r="L62" s="1">
        <f t="shared" si="2"/>
        <v>1</v>
      </c>
    </row>
    <row r="63" spans="1:12" x14ac:dyDescent="0.25">
      <c r="A63" s="17">
        <f t="shared" si="1"/>
        <v>62</v>
      </c>
      <c r="B63" s="20">
        <v>45725</v>
      </c>
      <c r="C63" s="21" t="s">
        <v>203</v>
      </c>
      <c r="D63" s="21" t="s">
        <v>473</v>
      </c>
      <c r="E63" s="21" t="s">
        <v>474</v>
      </c>
      <c r="F63" s="21" t="s">
        <v>118</v>
      </c>
      <c r="G63" s="21" t="s">
        <v>56</v>
      </c>
      <c r="H63" s="21" t="s">
        <v>96</v>
      </c>
      <c r="I63" s="21" t="s">
        <v>259</v>
      </c>
      <c r="J63" t="s">
        <v>257</v>
      </c>
      <c r="K63" t="s">
        <v>120</v>
      </c>
      <c r="L63" s="1">
        <f t="shared" si="2"/>
        <v>1</v>
      </c>
    </row>
    <row r="64" spans="1:12" x14ac:dyDescent="0.25">
      <c r="A64" s="17">
        <f t="shared" si="1"/>
        <v>63</v>
      </c>
      <c r="B64" s="20">
        <v>45726</v>
      </c>
      <c r="C64" s="21" t="s">
        <v>203</v>
      </c>
      <c r="D64" s="21" t="s">
        <v>473</v>
      </c>
      <c r="E64" s="22" t="s">
        <v>480</v>
      </c>
      <c r="F64" s="21" t="s">
        <v>262</v>
      </c>
      <c r="G64" s="21"/>
      <c r="H64" s="21" t="s">
        <v>26</v>
      </c>
      <c r="I64" s="21"/>
      <c r="J64" t="s">
        <v>68</v>
      </c>
      <c r="K64" t="s">
        <v>262</v>
      </c>
      <c r="L64" s="1">
        <f t="shared" si="2"/>
        <v>2</v>
      </c>
    </row>
    <row r="65" spans="1:12" x14ac:dyDescent="0.25">
      <c r="A65" s="17">
        <f t="shared" si="1"/>
        <v>64</v>
      </c>
      <c r="B65" s="20">
        <v>45727</v>
      </c>
      <c r="C65" s="21" t="s">
        <v>203</v>
      </c>
      <c r="D65" s="21" t="s">
        <v>473</v>
      </c>
      <c r="E65" s="21" t="s">
        <v>479</v>
      </c>
      <c r="F65" s="21" t="s">
        <v>261</v>
      </c>
      <c r="G65" s="21" t="s">
        <v>492</v>
      </c>
      <c r="H65" s="21" t="s">
        <v>492</v>
      </c>
      <c r="I65" s="21" t="s">
        <v>492</v>
      </c>
      <c r="J65" t="s">
        <v>253</v>
      </c>
      <c r="K65" t="s">
        <v>261</v>
      </c>
      <c r="L65" s="1">
        <f t="shared" si="2"/>
        <v>1</v>
      </c>
    </row>
    <row r="66" spans="1:12" x14ac:dyDescent="0.25">
      <c r="A66" s="17">
        <f t="shared" si="1"/>
        <v>65</v>
      </c>
      <c r="B66" s="20">
        <v>45728</v>
      </c>
      <c r="C66" s="21" t="s">
        <v>491</v>
      </c>
      <c r="D66" s="21"/>
      <c r="E66" s="21"/>
      <c r="F66" s="21"/>
      <c r="G66" s="21" t="s">
        <v>492</v>
      </c>
      <c r="H66" s="21" t="s">
        <v>492</v>
      </c>
      <c r="I66" s="21" t="s">
        <v>492</v>
      </c>
      <c r="J66" t="s">
        <v>103</v>
      </c>
      <c r="K66" t="s">
        <v>124</v>
      </c>
      <c r="L66" s="1">
        <f t="shared" si="2"/>
        <v>0</v>
      </c>
    </row>
    <row r="67" spans="1:12" x14ac:dyDescent="0.25">
      <c r="A67" s="17">
        <f t="shared" si="1"/>
        <v>66</v>
      </c>
      <c r="B67" s="20">
        <v>45729</v>
      </c>
      <c r="C67" s="21" t="s">
        <v>491</v>
      </c>
      <c r="D67" s="21"/>
      <c r="E67" s="21"/>
      <c r="F67" s="21"/>
      <c r="G67" s="21" t="s">
        <v>492</v>
      </c>
      <c r="H67" s="21" t="s">
        <v>492</v>
      </c>
      <c r="I67" s="21" t="s">
        <v>492</v>
      </c>
      <c r="J67" t="s">
        <v>33</v>
      </c>
      <c r="K67" t="s">
        <v>120</v>
      </c>
      <c r="L67" s="1">
        <f t="shared" si="2"/>
        <v>0</v>
      </c>
    </row>
    <row r="68" spans="1:12" x14ac:dyDescent="0.25">
      <c r="A68" s="17">
        <f t="shared" ref="A68:A97" si="3">IF(B68="","",A67+1)</f>
        <v>67</v>
      </c>
      <c r="B68" s="20">
        <v>45730</v>
      </c>
      <c r="C68" s="21" t="s">
        <v>491</v>
      </c>
      <c r="D68" s="21"/>
      <c r="E68" s="21"/>
      <c r="F68" s="21"/>
      <c r="G68" s="21" t="s">
        <v>492</v>
      </c>
      <c r="H68" s="21" t="s">
        <v>492</v>
      </c>
      <c r="I68" s="21" t="s">
        <v>492</v>
      </c>
      <c r="J68" t="s">
        <v>59</v>
      </c>
      <c r="K68" t="s">
        <v>118</v>
      </c>
      <c r="L68" s="1">
        <f t="shared" si="2"/>
        <v>0</v>
      </c>
    </row>
    <row r="69" spans="1:12" x14ac:dyDescent="0.25">
      <c r="A69" s="17">
        <f t="shared" si="3"/>
        <v>68</v>
      </c>
      <c r="B69" s="20">
        <v>45731</v>
      </c>
      <c r="C69" s="21" t="s">
        <v>491</v>
      </c>
      <c r="D69" s="21"/>
      <c r="E69" s="21"/>
      <c r="F69" s="21"/>
      <c r="G69" s="21" t="s">
        <v>492</v>
      </c>
      <c r="H69" s="21" t="s">
        <v>492</v>
      </c>
      <c r="I69" s="21" t="s">
        <v>492</v>
      </c>
      <c r="J69" t="s">
        <v>47</v>
      </c>
      <c r="K69" t="s">
        <v>262</v>
      </c>
      <c r="L69" s="1">
        <f t="shared" si="2"/>
        <v>7</v>
      </c>
    </row>
    <row r="70" spans="1:12" x14ac:dyDescent="0.25">
      <c r="A70" s="17">
        <f t="shared" si="3"/>
        <v>69</v>
      </c>
      <c r="B70" s="20">
        <v>45732</v>
      </c>
      <c r="C70" s="21" t="s">
        <v>491</v>
      </c>
      <c r="D70" s="21"/>
      <c r="E70" s="21"/>
      <c r="F70" s="21"/>
      <c r="G70" s="21" t="s">
        <v>492</v>
      </c>
      <c r="H70" s="21" t="s">
        <v>492</v>
      </c>
      <c r="I70" s="21" t="s">
        <v>492</v>
      </c>
      <c r="J70" t="s">
        <v>78</v>
      </c>
      <c r="K70" t="s">
        <v>118</v>
      </c>
      <c r="L70" s="1">
        <f t="shared" si="2"/>
        <v>0</v>
      </c>
    </row>
    <row r="71" spans="1:12" x14ac:dyDescent="0.25">
      <c r="A71" s="17">
        <f t="shared" si="3"/>
        <v>70</v>
      </c>
      <c r="B71" s="20">
        <v>45733</v>
      </c>
      <c r="C71" s="21" t="s">
        <v>491</v>
      </c>
      <c r="D71" s="21"/>
      <c r="E71" s="21"/>
      <c r="F71" s="21"/>
      <c r="G71" s="21" t="s">
        <v>492</v>
      </c>
      <c r="H71" s="21" t="s">
        <v>492</v>
      </c>
      <c r="I71" s="21" t="s">
        <v>492</v>
      </c>
      <c r="J71" t="s">
        <v>35</v>
      </c>
      <c r="K71" t="s">
        <v>118</v>
      </c>
      <c r="L71" s="1">
        <f t="shared" si="2"/>
        <v>2</v>
      </c>
    </row>
    <row r="72" spans="1:12" x14ac:dyDescent="0.25">
      <c r="A72" s="17">
        <f t="shared" si="3"/>
        <v>71</v>
      </c>
      <c r="B72" s="20">
        <v>45734</v>
      </c>
      <c r="C72" s="21" t="s">
        <v>491</v>
      </c>
      <c r="D72" s="21"/>
      <c r="E72" s="21"/>
      <c r="F72" s="21"/>
      <c r="G72" s="21" t="s">
        <v>492</v>
      </c>
      <c r="H72" s="21" t="s">
        <v>492</v>
      </c>
      <c r="I72" s="21" t="s">
        <v>492</v>
      </c>
      <c r="J72" t="s">
        <v>251</v>
      </c>
      <c r="K72" t="s">
        <v>261</v>
      </c>
      <c r="L72" s="1">
        <f t="shared" si="2"/>
        <v>1</v>
      </c>
    </row>
    <row r="73" spans="1:12" x14ac:dyDescent="0.25">
      <c r="A73" s="17">
        <f t="shared" si="3"/>
        <v>72</v>
      </c>
      <c r="B73" s="20">
        <v>45735</v>
      </c>
      <c r="C73" s="21" t="s">
        <v>491</v>
      </c>
      <c r="D73" s="21"/>
      <c r="E73" s="21"/>
      <c r="F73" s="21"/>
      <c r="G73" s="21" t="s">
        <v>492</v>
      </c>
      <c r="H73" s="21" t="s">
        <v>492</v>
      </c>
      <c r="I73" s="21" t="s">
        <v>492</v>
      </c>
      <c r="J73" t="s">
        <v>79</v>
      </c>
      <c r="K73" t="s">
        <v>118</v>
      </c>
      <c r="L73" s="1">
        <f t="shared" si="2"/>
        <v>0</v>
      </c>
    </row>
    <row r="74" spans="1:12" x14ac:dyDescent="0.25">
      <c r="A74" s="17">
        <f t="shared" si="3"/>
        <v>73</v>
      </c>
      <c r="B74" s="20">
        <v>45736</v>
      </c>
      <c r="C74" s="21" t="s">
        <v>491</v>
      </c>
      <c r="D74" s="21"/>
      <c r="E74" s="21"/>
      <c r="F74" s="21"/>
      <c r="G74" s="21" t="s">
        <v>492</v>
      </c>
      <c r="H74" s="21" t="s">
        <v>492</v>
      </c>
      <c r="I74" s="21" t="s">
        <v>492</v>
      </c>
      <c r="J74" t="s">
        <v>28</v>
      </c>
      <c r="K74" t="s">
        <v>120</v>
      </c>
      <c r="L74" s="1">
        <f t="shared" si="2"/>
        <v>1</v>
      </c>
    </row>
    <row r="75" spans="1:12" x14ac:dyDescent="0.25">
      <c r="A75" s="17">
        <f t="shared" si="3"/>
        <v>74</v>
      </c>
      <c r="B75" s="20">
        <v>45737</v>
      </c>
      <c r="C75" s="21" t="s">
        <v>491</v>
      </c>
      <c r="D75" s="21"/>
      <c r="E75" s="21"/>
      <c r="F75" s="21"/>
      <c r="G75" s="21" t="s">
        <v>492</v>
      </c>
      <c r="H75" s="21" t="s">
        <v>492</v>
      </c>
      <c r="I75" s="21" t="s">
        <v>492</v>
      </c>
      <c r="J75" t="s">
        <v>91</v>
      </c>
      <c r="K75" t="s">
        <v>120</v>
      </c>
      <c r="L75" s="1">
        <f t="shared" si="2"/>
        <v>0</v>
      </c>
    </row>
    <row r="76" spans="1:12" x14ac:dyDescent="0.25">
      <c r="A76" s="17">
        <f t="shared" si="3"/>
        <v>75</v>
      </c>
      <c r="B76" s="20">
        <v>45738</v>
      </c>
      <c r="C76" s="21" t="s">
        <v>491</v>
      </c>
      <c r="D76" s="21"/>
      <c r="E76" s="21"/>
      <c r="F76" s="21"/>
      <c r="G76" s="21" t="s">
        <v>492</v>
      </c>
      <c r="H76" s="21" t="s">
        <v>492</v>
      </c>
      <c r="I76" s="21" t="s">
        <v>492</v>
      </c>
      <c r="J76" t="s">
        <v>245</v>
      </c>
      <c r="K76" t="s">
        <v>261</v>
      </c>
      <c r="L76" s="1">
        <f t="shared" si="2"/>
        <v>3</v>
      </c>
    </row>
    <row r="77" spans="1:12" x14ac:dyDescent="0.25">
      <c r="A77" s="17">
        <f t="shared" si="3"/>
        <v>76</v>
      </c>
      <c r="B77" s="20">
        <v>45739</v>
      </c>
      <c r="C77" s="21" t="s">
        <v>491</v>
      </c>
      <c r="D77" s="21"/>
      <c r="E77" s="21"/>
      <c r="F77" s="21"/>
      <c r="G77" s="21" t="s">
        <v>492</v>
      </c>
      <c r="H77" s="21" t="s">
        <v>492</v>
      </c>
      <c r="I77" s="21" t="s">
        <v>492</v>
      </c>
      <c r="J77" t="s">
        <v>107</v>
      </c>
      <c r="K77" t="s">
        <v>127</v>
      </c>
      <c r="L77" s="1">
        <f t="shared" si="2"/>
        <v>1</v>
      </c>
    </row>
    <row r="78" spans="1:12" x14ac:dyDescent="0.25">
      <c r="A78" s="17">
        <f t="shared" si="3"/>
        <v>77</v>
      </c>
      <c r="B78" s="20">
        <v>45740</v>
      </c>
      <c r="C78" s="21" t="s">
        <v>491</v>
      </c>
      <c r="D78" s="21"/>
      <c r="E78" s="21"/>
      <c r="F78" s="21"/>
      <c r="G78" s="21" t="s">
        <v>492</v>
      </c>
      <c r="H78" s="21" t="s">
        <v>492</v>
      </c>
      <c r="I78" s="21" t="s">
        <v>492</v>
      </c>
      <c r="J78" t="s">
        <v>46</v>
      </c>
      <c r="K78" t="s">
        <v>127</v>
      </c>
      <c r="L78" s="1">
        <f t="shared" si="2"/>
        <v>1</v>
      </c>
    </row>
    <row r="79" spans="1:12" x14ac:dyDescent="0.25">
      <c r="A79" s="17">
        <f t="shared" si="3"/>
        <v>78</v>
      </c>
      <c r="B79" s="20">
        <v>45741</v>
      </c>
      <c r="C79" s="21" t="s">
        <v>491</v>
      </c>
      <c r="D79" s="21"/>
      <c r="E79" s="21"/>
      <c r="F79" s="21"/>
      <c r="G79" s="21" t="s">
        <v>492</v>
      </c>
      <c r="H79" s="21" t="s">
        <v>492</v>
      </c>
      <c r="I79" s="21" t="s">
        <v>492</v>
      </c>
      <c r="J79" t="s">
        <v>254</v>
      </c>
      <c r="K79" t="s">
        <v>120</v>
      </c>
      <c r="L79" s="1">
        <f t="shared" si="2"/>
        <v>0</v>
      </c>
    </row>
    <row r="80" spans="1:12" x14ac:dyDescent="0.25">
      <c r="A80" s="17">
        <f t="shared" si="3"/>
        <v>79</v>
      </c>
      <c r="B80" s="20">
        <v>45742</v>
      </c>
      <c r="C80" s="21" t="s">
        <v>491</v>
      </c>
      <c r="D80" s="21"/>
      <c r="E80" s="21"/>
      <c r="F80" s="21"/>
      <c r="G80" s="21" t="s">
        <v>492</v>
      </c>
      <c r="H80" s="21" t="s">
        <v>492</v>
      </c>
      <c r="I80" s="21" t="s">
        <v>492</v>
      </c>
      <c r="J80" t="s">
        <v>58</v>
      </c>
      <c r="K80" t="s">
        <v>118</v>
      </c>
      <c r="L80" s="1">
        <f t="shared" si="2"/>
        <v>0</v>
      </c>
    </row>
    <row r="81" spans="1:12" x14ac:dyDescent="0.25">
      <c r="A81" s="17">
        <f t="shared" si="3"/>
        <v>80</v>
      </c>
      <c r="B81" s="20">
        <v>45743</v>
      </c>
      <c r="C81" s="21" t="s">
        <v>491</v>
      </c>
      <c r="D81" s="21"/>
      <c r="E81" s="21"/>
      <c r="F81" s="21"/>
      <c r="G81" s="21" t="s">
        <v>492</v>
      </c>
      <c r="H81" s="21" t="s">
        <v>492</v>
      </c>
      <c r="I81" s="21" t="s">
        <v>492</v>
      </c>
      <c r="J81" t="s">
        <v>49</v>
      </c>
      <c r="K81" t="s">
        <v>120</v>
      </c>
      <c r="L81" s="1">
        <f t="shared" si="2"/>
        <v>0</v>
      </c>
    </row>
    <row r="82" spans="1:12" x14ac:dyDescent="0.25">
      <c r="A82" s="17">
        <f t="shared" si="3"/>
        <v>81</v>
      </c>
      <c r="B82" s="20">
        <v>45744</v>
      </c>
      <c r="C82" s="21" t="s">
        <v>203</v>
      </c>
      <c r="D82" s="21" t="s">
        <v>518</v>
      </c>
      <c r="E82" s="22" t="s">
        <v>519</v>
      </c>
      <c r="F82" s="21" t="s">
        <v>124</v>
      </c>
      <c r="G82" s="21"/>
      <c r="H82" s="21"/>
      <c r="I82" s="21" t="s">
        <v>40</v>
      </c>
      <c r="J82" t="s">
        <v>90</v>
      </c>
      <c r="K82" t="s">
        <v>120</v>
      </c>
      <c r="L82" s="1">
        <f t="shared" si="2"/>
        <v>2</v>
      </c>
    </row>
    <row r="83" spans="1:12" x14ac:dyDescent="0.25">
      <c r="A83" s="17">
        <f t="shared" si="3"/>
        <v>82</v>
      </c>
      <c r="B83" s="20">
        <v>45745</v>
      </c>
      <c r="C83" s="21" t="s">
        <v>520</v>
      </c>
      <c r="D83" s="21"/>
      <c r="E83" s="22"/>
      <c r="F83" s="21"/>
      <c r="G83" s="21" t="s">
        <v>492</v>
      </c>
      <c r="H83" s="21" t="s">
        <v>492</v>
      </c>
      <c r="I83" s="21" t="s">
        <v>492</v>
      </c>
      <c r="J83" t="s">
        <v>101</v>
      </c>
      <c r="K83" t="s">
        <v>124</v>
      </c>
      <c r="L83" s="1">
        <f t="shared" si="2"/>
        <v>1</v>
      </c>
    </row>
    <row r="84" spans="1:12" x14ac:dyDescent="0.25">
      <c r="A84" s="17">
        <f t="shared" si="3"/>
        <v>83</v>
      </c>
      <c r="B84" s="20">
        <v>45746</v>
      </c>
      <c r="C84" s="21" t="s">
        <v>203</v>
      </c>
      <c r="D84" s="21" t="s">
        <v>518</v>
      </c>
      <c r="E84" s="22" t="s">
        <v>519</v>
      </c>
      <c r="F84" s="21" t="s">
        <v>262</v>
      </c>
      <c r="G84" t="s">
        <v>256</v>
      </c>
      <c r="H84" t="s">
        <v>88</v>
      </c>
      <c r="I84" t="s">
        <v>67</v>
      </c>
      <c r="J84" t="s">
        <v>63</v>
      </c>
      <c r="K84" t="s">
        <v>127</v>
      </c>
      <c r="L84" s="1">
        <f t="shared" si="2"/>
        <v>1</v>
      </c>
    </row>
    <row r="85" spans="1:12" ht="26.25" x14ac:dyDescent="0.25">
      <c r="A85" s="17">
        <f t="shared" si="3"/>
        <v>84</v>
      </c>
      <c r="B85" s="20">
        <v>45747</v>
      </c>
      <c r="C85" s="21" t="s">
        <v>203</v>
      </c>
      <c r="D85" s="21" t="s">
        <v>518</v>
      </c>
      <c r="E85" s="22" t="s">
        <v>519</v>
      </c>
      <c r="F85" t="s">
        <v>261</v>
      </c>
      <c r="G85" s="69" t="s">
        <v>250</v>
      </c>
      <c r="H85" t="s">
        <v>247</v>
      </c>
      <c r="J85" t="s">
        <v>93</v>
      </c>
      <c r="K85" t="s">
        <v>120</v>
      </c>
      <c r="L85" s="1">
        <f t="shared" si="2"/>
        <v>0</v>
      </c>
    </row>
    <row r="86" spans="1:12" x14ac:dyDescent="0.25">
      <c r="A86" s="17">
        <v>85</v>
      </c>
      <c r="B86" s="20">
        <v>45748</v>
      </c>
      <c r="C86" s="21" t="s">
        <v>203</v>
      </c>
      <c r="D86" s="68" t="s">
        <v>521</v>
      </c>
      <c r="E86" s="69" t="s">
        <v>522</v>
      </c>
      <c r="F86" s="68" t="s">
        <v>120</v>
      </c>
      <c r="G86" t="s">
        <v>28</v>
      </c>
      <c r="H86" t="s">
        <v>34</v>
      </c>
      <c r="I86" t="s">
        <v>257</v>
      </c>
      <c r="J86" t="s">
        <v>98</v>
      </c>
      <c r="K86" t="s">
        <v>118</v>
      </c>
      <c r="L86" s="1">
        <f t="shared" si="2"/>
        <v>0</v>
      </c>
    </row>
    <row r="87" spans="1:12" x14ac:dyDescent="0.25">
      <c r="A87" s="17">
        <v>86</v>
      </c>
      <c r="B87" s="20">
        <v>45749</v>
      </c>
      <c r="C87" s="21" t="s">
        <v>203</v>
      </c>
      <c r="D87" s="68" t="s">
        <v>521</v>
      </c>
      <c r="E87" s="69" t="s">
        <v>523</v>
      </c>
      <c r="F87" s="68" t="s">
        <v>127</v>
      </c>
      <c r="G87" t="s">
        <v>64</v>
      </c>
      <c r="J87" t="s">
        <v>73</v>
      </c>
      <c r="K87" t="s">
        <v>120</v>
      </c>
      <c r="L87" s="1">
        <f t="shared" si="2"/>
        <v>0</v>
      </c>
    </row>
    <row r="88" spans="1:12" x14ac:dyDescent="0.25">
      <c r="A88" s="17" t="str">
        <f t="shared" si="3"/>
        <v/>
      </c>
      <c r="J88" t="s">
        <v>85</v>
      </c>
      <c r="K88" t="s">
        <v>127</v>
      </c>
      <c r="L88" s="1">
        <f t="shared" si="2"/>
        <v>1</v>
      </c>
    </row>
    <row r="89" spans="1:12" x14ac:dyDescent="0.25">
      <c r="A89" s="17" t="str">
        <f t="shared" si="3"/>
        <v/>
      </c>
      <c r="J89" t="s">
        <v>260</v>
      </c>
      <c r="K89" t="s">
        <v>118</v>
      </c>
      <c r="L89" s="1">
        <f t="shared" si="2"/>
        <v>1</v>
      </c>
    </row>
    <row r="90" spans="1:12" x14ac:dyDescent="0.25">
      <c r="A90" s="17" t="str">
        <f t="shared" si="3"/>
        <v/>
      </c>
      <c r="J90" t="s">
        <v>67</v>
      </c>
      <c r="K90" t="s">
        <v>262</v>
      </c>
      <c r="L90" s="1">
        <f t="shared" si="2"/>
        <v>2</v>
      </c>
    </row>
    <row r="91" spans="1:12" x14ac:dyDescent="0.25">
      <c r="A91" s="17" t="str">
        <f t="shared" si="3"/>
        <v/>
      </c>
      <c r="J91" t="s">
        <v>92</v>
      </c>
      <c r="K91" t="s">
        <v>120</v>
      </c>
      <c r="L91" s="1">
        <f t="shared" si="2"/>
        <v>1</v>
      </c>
    </row>
    <row r="92" spans="1:12" x14ac:dyDescent="0.25">
      <c r="A92" s="17" t="str">
        <f t="shared" si="3"/>
        <v/>
      </c>
      <c r="J92" t="s">
        <v>75</v>
      </c>
      <c r="K92" t="s">
        <v>118</v>
      </c>
      <c r="L92" s="1">
        <f t="shared" si="2"/>
        <v>2</v>
      </c>
    </row>
    <row r="93" spans="1:12" x14ac:dyDescent="0.25">
      <c r="A93" s="17" t="str">
        <f t="shared" si="3"/>
        <v/>
      </c>
      <c r="J93" t="s">
        <v>88</v>
      </c>
      <c r="K93" t="s">
        <v>120</v>
      </c>
      <c r="L93" s="1">
        <f t="shared" si="2"/>
        <v>4</v>
      </c>
    </row>
    <row r="94" spans="1:12" x14ac:dyDescent="0.25">
      <c r="A94" s="17" t="str">
        <f t="shared" si="3"/>
        <v/>
      </c>
      <c r="J94" t="s">
        <v>81</v>
      </c>
      <c r="K94" t="s">
        <v>124</v>
      </c>
      <c r="L94" s="1">
        <f t="shared" si="2"/>
        <v>0</v>
      </c>
    </row>
    <row r="95" spans="1:12" x14ac:dyDescent="0.25">
      <c r="A95" s="17" t="str">
        <f t="shared" si="3"/>
        <v/>
      </c>
      <c r="J95" t="s">
        <v>55</v>
      </c>
      <c r="K95" t="s">
        <v>118</v>
      </c>
      <c r="L95" s="1">
        <f t="shared" si="2"/>
        <v>1</v>
      </c>
    </row>
    <row r="96" spans="1:12" x14ac:dyDescent="0.25">
      <c r="A96" s="17" t="str">
        <f t="shared" si="3"/>
        <v/>
      </c>
      <c r="J96" t="s">
        <v>105</v>
      </c>
      <c r="K96" t="s">
        <v>127</v>
      </c>
      <c r="L96" s="1">
        <f t="shared" si="2"/>
        <v>2</v>
      </c>
    </row>
    <row r="97" spans="1:12" x14ac:dyDescent="0.25">
      <c r="A97" s="17" t="str">
        <f t="shared" si="3"/>
        <v/>
      </c>
      <c r="J97" t="s">
        <v>249</v>
      </c>
      <c r="K97" t="s">
        <v>261</v>
      </c>
      <c r="L97" s="1">
        <f>COUNTIF($G$2:$I$97,J97)</f>
        <v>2</v>
      </c>
    </row>
    <row r="98" spans="1:12" x14ac:dyDescent="0.25">
      <c r="J98" t="s">
        <v>492</v>
      </c>
      <c r="L98" s="1">
        <f>COUNTIF($G$2:$I$97,J98)</f>
        <v>66</v>
      </c>
    </row>
  </sheetData>
  <autoFilter ref="A1:L98"/>
  <dataConsolidate/>
  <customSheetViews>
    <customSheetView guid="{95B9DE93-5E26-48CF-B2F2-F6D6799F59EE}" showPageBreaks="1" printArea="1" showAutoFilter="1" view="pageBreakPreview">
      <pane ySplit="1" topLeftCell="A56" activePane="bottomLeft" state="frozen"/>
      <selection pane="bottomLeft" activeCell="K73" sqref="K73"/>
      <pageMargins left="0.7" right="0.7" top="0.75" bottom="0.75" header="0.3" footer="0.3"/>
      <pageSetup paperSize="9" scale="27" orientation="portrait" r:id="rId1"/>
      <autoFilter ref="A1:L98"/>
    </customSheetView>
  </customSheetViews>
  <conditionalFormatting sqref="L2:L97">
    <cfRule type="cellIs" dxfId="5" priority="1" operator="lessThan">
      <formula>1</formula>
    </cfRule>
  </conditionalFormatting>
  <dataValidations count="4">
    <dataValidation type="custom" allowBlank="1" showInputMessage="1" showErrorMessage="1" sqref="F100:F110">
      <formula1>"SL/MDCS,SDCS,MS,FNTRL,LS,H2S"</formula1>
    </dataValidation>
    <dataValidation type="list" allowBlank="1" showInputMessage="1" showErrorMessage="1" sqref="F98:F99">
      <formula1>M98:M103</formula1>
    </dataValidation>
    <dataValidation type="list" allowBlank="1" showInputMessage="1" showErrorMessage="1" sqref="F2:F97">
      <formula1>$M$2:$M$7</formula1>
    </dataValidation>
    <dataValidation type="list" allowBlank="1" showInputMessage="1" showErrorMessage="1" sqref="H2:H84 G2:G85 I2:I85 H87:I144 G88:G144">
      <formula1>$J$2:$J$98</formula1>
    </dataValidation>
  </dataValidations>
  <pageMargins left="0.7" right="0.7" top="0.75" bottom="0.75" header="0.3" footer="0.3"/>
  <pageSetup paperSize="9" scale="27" orientation="portrait" r:id="rId2"/>
  <drawing r:id="rId3"/>
  <legacyDrawing r:id="rId4"/>
  <controls>
    <mc:AlternateContent xmlns:mc="http://schemas.openxmlformats.org/markup-compatibility/2006">
      <mc:Choice Requires="x14">
        <control shapeId="6147" r:id="rId5" name="CommandButton1">
          <controlPr defaultSize="0" autoLine="0" r:id="rId6">
            <anchor moveWithCells="1">
              <from>
                <xdr:col>13</xdr:col>
                <xdr:colOff>390525</xdr:colOff>
                <xdr:row>0</xdr:row>
                <xdr:rowOff>209550</xdr:rowOff>
              </from>
              <to>
                <xdr:col>16</xdr:col>
                <xdr:colOff>76200</xdr:colOff>
                <xdr:row>0</xdr:row>
                <xdr:rowOff>676275</xdr:rowOff>
              </to>
            </anchor>
          </controlPr>
        </control>
      </mc:Choice>
      <mc:Fallback>
        <control shapeId="6147" r:id="rId5"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L92"/>
  <sheetViews>
    <sheetView tabSelected="1" view="pageBreakPreview" zoomScale="70" zoomScaleNormal="100" zoomScaleSheetLayoutView="70" workbookViewId="0">
      <pane xSplit="2" topLeftCell="C1" activePane="topRight" state="frozen"/>
      <selection activeCell="A49" sqref="A49"/>
      <selection pane="topRight" activeCell="AG16" sqref="AG16"/>
    </sheetView>
  </sheetViews>
  <sheetFormatPr defaultRowHeight="15" x14ac:dyDescent="0.25"/>
  <cols>
    <col min="2" max="2" width="32.7109375" bestFit="1" customWidth="1"/>
    <col min="5" max="5" width="9.140625" style="63"/>
    <col min="8" max="14" width="9.140625" customWidth="1"/>
    <col min="20" max="26" width="9.140625" hidden="1" customWidth="1"/>
    <col min="27" max="27" width="12.5703125" bestFit="1" customWidth="1"/>
    <col min="28" max="28" width="12.7109375" bestFit="1" customWidth="1"/>
    <col min="29" max="29" width="11.140625" bestFit="1" customWidth="1"/>
    <col min="30" max="30" width="10.7109375" bestFit="1" customWidth="1"/>
    <col min="31" max="31" width="11.42578125" bestFit="1" customWidth="1"/>
    <col min="32" max="32" width="10.42578125" bestFit="1" customWidth="1"/>
    <col min="34" max="38" width="10.7109375" customWidth="1"/>
  </cols>
  <sheetData>
    <row r="1" spans="1:38" x14ac:dyDescent="0.25">
      <c r="A1" s="1" t="s">
        <v>0</v>
      </c>
      <c r="B1" s="1" t="s">
        <v>13</v>
      </c>
      <c r="C1" s="1" t="s">
        <v>14</v>
      </c>
      <c r="D1" s="1" t="s">
        <v>15</v>
      </c>
      <c r="E1" s="5" t="s">
        <v>16</v>
      </c>
      <c r="F1" s="1" t="s">
        <v>17</v>
      </c>
      <c r="G1" s="1" t="s">
        <v>18</v>
      </c>
      <c r="H1" s="1" t="s">
        <v>19</v>
      </c>
      <c r="I1" s="1" t="s">
        <v>20</v>
      </c>
      <c r="J1" s="1" t="s">
        <v>21</v>
      </c>
      <c r="K1" s="1" t="s">
        <v>22</v>
      </c>
      <c r="L1" s="1" t="s">
        <v>23</v>
      </c>
      <c r="M1" s="1" t="s">
        <v>24</v>
      </c>
      <c r="N1" s="1" t="s">
        <v>25</v>
      </c>
      <c r="O1">
        <v>1</v>
      </c>
      <c r="P1">
        <v>2</v>
      </c>
      <c r="Q1">
        <v>3</v>
      </c>
      <c r="R1">
        <v>4</v>
      </c>
      <c r="S1">
        <v>5</v>
      </c>
      <c r="T1">
        <v>6</v>
      </c>
      <c r="U1">
        <v>7</v>
      </c>
      <c r="V1">
        <v>8</v>
      </c>
      <c r="W1">
        <v>9</v>
      </c>
      <c r="X1">
        <v>10</v>
      </c>
      <c r="Y1">
        <v>11</v>
      </c>
      <c r="Z1">
        <v>12</v>
      </c>
      <c r="AA1" s="16" t="s">
        <v>503</v>
      </c>
      <c r="AB1" s="16" t="s">
        <v>504</v>
      </c>
      <c r="AC1" s="16" t="s">
        <v>505</v>
      </c>
      <c r="AD1" s="16" t="s">
        <v>506</v>
      </c>
      <c r="AE1" s="16" t="s">
        <v>502</v>
      </c>
      <c r="AF1" s="16" t="s">
        <v>507</v>
      </c>
      <c r="AG1" s="16" t="s">
        <v>508</v>
      </c>
      <c r="AH1" s="16" t="s">
        <v>509</v>
      </c>
      <c r="AI1" s="16" t="s">
        <v>510</v>
      </c>
      <c r="AJ1" s="16" t="s">
        <v>511</v>
      </c>
      <c r="AK1" s="16" t="s">
        <v>512</v>
      </c>
      <c r="AL1" s="16" t="s">
        <v>513</v>
      </c>
    </row>
    <row r="2" spans="1:38" x14ac:dyDescent="0.25">
      <c r="A2" s="1">
        <v>1</v>
      </c>
      <c r="B2" s="9" t="s">
        <v>26</v>
      </c>
      <c r="C2" s="2">
        <v>0.96153846153846156</v>
      </c>
      <c r="D2" s="10">
        <f>[1]Feb!$AI$6</f>
        <v>1</v>
      </c>
      <c r="E2" s="12">
        <f>INDEX([1]Mar!$E$6:$AM$110,MATCH(B2,[1]Mar!$E$6:$E$110,0),34)</f>
        <v>0.88971291866028701</v>
      </c>
      <c r="F2" s="63">
        <f>INDEX([1]Apr!$E$6:$AM$110,MATCH(B2,[1]Apr!$E$6:$E$110,0),33)</f>
        <v>1</v>
      </c>
      <c r="O2">
        <f>[2]Jan!AO6</f>
        <v>21</v>
      </c>
      <c r="P2">
        <f>[2]Feb!AK6</f>
        <v>21</v>
      </c>
      <c r="Q2">
        <f>[1]Mar!AQ6</f>
        <v>22</v>
      </c>
      <c r="R2">
        <f>INDEX([1]Apr!$E$6:$AP$110,MATCH(B2,[1]Apr!$E$6:$E$110,0),38)</f>
        <v>10</v>
      </c>
      <c r="AA2">
        <f>INDEX([1]Jan!$E$6:$F$106,MATCH(B2,[1]Jan!$E$6:$E$106,0),2)</f>
        <v>1</v>
      </c>
      <c r="AB2">
        <f>INDEX([1]Feb!$E$6:$F$106,MATCH(B2,[1]Feb!$E$6:$E$106,0),2)</f>
        <v>1</v>
      </c>
      <c r="AC2">
        <f>INDEX([1]Mar!$E$6:$F$111,MATCH(B2,[1]Mar!$E$6:$E$111,0),2)</f>
        <v>1</v>
      </c>
      <c r="AD2">
        <v>1</v>
      </c>
    </row>
    <row r="3" spans="1:38" x14ac:dyDescent="0.25">
      <c r="A3" s="1">
        <v>1</v>
      </c>
      <c r="B3" s="9" t="s">
        <v>27</v>
      </c>
      <c r="C3" s="2">
        <v>0.96</v>
      </c>
      <c r="D3" s="10">
        <f>[2]Feb!AI7</f>
        <v>1</v>
      </c>
      <c r="E3" s="12">
        <f>INDEX([1]Mar!$E$6:$AM$110,MATCH(B3,[1]Mar!$E$6:$E$110,0),34)</f>
        <v>0.80454545454545445</v>
      </c>
      <c r="F3" s="63">
        <f>INDEX([1]Apr!$E$6:$AM$110,MATCH(B3,[1]Apr!$E$6:$E$110,0),33)</f>
        <v>0.78653846153846163</v>
      </c>
      <c r="O3">
        <f>[2]Jan!AO7</f>
        <v>21</v>
      </c>
      <c r="P3">
        <f>[2]Feb!AK7</f>
        <v>20</v>
      </c>
      <c r="Q3">
        <f>[1]Mar!AQ7</f>
        <v>22</v>
      </c>
      <c r="R3">
        <f>INDEX([1]Apr!$E$6:$AP$110,MATCH(B3,[1]Apr!$E$6:$E$110,0),38)</f>
        <v>13</v>
      </c>
      <c r="AA3">
        <f>INDEX([1]Jan!$E$6:$F$106,MATCH(B3,[1]Jan!$E$6:$E$106,0),2)</f>
        <v>1</v>
      </c>
      <c r="AB3">
        <f>INDEX([1]Feb!$E$6:$F$106,MATCH(B3,[1]Feb!$E$6:$E$106,0),2)</f>
        <v>1</v>
      </c>
      <c r="AC3">
        <f>INDEX([1]Mar!$E$6:$F$111,MATCH(B3,[1]Mar!$E$6:$E$111,0),2)</f>
        <v>1</v>
      </c>
      <c r="AD3">
        <v>1</v>
      </c>
    </row>
    <row r="4" spans="1:38" x14ac:dyDescent="0.25">
      <c r="A4" s="1">
        <v>1</v>
      </c>
      <c r="B4" s="62" t="s">
        <v>28</v>
      </c>
      <c r="C4" s="2">
        <v>1</v>
      </c>
      <c r="D4" s="10">
        <f>[2]Feb!AI8</f>
        <v>0.96153846153846156</v>
      </c>
      <c r="E4" s="12">
        <f>INDEX([1]Mar!$E$6:$AM$110,MATCH(B4,[1]Mar!$E$6:$E$110,0),34)</f>
        <v>0.87666666666666671</v>
      </c>
      <c r="F4" s="63">
        <f>INDEX([1]Apr!$E$6:$AM$110,MATCH(B4,[1]Apr!$E$6:$E$110,0),33)</f>
        <v>1</v>
      </c>
      <c r="O4">
        <f>[2]Jan!AO8</f>
        <v>20</v>
      </c>
      <c r="P4">
        <f>[2]Feb!AK8</f>
        <v>16</v>
      </c>
      <c r="Q4">
        <f>SUM([1]Mar!$AQ$8,[1]Mar!$AQ$64)</f>
        <v>24</v>
      </c>
      <c r="R4">
        <f>INDEX([1]Apr!$E$6:$AP$110,MATCH(B4,[1]Apr!$E$6:$E$110,0),38)</f>
        <v>18</v>
      </c>
      <c r="AA4">
        <f>INDEX([1]Jan!$E$6:$F$106,MATCH(B4,[1]Jan!$E$6:$E$106,0),2)</f>
        <v>1</v>
      </c>
      <c r="AB4">
        <f>INDEX([1]Feb!$E$6:$F$106,MATCH(B4,[1]Feb!$E$6:$E$106,0),2)</f>
        <v>1</v>
      </c>
      <c r="AC4">
        <f>INDEX([1]Mar!$E$6:$F$111,MATCH(B4,[1]Mar!$E$6:$E$111,0),2)</f>
        <v>1</v>
      </c>
      <c r="AD4">
        <v>3</v>
      </c>
    </row>
    <row r="5" spans="1:38" x14ac:dyDescent="0.25">
      <c r="A5" s="1">
        <v>1</v>
      </c>
      <c r="B5" s="9" t="s">
        <v>29</v>
      </c>
      <c r="C5" s="2">
        <v>1</v>
      </c>
      <c r="D5" s="10">
        <f>[2]Feb!AI9</f>
        <v>1</v>
      </c>
      <c r="E5" s="12">
        <f>INDEX([1]Mar!$E$6:$AM$110,MATCH(B5,[1]Mar!$E$6:$E$110,0),34)</f>
        <v>0.91217391304347828</v>
      </c>
      <c r="F5" s="63">
        <f>INDEX([1]Apr!$E$6:$AM$110,MATCH(B5,[1]Apr!$E$6:$E$110,0),33)</f>
        <v>0.96666666666666667</v>
      </c>
      <c r="O5">
        <f>[2]Jan!AO9</f>
        <v>23</v>
      </c>
      <c r="P5">
        <f>[2]Feb!AK9</f>
        <v>23</v>
      </c>
      <c r="Q5">
        <f>[1]Mar!AQ9</f>
        <v>25</v>
      </c>
      <c r="R5">
        <f>INDEX([1]Apr!$E$6:$AP$110,MATCH(B5,[1]Apr!$E$6:$E$110,0),38)</f>
        <v>15</v>
      </c>
      <c r="AA5">
        <f>INDEX([1]Jan!$E$6:$F$106,MATCH(B5,[1]Jan!$E$6:$E$106,0),2)</f>
        <v>1</v>
      </c>
      <c r="AB5">
        <f>INDEX([1]Feb!$E$6:$F$106,MATCH(B5,[1]Feb!$E$6:$E$106,0),2)</f>
        <v>1</v>
      </c>
      <c r="AC5">
        <f>INDEX([1]Mar!$E$6:$F$111,MATCH(B5,[1]Mar!$E$6:$E$111,0),2)</f>
        <v>1</v>
      </c>
      <c r="AD5">
        <v>1</v>
      </c>
    </row>
    <row r="6" spans="1:38" x14ac:dyDescent="0.25">
      <c r="A6" s="1">
        <v>1</v>
      </c>
      <c r="B6" s="9" t="s">
        <v>30</v>
      </c>
      <c r="C6" s="2">
        <v>1</v>
      </c>
      <c r="D6" s="10">
        <f>[2]Feb!AI10</f>
        <v>1</v>
      </c>
      <c r="E6" s="12">
        <f>INDEX([1]Mar!$E$6:$AM$110,MATCH(B6,[1]Mar!$E$6:$E$110,0),34)</f>
        <v>0.84868421052631571</v>
      </c>
      <c r="F6" s="63">
        <f>INDEX([1]Apr!$E$6:$AM$110,MATCH(B6,[1]Apr!$E$6:$E$110,0),33)</f>
        <v>0.93809523809523809</v>
      </c>
      <c r="O6">
        <f>[2]Jan!AO10</f>
        <v>23</v>
      </c>
      <c r="P6">
        <f>[2]Feb!AK10</f>
        <v>20</v>
      </c>
      <c r="Q6">
        <f>[1]Mar!AQ10</f>
        <v>20</v>
      </c>
      <c r="R6">
        <f>INDEX([1]Apr!$E$6:$AP$110,MATCH(B6,[1]Apr!$E$6:$E$110,0),38)</f>
        <v>15</v>
      </c>
      <c r="AA6">
        <f>INDEX([1]Jan!$E$6:$F$106,MATCH(B6,[1]Jan!$E$6:$E$106,0),2)</f>
        <v>1</v>
      </c>
      <c r="AB6">
        <f>INDEX([1]Feb!$E$6:$F$106,MATCH(B6,[1]Feb!$E$6:$E$106,0),2)</f>
        <v>1</v>
      </c>
      <c r="AC6">
        <f>INDEX([1]Mar!$E$6:$F$111,MATCH(B6,[1]Mar!$E$6:$E$111,0),2)</f>
        <v>1</v>
      </c>
      <c r="AD6">
        <v>1</v>
      </c>
    </row>
    <row r="7" spans="1:38" x14ac:dyDescent="0.25">
      <c r="A7" s="1">
        <v>1</v>
      </c>
      <c r="B7" s="9" t="s">
        <v>31</v>
      </c>
      <c r="C7" s="2">
        <v>1</v>
      </c>
      <c r="D7" s="10">
        <f>[2]Feb!AI11</f>
        <v>0.92592592592592593</v>
      </c>
      <c r="E7" s="12">
        <f>INDEX([1]Mar!$E$6:$AM$110,MATCH(B7,[1]Mar!$E$6:$E$110,0),34)</f>
        <v>0.9</v>
      </c>
      <c r="F7" s="63">
        <f>INDEX([1]Apr!$E$6:$AM$110,MATCH(B7,[1]Apr!$E$6:$E$110,0),33)</f>
        <v>0.9933333333333334</v>
      </c>
      <c r="O7">
        <f>[2]Jan!AO11</f>
        <v>22</v>
      </c>
      <c r="P7">
        <f>[2]Feb!AK11</f>
        <v>17</v>
      </c>
      <c r="Q7">
        <f>[1]Mar!AQ11</f>
        <v>22</v>
      </c>
      <c r="R7">
        <f>INDEX([1]Apr!$E$6:$AP$110,MATCH(B7,[1]Apr!$E$6:$E$110,0),38)</f>
        <v>15</v>
      </c>
      <c r="AA7">
        <f>INDEX([1]Jan!$E$6:$F$106,MATCH(B7,[1]Jan!$E$6:$E$106,0),2)</f>
        <v>1</v>
      </c>
      <c r="AB7">
        <f>INDEX([1]Feb!$E$6:$F$106,MATCH(B7,[1]Feb!$E$6:$E$106,0),2)</f>
        <v>1</v>
      </c>
      <c r="AC7">
        <f>INDEX([1]Mar!$E$6:$F$111,MATCH(B7,[1]Mar!$E$6:$E$111,0),2)</f>
        <v>1</v>
      </c>
      <c r="AD7">
        <v>1</v>
      </c>
    </row>
    <row r="8" spans="1:38" x14ac:dyDescent="0.25">
      <c r="A8" s="1">
        <v>1</v>
      </c>
      <c r="B8" s="9" t="s">
        <v>32</v>
      </c>
      <c r="C8" s="2">
        <v>1</v>
      </c>
      <c r="D8" s="10">
        <f>[2]Feb!AI12</f>
        <v>1</v>
      </c>
      <c r="E8" s="12">
        <f>INDEX([1]Mar!$E$6:$AM$110,MATCH(B8,[1]Mar!$E$6:$E$110,0),34)</f>
        <v>0.95833333333333326</v>
      </c>
      <c r="F8" s="63">
        <f>INDEX([1]Apr!$E$6:$AM$110,MATCH(B8,[1]Apr!$E$6:$E$110,0),33)</f>
        <v>1</v>
      </c>
      <c r="O8">
        <f>[2]Jan!AO12</f>
        <v>15</v>
      </c>
      <c r="P8">
        <f>[2]Feb!AK12</f>
        <v>13</v>
      </c>
      <c r="Q8">
        <f>[1]Mar!AQ12</f>
        <v>12</v>
      </c>
      <c r="R8">
        <f>INDEX([1]Apr!$E$6:$AP$110,MATCH(B8,[1]Apr!$E$6:$E$110,0),38)</f>
        <v>12</v>
      </c>
      <c r="AA8">
        <f>INDEX([1]Jan!$E$6:$F$106,MATCH(B8,[1]Jan!$E$6:$E$106,0),2)</f>
        <v>1</v>
      </c>
      <c r="AB8">
        <f>INDEX([1]Feb!$E$6:$F$106,MATCH(B8,[1]Feb!$E$6:$E$106,0),2)</f>
        <v>1</v>
      </c>
      <c r="AC8">
        <f>INDEX([1]Mar!$E$6:$F$111,MATCH(B8,[1]Mar!$E$6:$E$111,0),2)</f>
        <v>1</v>
      </c>
      <c r="AD8">
        <v>1</v>
      </c>
    </row>
    <row r="9" spans="1:38" x14ac:dyDescent="0.25">
      <c r="A9" s="1">
        <v>1</v>
      </c>
      <c r="B9" s="9" t="s">
        <v>33</v>
      </c>
      <c r="C9" s="2">
        <v>1</v>
      </c>
      <c r="D9" s="10">
        <f>[2]Feb!AI13</f>
        <v>1</v>
      </c>
      <c r="E9" s="12">
        <f>INDEX([1]Mar!$E$6:$AM$110,MATCH(B9,[1]Mar!$E$6:$E$110,0),34)</f>
        <v>0.85553359683794472</v>
      </c>
      <c r="F9" s="63">
        <f>INDEX([1]Apr!$E$6:$AM$110,MATCH(B9,[1]Apr!$E$6:$E$110,0),33)</f>
        <v>0.9</v>
      </c>
      <c r="O9">
        <f>[2]Jan!AO13</f>
        <v>17</v>
      </c>
      <c r="P9">
        <f>[2]Feb!AK13</f>
        <v>16</v>
      </c>
      <c r="Q9">
        <f>[1]Mar!AQ13</f>
        <v>23</v>
      </c>
      <c r="R9">
        <f>INDEX([1]Apr!$E$6:$AP$110,MATCH(B9,[1]Apr!$E$6:$E$110,0),38)</f>
        <v>12</v>
      </c>
      <c r="AA9">
        <f>INDEX([1]Jan!$E$6:$F$106,MATCH(B9,[1]Jan!$E$6:$E$106,0),2)</f>
        <v>1</v>
      </c>
      <c r="AB9">
        <f>INDEX([1]Feb!$E$6:$F$106,MATCH(B9,[1]Feb!$E$6:$E$106,0),2)</f>
        <v>1</v>
      </c>
      <c r="AC9">
        <f>INDEX([1]Mar!$E$6:$F$111,MATCH(B9,[1]Mar!$E$6:$E$111,0),2)</f>
        <v>1</v>
      </c>
      <c r="AD9">
        <v>1</v>
      </c>
    </row>
    <row r="10" spans="1:38" x14ac:dyDescent="0.25">
      <c r="A10" s="1">
        <v>1</v>
      </c>
      <c r="B10" s="9" t="s">
        <v>34</v>
      </c>
      <c r="C10" s="2">
        <v>1</v>
      </c>
      <c r="D10" s="10">
        <f>[2]Feb!AI14</f>
        <v>1</v>
      </c>
      <c r="E10" s="12">
        <f>INDEX([1]Mar!$E$6:$AM$110,MATCH(B10,[1]Mar!$E$6:$E$110,0),34)</f>
        <v>0.82777777777777772</v>
      </c>
      <c r="F10" s="63">
        <f>INDEX([1]Apr!$E$6:$AM$110,MATCH(B10,[1]Apr!$E$6:$E$110,0),33)</f>
        <v>0.92307692307692313</v>
      </c>
      <c r="O10">
        <f>[2]Jan!AO14</f>
        <v>21</v>
      </c>
      <c r="P10">
        <f>[2]Feb!AK14</f>
        <v>22</v>
      </c>
      <c r="Q10">
        <f>[1]Mar!AQ14</f>
        <v>18</v>
      </c>
      <c r="R10">
        <f>INDEX([1]Apr!$E$6:$AP$110,MATCH(B10,[1]Apr!$E$6:$E$110,0),38)</f>
        <v>13</v>
      </c>
      <c r="AA10">
        <f>INDEX([1]Jan!$E$6:$F$106,MATCH(B10,[1]Jan!$E$6:$E$106,0),2)</f>
        <v>1</v>
      </c>
      <c r="AB10">
        <f>INDEX([1]Feb!$E$6:$F$106,MATCH(B10,[1]Feb!$E$6:$E$106,0),2)</f>
        <v>1</v>
      </c>
      <c r="AC10">
        <f>INDEX([1]Mar!$E$6:$F$111,MATCH(B10,[1]Mar!$E$6:$E$111,0),2)</f>
        <v>1</v>
      </c>
      <c r="AD10">
        <v>1</v>
      </c>
    </row>
    <row r="11" spans="1:38" x14ac:dyDescent="0.25">
      <c r="A11" s="1">
        <v>1</v>
      </c>
      <c r="B11" s="9" t="s">
        <v>35</v>
      </c>
      <c r="C11" s="2">
        <v>1</v>
      </c>
      <c r="D11" s="10">
        <f>[2]Feb!AI15</f>
        <v>0.96296296296296291</v>
      </c>
      <c r="E11" s="12">
        <f>INDEX([1]Mar!$E$6:$AM$110,MATCH(B11,[1]Mar!$E$6:$E$110,0),34)</f>
        <v>0.97083333333333333</v>
      </c>
      <c r="F11" s="63">
        <f>INDEX([1]Apr!$E$6:$AM$110,MATCH(B11,[1]Apr!$E$6:$E$110,0),33)</f>
        <v>1</v>
      </c>
      <c r="O11">
        <f>[2]Jan!AO15</f>
        <v>17</v>
      </c>
      <c r="P11">
        <f>[2]Feb!AK15</f>
        <v>16</v>
      </c>
      <c r="Q11">
        <f>[1]Mar!AQ15</f>
        <v>24</v>
      </c>
      <c r="R11">
        <f>INDEX([1]Apr!$E$6:$AP$110,MATCH(B11,[1]Apr!$E$6:$E$110,0),38)</f>
        <v>16</v>
      </c>
      <c r="AA11">
        <f>INDEX([1]Jan!$E$6:$F$106,MATCH(B11,[1]Jan!$E$6:$E$106,0),2)</f>
        <v>1</v>
      </c>
      <c r="AB11">
        <f>INDEX([1]Feb!$E$6:$F$106,MATCH(B11,[1]Feb!$E$6:$E$106,0),2)</f>
        <v>1</v>
      </c>
      <c r="AC11">
        <f>INDEX([1]Mar!$E$6:$F$111,MATCH(B11,[1]Mar!$E$6:$E$111,0),2)</f>
        <v>1</v>
      </c>
      <c r="AD11">
        <v>1</v>
      </c>
    </row>
    <row r="12" spans="1:38" x14ac:dyDescent="0.25">
      <c r="A12" s="1">
        <v>1</v>
      </c>
      <c r="B12" s="9" t="s">
        <v>36</v>
      </c>
      <c r="C12" s="2">
        <v>1</v>
      </c>
      <c r="D12" s="10">
        <f>[2]Feb!AI16</f>
        <v>1</v>
      </c>
      <c r="E12" s="12">
        <f>INDEX([1]Mar!$E$6:$AM$110,MATCH(B12,[1]Mar!$E$6:$E$110,0),34)</f>
        <v>0.96666666666666667</v>
      </c>
      <c r="F12" s="63">
        <f>INDEX([1]Apr!$E$6:$AM$110,MATCH(B12,[1]Apr!$E$6:$E$110,0),33)</f>
        <v>1</v>
      </c>
      <c r="O12">
        <f>[2]Jan!AO16</f>
        <v>18</v>
      </c>
      <c r="P12">
        <f>[2]Feb!AK16</f>
        <v>14</v>
      </c>
      <c r="Q12">
        <f>[1]Mar!AQ16</f>
        <v>21</v>
      </c>
      <c r="R12">
        <f>INDEX([1]Apr!$E$6:$AP$110,MATCH(B12,[1]Apr!$E$6:$E$110,0),38)</f>
        <v>10</v>
      </c>
      <c r="AA12">
        <f>INDEX([1]Jan!$E$6:$F$106,MATCH(B12,[1]Jan!$E$6:$E$106,0),2)</f>
        <v>1</v>
      </c>
      <c r="AB12">
        <f>INDEX([1]Feb!$E$6:$F$106,MATCH(B12,[1]Feb!$E$6:$E$106,0),2)</f>
        <v>1</v>
      </c>
      <c r="AC12">
        <f>INDEX([1]Mar!$E$6:$F$111,MATCH(B12,[1]Mar!$E$6:$E$111,0),2)</f>
        <v>1</v>
      </c>
      <c r="AD12">
        <v>1</v>
      </c>
    </row>
    <row r="13" spans="1:38" x14ac:dyDescent="0.25">
      <c r="A13" s="1">
        <v>1</v>
      </c>
      <c r="B13" s="9" t="s">
        <v>37</v>
      </c>
      <c r="C13" s="2">
        <v>1</v>
      </c>
      <c r="D13" s="10">
        <f>[2]Feb!AI17</f>
        <v>0.96296296296296291</v>
      </c>
      <c r="E13" s="12">
        <f>INDEX([1]Mar!$E$6:$AM$110,MATCH(B13,[1]Mar!$E$6:$E$110,0),34)</f>
        <v>0.81666666666666665</v>
      </c>
      <c r="F13" s="63">
        <f>INDEX([1]Apr!$E$6:$AM$110,MATCH(B13,[1]Apr!$E$6:$E$110,0),33)</f>
        <v>0.9194444444444444</v>
      </c>
      <c r="O13">
        <f>[2]Jan!AO17</f>
        <v>20</v>
      </c>
      <c r="P13">
        <f>[2]Feb!AK17</f>
        <v>21</v>
      </c>
      <c r="Q13">
        <f>[1]Mar!AQ17</f>
        <v>20</v>
      </c>
      <c r="R13">
        <f>INDEX([1]Apr!$E$6:$AP$110,MATCH(B13,[1]Apr!$E$6:$E$110,0),38)</f>
        <v>9</v>
      </c>
      <c r="AA13">
        <f>INDEX([1]Jan!$E$6:$F$106,MATCH(B13,[1]Jan!$E$6:$E$106,0),2)</f>
        <v>1</v>
      </c>
      <c r="AB13">
        <f>INDEX([1]Feb!$E$6:$F$106,MATCH(B13,[1]Feb!$E$6:$E$106,0),2)</f>
        <v>1</v>
      </c>
      <c r="AC13">
        <f>INDEX([1]Mar!$E$6:$F$111,MATCH(B13,[1]Mar!$E$6:$E$111,0),2)</f>
        <v>1</v>
      </c>
      <c r="AD13">
        <v>1</v>
      </c>
    </row>
    <row r="14" spans="1:38" x14ac:dyDescent="0.25">
      <c r="A14" s="1">
        <v>1</v>
      </c>
      <c r="B14" s="9" t="s">
        <v>38</v>
      </c>
      <c r="C14" s="2">
        <v>1</v>
      </c>
      <c r="D14" s="10">
        <f>[2]Feb!AI18</f>
        <v>0.96296296296296291</v>
      </c>
      <c r="E14" s="12">
        <f>INDEX([1]Mar!$E$6:$AM$110,MATCH(B14,[1]Mar!$E$6:$E$110,0),34)</f>
        <v>0.94119047619047613</v>
      </c>
      <c r="F14" s="63">
        <f>INDEX([1]Apr!$E$6:$AM$110,MATCH(B14,[1]Apr!$E$6:$E$110,0),33)</f>
        <v>0.9285714285714286</v>
      </c>
      <c r="O14">
        <f>[2]Jan!AO18</f>
        <v>23</v>
      </c>
      <c r="P14">
        <f>[2]Feb!AK18</f>
        <v>19</v>
      </c>
      <c r="Q14">
        <f>[1]Mar!AQ18</f>
        <v>21</v>
      </c>
      <c r="R14">
        <f>INDEX([1]Apr!$E$6:$AP$110,MATCH(B14,[1]Apr!$E$6:$E$110,0),38)</f>
        <v>14</v>
      </c>
      <c r="AA14">
        <f>INDEX([1]Jan!$E$6:$F$106,MATCH(B14,[1]Jan!$E$6:$E$106,0),2)</f>
        <v>1</v>
      </c>
      <c r="AB14">
        <f>INDEX([1]Feb!$E$6:$F$106,MATCH(B14,[1]Feb!$E$6:$E$106,0),2)</f>
        <v>1</v>
      </c>
      <c r="AC14">
        <f>INDEX([1]Mar!$E$6:$F$111,MATCH(B14,[1]Mar!$E$6:$E$111,0),2)</f>
        <v>1</v>
      </c>
      <c r="AD14">
        <v>1</v>
      </c>
    </row>
    <row r="15" spans="1:38" x14ac:dyDescent="0.25">
      <c r="A15" s="1">
        <v>1</v>
      </c>
      <c r="B15" s="9" t="s">
        <v>39</v>
      </c>
      <c r="C15" s="2">
        <v>0.96153846153846156</v>
      </c>
      <c r="D15" s="10">
        <f>[2]Feb!AI19</f>
        <v>1</v>
      </c>
      <c r="E15" s="12">
        <f>INDEX([1]Mar!$E$6:$AM$110,MATCH(B15,[1]Mar!$E$6:$E$110,0),34)</f>
        <v>0.65764411027568925</v>
      </c>
      <c r="F15" s="63">
        <f>INDEX([1]Apr!$E$6:$AM$110,MATCH(B15,[1]Apr!$E$6:$E$110,0),33)</f>
        <v>0.7142857142857143</v>
      </c>
      <c r="O15">
        <f>[2]Jan!AO19</f>
        <v>14</v>
      </c>
      <c r="P15">
        <f>[2]Feb!AK19</f>
        <v>23</v>
      </c>
      <c r="Q15">
        <f>[1]Mar!AQ19</f>
        <v>21</v>
      </c>
      <c r="R15">
        <f>INDEX([1]Apr!$E$6:$AP$110,MATCH(B15,[1]Apr!$E$6:$E$110,0),38)</f>
        <v>14</v>
      </c>
      <c r="AA15">
        <f>INDEX([1]Jan!$E$6:$F$106,MATCH(B15,[1]Jan!$E$6:$E$106,0),2)</f>
        <v>1</v>
      </c>
      <c r="AB15">
        <f>INDEX([1]Feb!$E$6:$F$106,MATCH(B15,[1]Feb!$E$6:$E$106,0),2)</f>
        <v>1</v>
      </c>
      <c r="AC15">
        <f>INDEX([1]Mar!$E$6:$F$111,MATCH(B15,[1]Mar!$E$6:$E$111,0),2)</f>
        <v>1</v>
      </c>
      <c r="AD15">
        <v>1</v>
      </c>
    </row>
    <row r="16" spans="1:38" x14ac:dyDescent="0.25">
      <c r="A16" s="1">
        <v>1</v>
      </c>
      <c r="B16" s="9" t="s">
        <v>40</v>
      </c>
      <c r="C16" s="2">
        <v>1</v>
      </c>
      <c r="D16" s="10">
        <f>[2]Feb!AI20</f>
        <v>1</v>
      </c>
      <c r="E16" s="12">
        <f>INDEX([1]Mar!$E$6:$AM$110,MATCH(B16,[1]Mar!$E$6:$E$110,0),34)</f>
        <v>0.95199999999999996</v>
      </c>
      <c r="F16" s="63">
        <f>INDEX([1]Apr!$E$6:$AM$110,MATCH(B16,[1]Apr!$E$6:$E$110,0),33)</f>
        <v>1</v>
      </c>
      <c r="O16">
        <f>[2]Jan!AO20</f>
        <v>22</v>
      </c>
      <c r="P16">
        <f>[2]Feb!AK20</f>
        <v>22</v>
      </c>
      <c r="Q16">
        <f>[1]Mar!AQ20</f>
        <v>25</v>
      </c>
      <c r="R16">
        <f>INDEX([1]Apr!$E$6:$AP$110,MATCH(B16,[1]Apr!$E$6:$E$110,0),38)</f>
        <v>16</v>
      </c>
      <c r="AA16">
        <f>INDEX([1]Jan!$E$6:$F$106,MATCH(B16,[1]Jan!$E$6:$E$106,0),2)</f>
        <v>1</v>
      </c>
      <c r="AB16">
        <f>INDEX([1]Feb!$E$6:$F$106,MATCH(B16,[1]Feb!$E$6:$E$106,0),2)</f>
        <v>1</v>
      </c>
      <c r="AC16">
        <f>INDEX([1]Mar!$E$6:$F$111,MATCH(B16,[1]Mar!$E$6:$E$111,0),2)</f>
        <v>1</v>
      </c>
      <c r="AD16">
        <v>1</v>
      </c>
    </row>
    <row r="17" spans="1:30" x14ac:dyDescent="0.25">
      <c r="A17" s="1">
        <v>1</v>
      </c>
      <c r="B17" s="9" t="s">
        <v>41</v>
      </c>
      <c r="C17" s="2">
        <v>1</v>
      </c>
      <c r="D17" s="10">
        <f>[2]Feb!AI21</f>
        <v>1</v>
      </c>
      <c r="E17" s="12">
        <f>INDEX([1]Mar!$E$6:$AM$110,MATCH(B17,[1]Mar!$E$6:$E$110,0),34)</f>
        <v>0.78807017543859648</v>
      </c>
      <c r="F17" s="63">
        <f>INDEX([1]Apr!$E$6:$AM$110,MATCH(B17,[1]Apr!$E$6:$E$110,0),33)</f>
        <v>0.90909090909090917</v>
      </c>
      <c r="O17">
        <f>[2]Jan!AO21</f>
        <v>19</v>
      </c>
      <c r="P17">
        <f>[2]Feb!AK21</f>
        <v>16</v>
      </c>
      <c r="Q17">
        <f>[1]Mar!AQ21</f>
        <v>19</v>
      </c>
      <c r="R17">
        <f>INDEX([1]Apr!$E$6:$AP$110,MATCH(B17,[1]Apr!$E$6:$E$110,0),38)</f>
        <v>11</v>
      </c>
      <c r="AA17">
        <f>INDEX([1]Jan!$E$6:$F$106,MATCH(B17,[1]Jan!$E$6:$E$106,0),2)</f>
        <v>1</v>
      </c>
      <c r="AB17">
        <f>INDEX([1]Feb!$E$6:$F$106,MATCH(B17,[1]Feb!$E$6:$E$106,0),2)</f>
        <v>1</v>
      </c>
      <c r="AC17">
        <f>INDEX([1]Mar!$E$6:$F$111,MATCH(B17,[1]Mar!$E$6:$E$111,0),2)</f>
        <v>1</v>
      </c>
      <c r="AD17">
        <v>1</v>
      </c>
    </row>
    <row r="18" spans="1:30" x14ac:dyDescent="0.25">
      <c r="A18" s="1">
        <v>1</v>
      </c>
      <c r="B18" s="9" t="s">
        <v>42</v>
      </c>
      <c r="C18" s="2">
        <v>1</v>
      </c>
      <c r="D18" s="10">
        <f>[2]Feb!AI22</f>
        <v>1</v>
      </c>
      <c r="E18" s="12">
        <f>INDEX([1]Mar!$E$6:$AM$110,MATCH(B18,[1]Mar!$E$6:$E$110,0),34)</f>
        <v>0.90833333333333333</v>
      </c>
      <c r="F18" s="63">
        <f>INDEX([1]Apr!$E$6:$AM$110,MATCH(B18,[1]Apr!$E$6:$E$110,0),33)</f>
        <v>1</v>
      </c>
      <c r="O18">
        <f>[2]Jan!AO22</f>
        <v>21</v>
      </c>
      <c r="P18">
        <f>[2]Feb!AK22</f>
        <v>23</v>
      </c>
      <c r="Q18">
        <f>[1]Mar!AQ22</f>
        <v>24</v>
      </c>
      <c r="R18">
        <f>INDEX([1]Apr!$E$6:$AP$110,MATCH(B18,[1]Apr!$E$6:$E$110,0),38)</f>
        <v>16</v>
      </c>
      <c r="AA18">
        <f>INDEX([1]Jan!$E$6:$F$106,MATCH(B18,[1]Jan!$E$6:$E$106,0),2)</f>
        <v>1</v>
      </c>
      <c r="AB18">
        <f>INDEX([1]Feb!$E$6:$F$106,MATCH(B18,[1]Feb!$E$6:$E$106,0),2)</f>
        <v>1</v>
      </c>
      <c r="AC18">
        <f>INDEX([1]Mar!$E$6:$F$111,MATCH(B18,[1]Mar!$E$6:$E$111,0),2)</f>
        <v>1</v>
      </c>
      <c r="AD18">
        <v>1</v>
      </c>
    </row>
    <row r="19" spans="1:30" x14ac:dyDescent="0.25">
      <c r="A19" s="1">
        <v>1</v>
      </c>
      <c r="B19" s="9" t="s">
        <v>43</v>
      </c>
      <c r="C19" s="2">
        <v>1</v>
      </c>
      <c r="D19" s="10">
        <f>[2]Feb!AI23</f>
        <v>0.96296296296296291</v>
      </c>
      <c r="E19" s="12">
        <f>INDEX([1]Mar!$E$6:$AM$110,MATCH(B19,[1]Mar!$E$6:$E$110,0),34)</f>
        <v>0.96666666666666667</v>
      </c>
      <c r="F19" s="63">
        <f>INDEX([1]Apr!$E$6:$AM$110,MATCH(B19,[1]Apr!$E$6:$E$110,0),33)</f>
        <v>1</v>
      </c>
      <c r="O19">
        <f>[2]Jan!AO23</f>
        <v>20</v>
      </c>
      <c r="P19">
        <f>[2]Feb!AK23</f>
        <v>19</v>
      </c>
      <c r="Q19">
        <f>[1]Mar!AQ23</f>
        <v>21</v>
      </c>
      <c r="R19">
        <f>INDEX([1]Apr!$E$6:$AP$110,MATCH(B19,[1]Apr!$E$6:$E$110,0),38)</f>
        <v>10</v>
      </c>
      <c r="AA19">
        <f>INDEX([1]Jan!$E$6:$F$106,MATCH(B19,[1]Jan!$E$6:$E$106,0),2)</f>
        <v>1</v>
      </c>
      <c r="AB19">
        <f>INDEX([1]Feb!$E$6:$F$106,MATCH(B19,[1]Feb!$E$6:$E$106,0),2)</f>
        <v>1</v>
      </c>
      <c r="AC19">
        <f>INDEX([1]Mar!$E$6:$F$111,MATCH(B19,[1]Mar!$E$6:$E$111,0),2)</f>
        <v>1</v>
      </c>
      <c r="AD19">
        <v>1</v>
      </c>
    </row>
    <row r="20" spans="1:30" x14ac:dyDescent="0.25">
      <c r="A20" s="1">
        <v>1</v>
      </c>
      <c r="B20" s="9" t="s">
        <v>44</v>
      </c>
      <c r="C20" s="2">
        <v>0.96153846153846156</v>
      </c>
      <c r="D20" s="10">
        <f>[2]Feb!AI24</f>
        <v>1</v>
      </c>
      <c r="E20" s="12">
        <f>INDEX([1]Mar!$E$6:$AM$110,MATCH(B20,[1]Mar!$E$6:$E$110,0),34)</f>
        <v>0.74469696969696964</v>
      </c>
      <c r="F20" s="63">
        <f>INDEX([1]Apr!$E$6:$AM$110,MATCH(B20,[1]Apr!$E$6:$E$110,0),33)</f>
        <v>0.92727272727272725</v>
      </c>
      <c r="O20">
        <f>[2]Jan!AO24</f>
        <v>21</v>
      </c>
      <c r="P20">
        <f>[2]Feb!AK24</f>
        <v>22</v>
      </c>
      <c r="Q20">
        <f>[1]Mar!AQ24</f>
        <v>24</v>
      </c>
      <c r="R20">
        <f>INDEX([1]Apr!$E$6:$AP$110,MATCH(B20,[1]Apr!$E$6:$E$110,0),38)</f>
        <v>11</v>
      </c>
      <c r="AA20">
        <f>INDEX([1]Jan!$E$6:$F$106,MATCH(B20,[1]Jan!$E$6:$E$106,0),2)</f>
        <v>1</v>
      </c>
      <c r="AB20">
        <f>INDEX([1]Feb!$E$6:$F$106,MATCH(B20,[1]Feb!$E$6:$E$106,0),2)</f>
        <v>1</v>
      </c>
      <c r="AC20">
        <f>INDEX([1]Mar!$E$6:$F$111,MATCH(B20,[1]Mar!$E$6:$E$111,0),2)</f>
        <v>1</v>
      </c>
      <c r="AD20">
        <v>1</v>
      </c>
    </row>
    <row r="21" spans="1:30" x14ac:dyDescent="0.25">
      <c r="A21" s="1">
        <v>1</v>
      </c>
      <c r="B21" s="9" t="s">
        <v>45</v>
      </c>
      <c r="C21" s="2">
        <v>0.96153846153846156</v>
      </c>
      <c r="D21" s="10">
        <f>[2]Feb!AI25</f>
        <v>1</v>
      </c>
      <c r="E21" s="12">
        <f>INDEX([1]Mar!$E$6:$AM$110,MATCH(B21,[1]Mar!$E$6:$E$110,0),34)</f>
        <v>0.89166666666666661</v>
      </c>
      <c r="F21" s="63">
        <f>INDEX([1]Apr!$E$6:$AM$110,MATCH(B21,[1]Apr!$E$6:$E$110,0),33)</f>
        <v>1</v>
      </c>
      <c r="O21">
        <f>[2]Jan!AO25</f>
        <v>19</v>
      </c>
      <c r="P21">
        <f>[2]Feb!AK25</f>
        <v>23</v>
      </c>
      <c r="Q21">
        <f>[1]Mar!AQ25</f>
        <v>24</v>
      </c>
      <c r="R21">
        <f>INDEX([1]Apr!$E$6:$AP$110,MATCH(B21,[1]Apr!$E$6:$E$110,0),38)</f>
        <v>16</v>
      </c>
      <c r="AA21">
        <f>INDEX([1]Jan!$E$6:$F$106,MATCH(B21,[1]Jan!$E$6:$E$106,0),2)</f>
        <v>1</v>
      </c>
      <c r="AB21">
        <f>INDEX([1]Feb!$E$6:$F$106,MATCH(B21,[1]Feb!$E$6:$E$106,0),2)</f>
        <v>1</v>
      </c>
      <c r="AC21">
        <f>INDEX([1]Mar!$E$6:$F$111,MATCH(B21,[1]Mar!$E$6:$E$111,0),2)</f>
        <v>1</v>
      </c>
      <c r="AD21">
        <v>1</v>
      </c>
    </row>
    <row r="22" spans="1:30" x14ac:dyDescent="0.25">
      <c r="A22" s="1">
        <v>1</v>
      </c>
      <c r="B22" s="9" t="s">
        <v>46</v>
      </c>
      <c r="C22" s="2">
        <v>1</v>
      </c>
      <c r="D22" s="10">
        <f>[2]Feb!AI26</f>
        <v>1</v>
      </c>
      <c r="E22" s="12">
        <f>INDEX([1]Mar!$E$6:$AM$110,MATCH(B22,[1]Mar!$E$6:$E$110,0),34)</f>
        <v>0.92272727272727273</v>
      </c>
      <c r="F22" s="63">
        <f>INDEX([1]Apr!$E$6:$AM$110,MATCH(B22,[1]Apr!$E$6:$E$110,0),33)</f>
        <v>1</v>
      </c>
      <c r="O22">
        <f>[2]Jan!AO26</f>
        <v>17</v>
      </c>
      <c r="P22">
        <f>[2]Feb!AK26</f>
        <v>21</v>
      </c>
      <c r="Q22">
        <f>[1]Mar!AQ26</f>
        <v>22</v>
      </c>
      <c r="R22">
        <f>INDEX([1]Apr!$E$6:$AP$110,MATCH(B22,[1]Apr!$E$6:$E$110,0),38)</f>
        <v>12</v>
      </c>
      <c r="AA22">
        <f>INDEX([1]Jan!$E$6:$F$106,MATCH(B22,[1]Jan!$E$6:$E$106,0),2)</f>
        <v>1</v>
      </c>
      <c r="AB22">
        <f>INDEX([1]Feb!$E$6:$F$106,MATCH(B22,[1]Feb!$E$6:$E$106,0),2)</f>
        <v>1</v>
      </c>
      <c r="AC22">
        <f>INDEX([1]Mar!$E$6:$F$111,MATCH(B22,[1]Mar!$E$6:$E$111,0),2)</f>
        <v>1</v>
      </c>
      <c r="AD22">
        <v>1</v>
      </c>
    </row>
    <row r="23" spans="1:30" x14ac:dyDescent="0.25">
      <c r="A23" s="1">
        <v>2</v>
      </c>
      <c r="B23" s="9" t="s">
        <v>47</v>
      </c>
      <c r="C23" s="2">
        <v>1</v>
      </c>
      <c r="D23" s="10">
        <f>[2]Feb!AI34</f>
        <v>1</v>
      </c>
      <c r="E23" s="12">
        <f>INDEX([1]Mar!$E$6:$AM$110,MATCH(B23,[1]Mar!$E$6:$E$110,0),34)</f>
        <v>0.996</v>
      </c>
      <c r="F23" s="63">
        <f>INDEX([1]Apr!$E$6:$AM$110,MATCH(B23,[1]Apr!$E$6:$E$110,0),33)</f>
        <v>1</v>
      </c>
      <c r="O23">
        <f>[2]Jan!AO34</f>
        <v>22</v>
      </c>
      <c r="P23">
        <f>[2]Feb!AK34</f>
        <v>16</v>
      </c>
      <c r="Q23">
        <f>[1]Mar!AQ34</f>
        <v>25</v>
      </c>
      <c r="R23">
        <f>INDEX([1]Apr!$E$6:$AP$110,MATCH(B23,[1]Apr!$E$6:$E$110,0),38)</f>
        <v>14</v>
      </c>
      <c r="AA23">
        <f>INDEX([1]Jan!$E$6:$F$106,MATCH(B23,[1]Jan!$E$6:$E$106,0),2)</f>
        <v>2</v>
      </c>
      <c r="AB23">
        <f>INDEX([1]Feb!$E$6:$F$106,MATCH(B23,[1]Feb!$E$6:$E$106,0),2)</f>
        <v>2</v>
      </c>
      <c r="AC23">
        <f>INDEX([1]Mar!$E$6:$F$111,MATCH(B23,[1]Mar!$E$6:$E$111,0),2)</f>
        <v>2</v>
      </c>
      <c r="AD23">
        <v>2</v>
      </c>
    </row>
    <row r="24" spans="1:30" x14ac:dyDescent="0.25">
      <c r="A24" s="1">
        <v>2</v>
      </c>
      <c r="B24" s="11" t="s">
        <v>88</v>
      </c>
      <c r="C24" s="2">
        <v>1</v>
      </c>
      <c r="D24" s="10">
        <f>[2]Feb!AI35</f>
        <v>1</v>
      </c>
      <c r="E24" s="12">
        <f>INDEX([1]Mar!$E$6:$AM$110,MATCH(B24,[1]Mar!$E$6:$E$110,0),34)</f>
        <v>0.98</v>
      </c>
      <c r="F24" s="63">
        <f>INDEX([1]Apr!$E$6:$AM$110,MATCH(B24,[1]Apr!$E$6:$E$110,0),33)</f>
        <v>1</v>
      </c>
      <c r="O24">
        <f>[2]Jan!AO35</f>
        <v>23</v>
      </c>
      <c r="P24">
        <f>[2]Feb!AK35</f>
        <v>18</v>
      </c>
      <c r="Q24">
        <f>[1]Mar!AQ35</f>
        <v>25</v>
      </c>
      <c r="R24">
        <f>INDEX([1]Apr!$E$6:$AP$110,MATCH(B24,[1]Apr!$E$6:$E$110,0),38)</f>
        <v>12</v>
      </c>
      <c r="AA24">
        <f>INDEX([1]Jan!$E$6:$F$106,MATCH(B24,[1]Jan!$E$6:$E$106,0),2)</f>
        <v>4</v>
      </c>
      <c r="AB24">
        <f>INDEX([1]Feb!$E$6:$F$106,MATCH(B24,[1]Feb!$E$6:$E$106,0),2)</f>
        <v>4</v>
      </c>
      <c r="AC24">
        <f>INDEX([1]Mar!$E$6:$F$111,MATCH(B24,[1]Mar!$E$6:$E$111,0),2)</f>
        <v>2</v>
      </c>
      <c r="AD24">
        <v>2</v>
      </c>
    </row>
    <row r="25" spans="1:30" x14ac:dyDescent="0.25">
      <c r="A25" s="1">
        <v>2</v>
      </c>
      <c r="B25" s="9" t="s">
        <v>48</v>
      </c>
      <c r="C25" s="2">
        <v>1</v>
      </c>
      <c r="D25" s="10">
        <f>[2]Feb!AI36</f>
        <v>1</v>
      </c>
      <c r="E25" s="12">
        <f>INDEX([1]Mar!$E$6:$AM$110,MATCH(B25,[1]Mar!$E$6:$E$110,0),34)</f>
        <v>0.98461538461538456</v>
      </c>
      <c r="F25" s="63">
        <f>INDEX([1]Apr!$E$6:$AM$110,MATCH(B25,[1]Apr!$E$6:$E$110,0),33)</f>
        <v>0.97777777777777775</v>
      </c>
      <c r="O25">
        <f>[2]Jan!AO36</f>
        <v>21</v>
      </c>
      <c r="P25">
        <f>[2]Feb!AK36</f>
        <v>21</v>
      </c>
      <c r="Q25">
        <f>[1]Mar!AQ36</f>
        <v>26</v>
      </c>
      <c r="R25">
        <f>INDEX([1]Apr!$E$6:$AP$110,MATCH(B25,[1]Apr!$E$6:$E$110,0),38)</f>
        <v>18</v>
      </c>
      <c r="AA25">
        <f>INDEX([1]Jan!$E$6:$F$106,MATCH(B25,[1]Jan!$E$6:$E$106,0),2)</f>
        <v>2</v>
      </c>
      <c r="AB25">
        <f>INDEX([1]Feb!$E$6:$F$106,MATCH(B25,[1]Feb!$E$6:$E$106,0),2)</f>
        <v>2</v>
      </c>
      <c r="AC25">
        <f>INDEX([1]Mar!$E$6:$F$111,MATCH(B25,[1]Mar!$E$6:$E$111,0),2)</f>
        <v>2</v>
      </c>
      <c r="AD25">
        <v>2</v>
      </c>
    </row>
    <row r="26" spans="1:30" x14ac:dyDescent="0.25">
      <c r="A26" s="1">
        <v>2</v>
      </c>
      <c r="B26" s="9" t="s">
        <v>49</v>
      </c>
      <c r="C26" s="2">
        <v>1</v>
      </c>
      <c r="D26" s="10">
        <f>[2]Feb!AI37</f>
        <v>1</v>
      </c>
      <c r="E26" s="12">
        <f>INDEX([1]Mar!$E$6:$AM$110,MATCH(B26,[1]Mar!$E$6:$E$110,0),34)</f>
        <v>0.96190476190476182</v>
      </c>
      <c r="F26" s="63">
        <f>INDEX([1]Apr!$E$6:$AM$110,MATCH(B26,[1]Apr!$E$6:$E$110,0),33)</f>
        <v>1</v>
      </c>
      <c r="O26">
        <f>[2]Jan!AO37</f>
        <v>13</v>
      </c>
      <c r="P26">
        <f>[2]Feb!AK37</f>
        <v>15</v>
      </c>
      <c r="Q26">
        <f>[1]Mar!AQ37</f>
        <v>21</v>
      </c>
      <c r="R26">
        <f>INDEX([1]Apr!$E$6:$AP$110,MATCH(B26,[1]Apr!$E$6:$E$110,0),38)</f>
        <v>10</v>
      </c>
      <c r="AA26">
        <f>INDEX([1]Jan!$E$6:$F$106,MATCH(B26,[1]Jan!$E$6:$E$106,0),2)</f>
        <v>2</v>
      </c>
      <c r="AB26">
        <f>INDEX([1]Feb!$E$6:$F$106,MATCH(B26,[1]Feb!$E$6:$E$106,0),2)</f>
        <v>2</v>
      </c>
      <c r="AC26">
        <f>INDEX([1]Mar!$E$6:$F$111,MATCH(B26,[1]Mar!$E$6:$E$111,0),2)</f>
        <v>2</v>
      </c>
      <c r="AD26">
        <v>2</v>
      </c>
    </row>
    <row r="27" spans="1:30" x14ac:dyDescent="0.25">
      <c r="A27" s="1">
        <v>2</v>
      </c>
      <c r="B27" s="9" t="s">
        <v>50</v>
      </c>
      <c r="C27" s="2">
        <v>1</v>
      </c>
      <c r="D27" s="10">
        <f>[2]Feb!AI38</f>
        <v>1</v>
      </c>
      <c r="E27" s="12">
        <f>INDEX([1]Mar!$E$6:$AM$110,MATCH(B27,[1]Mar!$E$6:$E$110,0),34)</f>
        <v>0.93043478260869561</v>
      </c>
      <c r="F27" s="63">
        <f>INDEX([1]Apr!$E$6:$AM$110,MATCH(B27,[1]Apr!$E$6:$E$110,0),33)</f>
        <v>0.99285714285714288</v>
      </c>
      <c r="O27">
        <f>[2]Jan!AO38</f>
        <v>22</v>
      </c>
      <c r="P27">
        <f>[2]Feb!AK38</f>
        <v>19</v>
      </c>
      <c r="Q27">
        <f>[1]Mar!AQ38</f>
        <v>23</v>
      </c>
      <c r="R27">
        <f>INDEX([1]Apr!$E$6:$AP$110,MATCH(B27,[1]Apr!$E$6:$E$110,0),38)</f>
        <v>14</v>
      </c>
      <c r="AA27">
        <f>INDEX([1]Jan!$E$6:$F$106,MATCH(B27,[1]Jan!$E$6:$E$106,0),2)</f>
        <v>2</v>
      </c>
      <c r="AB27">
        <f>INDEX([1]Feb!$E$6:$F$106,MATCH(B27,[1]Feb!$E$6:$E$106,0),2)</f>
        <v>2</v>
      </c>
      <c r="AC27">
        <f>INDEX([1]Mar!$E$6:$F$111,MATCH(B27,[1]Mar!$E$6:$E$111,0),2)</f>
        <v>2</v>
      </c>
      <c r="AD27">
        <v>2</v>
      </c>
    </row>
    <row r="28" spans="1:30" x14ac:dyDescent="0.25">
      <c r="A28" s="1">
        <v>2</v>
      </c>
      <c r="B28" s="9" t="s">
        <v>51</v>
      </c>
      <c r="C28" s="2">
        <v>1</v>
      </c>
      <c r="D28" s="10">
        <f>[2]Feb!AI39</f>
        <v>1</v>
      </c>
      <c r="E28" s="12">
        <f>INDEX([1]Mar!$E$6:$AM$110,MATCH(B28,[1]Mar!$E$6:$E$110,0),34)</f>
        <v>0.96250000000000002</v>
      </c>
      <c r="F28" s="63">
        <f>INDEX([1]Apr!$E$6:$AM$110,MATCH(B28,[1]Apr!$E$6:$E$110,0),33)</f>
        <v>1</v>
      </c>
      <c r="O28">
        <f>[2]Jan!AO39</f>
        <v>22</v>
      </c>
      <c r="P28">
        <f>[2]Feb!AK39</f>
        <v>23</v>
      </c>
      <c r="Q28">
        <f>[1]Mar!AQ39</f>
        <v>24</v>
      </c>
      <c r="R28">
        <f>INDEX([1]Apr!$E$6:$AP$110,MATCH(B28,[1]Apr!$E$6:$E$110,0),38)</f>
        <v>11</v>
      </c>
      <c r="AA28">
        <f>INDEX([1]Jan!$E$6:$F$106,MATCH(B28,[1]Jan!$E$6:$E$106,0),2)</f>
        <v>2</v>
      </c>
      <c r="AB28">
        <f>INDEX([1]Feb!$E$6:$F$106,MATCH(B28,[1]Feb!$E$6:$E$106,0),2)</f>
        <v>2</v>
      </c>
      <c r="AC28">
        <f>INDEX([1]Mar!$E$6:$F$111,MATCH(B28,[1]Mar!$E$6:$E$111,0),2)</f>
        <v>2</v>
      </c>
      <c r="AD28">
        <v>2</v>
      </c>
    </row>
    <row r="29" spans="1:30" x14ac:dyDescent="0.25">
      <c r="A29" s="1">
        <v>2</v>
      </c>
      <c r="B29" s="9" t="s">
        <v>52</v>
      </c>
      <c r="C29" s="2">
        <v>1</v>
      </c>
      <c r="D29" s="10">
        <f>[2]Feb!AI40</f>
        <v>1</v>
      </c>
      <c r="E29" s="12">
        <f>INDEX([1]Mar!$E$6:$AM$110,MATCH(B29,[1]Mar!$E$6:$E$110,0),34)</f>
        <v>0.95833333333333326</v>
      </c>
      <c r="F29" s="63">
        <f>INDEX([1]Apr!$E$6:$AM$110,MATCH(B29,[1]Apr!$E$6:$E$110,0),33)</f>
        <v>0.96111111111111103</v>
      </c>
      <c r="O29">
        <f>[2]Jan!AO40</f>
        <v>23</v>
      </c>
      <c r="P29">
        <f>[2]Feb!AK40</f>
        <v>22</v>
      </c>
      <c r="Q29">
        <f>[1]Mar!AQ40</f>
        <v>24</v>
      </c>
      <c r="R29">
        <f>INDEX([1]Apr!$E$6:$AP$110,MATCH(B29,[1]Apr!$E$6:$E$110,0),38)</f>
        <v>18</v>
      </c>
      <c r="AA29">
        <f>INDEX([1]Jan!$E$6:$F$106,MATCH(B29,[1]Jan!$E$6:$E$106,0),2)</f>
        <v>2</v>
      </c>
      <c r="AB29">
        <f>INDEX([1]Feb!$E$6:$F$106,MATCH(B29,[1]Feb!$E$6:$E$106,0),2)</f>
        <v>2</v>
      </c>
      <c r="AC29">
        <f>INDEX([1]Mar!$E$6:$F$111,MATCH(B29,[1]Mar!$E$6:$E$111,0),2)</f>
        <v>2</v>
      </c>
      <c r="AD29">
        <v>2</v>
      </c>
    </row>
    <row r="30" spans="1:30" x14ac:dyDescent="0.25">
      <c r="A30" s="1">
        <v>2</v>
      </c>
      <c r="B30" s="9" t="s">
        <v>53</v>
      </c>
      <c r="C30" s="2">
        <v>1</v>
      </c>
      <c r="D30" s="10">
        <f>[2]Feb!AI41</f>
        <v>1</v>
      </c>
      <c r="E30" s="12">
        <f>INDEX([1]Mar!$E$6:$AM$110,MATCH(B30,[1]Mar!$E$6:$E$110,0),34)</f>
        <v>0.98076923076923073</v>
      </c>
      <c r="F30" s="63">
        <f>INDEX([1]Apr!$E$6:$AM$110,MATCH(B30,[1]Apr!$E$6:$E$110,0),33)</f>
        <v>0.97777777777777775</v>
      </c>
      <c r="O30">
        <f>[2]Jan!AO41</f>
        <v>23</v>
      </c>
      <c r="P30">
        <f>[2]Feb!AK41</f>
        <v>23</v>
      </c>
      <c r="Q30">
        <f>[1]Mar!AQ41</f>
        <v>26</v>
      </c>
      <c r="R30">
        <f>INDEX([1]Apr!$E$6:$AP$110,MATCH(B30,[1]Apr!$E$6:$E$110,0),38)</f>
        <v>18</v>
      </c>
      <c r="AA30">
        <f>INDEX([1]Jan!$E$6:$F$106,MATCH(B30,[1]Jan!$E$6:$E$106,0),2)</f>
        <v>2</v>
      </c>
      <c r="AB30">
        <f>INDEX([1]Feb!$E$6:$F$106,MATCH(B30,[1]Feb!$E$6:$E$106,0),2)</f>
        <v>2</v>
      </c>
      <c r="AC30">
        <f>INDEX([1]Mar!$E$6:$F$111,MATCH(B30,[1]Mar!$E$6:$E$111,0),2)</f>
        <v>2</v>
      </c>
      <c r="AD30">
        <v>2</v>
      </c>
    </row>
    <row r="31" spans="1:30" x14ac:dyDescent="0.25">
      <c r="A31" s="1">
        <v>2</v>
      </c>
      <c r="B31" s="9" t="s">
        <v>54</v>
      </c>
      <c r="C31" s="2">
        <v>1</v>
      </c>
      <c r="D31" s="10">
        <f>[2]Feb!AI42</f>
        <v>1</v>
      </c>
      <c r="E31" s="12">
        <f>INDEX([1]Mar!$E$6:$AM$110,MATCH(B31,[1]Mar!$E$6:$E$110,0),34)</f>
        <v>0.9956521739130435</v>
      </c>
      <c r="F31" s="63">
        <f>INDEX([1]Apr!$E$6:$AM$110,MATCH(B31,[1]Apr!$E$6:$E$110,0),33)</f>
        <v>0.99375000000000002</v>
      </c>
      <c r="O31">
        <f>[2]Jan!AO42</f>
        <v>20</v>
      </c>
      <c r="P31">
        <f>[2]Feb!AK42</f>
        <v>22</v>
      </c>
      <c r="Q31">
        <f>[1]Mar!AQ42</f>
        <v>23</v>
      </c>
      <c r="R31">
        <f>INDEX([1]Apr!$E$6:$AP$110,MATCH(B31,[1]Apr!$E$6:$E$110,0),38)</f>
        <v>16</v>
      </c>
      <c r="AA31">
        <f>INDEX([1]Jan!$E$6:$F$106,MATCH(B31,[1]Jan!$E$6:$E$106,0),2)</f>
        <v>2</v>
      </c>
      <c r="AB31">
        <f>INDEX([1]Feb!$E$6:$F$106,MATCH(B31,[1]Feb!$E$6:$E$106,0),2)</f>
        <v>2</v>
      </c>
      <c r="AC31">
        <f>INDEX([1]Mar!$E$6:$F$111,MATCH(B31,[1]Mar!$E$6:$E$111,0),2)</f>
        <v>2</v>
      </c>
      <c r="AD31">
        <v>2</v>
      </c>
    </row>
    <row r="32" spans="1:30" x14ac:dyDescent="0.25">
      <c r="A32" s="1">
        <v>2</v>
      </c>
      <c r="B32" s="59" t="s">
        <v>55</v>
      </c>
      <c r="C32" s="2">
        <v>1</v>
      </c>
      <c r="D32" s="10">
        <f>[2]Feb!AI43</f>
        <v>1</v>
      </c>
      <c r="E32" s="12">
        <f>INDEX([1]Mar!$E$6:$AM$110,MATCH(B32,[1]Mar!$E$6:$E$110,0),34)</f>
        <v>0.9375</v>
      </c>
      <c r="F32" s="63">
        <f>INDEX([1]Apr!$E$6:$AM$110,MATCH(B32,[1]Apr!$E$6:$E$110,0),33)</f>
        <v>0.99090909090909096</v>
      </c>
      <c r="O32">
        <f>[2]Jan!AO43</f>
        <v>20</v>
      </c>
      <c r="P32">
        <f>[2]Feb!AK43</f>
        <v>19</v>
      </c>
      <c r="Q32">
        <f>SUM([1]Mar!$AQ$72,[1]Mar!$AQ$43)</f>
        <v>21</v>
      </c>
      <c r="R32">
        <f>INDEX([1]Apr!$E$6:$AP$110,MATCH(B32,[1]Apr!$E$6:$E$110,0),38)</f>
        <v>11</v>
      </c>
      <c r="AA32">
        <f>INDEX([1]Jan!$E$6:$F$106,MATCH(B32,[1]Jan!$E$6:$E$106,0),2)</f>
        <v>2</v>
      </c>
      <c r="AB32">
        <f>INDEX([1]Feb!$E$6:$F$106,MATCH(B32,[1]Feb!$E$6:$E$106,0),2)</f>
        <v>2</v>
      </c>
      <c r="AC32">
        <f>INDEX([1]Mar!$E$6:$F$111,MATCH(B32,[1]Mar!$E$6:$E$111,0),2)</f>
        <v>2</v>
      </c>
      <c r="AD32">
        <v>2</v>
      </c>
    </row>
    <row r="33" spans="1:30" x14ac:dyDescent="0.25">
      <c r="A33" s="1">
        <v>2</v>
      </c>
      <c r="B33" s="9" t="s">
        <v>56</v>
      </c>
      <c r="C33" s="2">
        <v>1</v>
      </c>
      <c r="D33" s="10">
        <f>[2]Feb!AI44</f>
        <v>1</v>
      </c>
      <c r="E33" s="12">
        <f>INDEX([1]Mar!$E$6:$AM$110,MATCH(B33,[1]Mar!$E$6:$E$110,0),34)</f>
        <v>0.98695652173913051</v>
      </c>
      <c r="F33" s="63">
        <f>INDEX([1]Apr!$E$6:$AM$110,MATCH(B33,[1]Apr!$E$6:$E$110,0),33)</f>
        <v>1</v>
      </c>
      <c r="O33">
        <f>[2]Jan!AO44</f>
        <v>19</v>
      </c>
      <c r="P33">
        <f>[2]Feb!AK44</f>
        <v>14</v>
      </c>
      <c r="Q33">
        <f>[1]Mar!AQ44</f>
        <v>23</v>
      </c>
      <c r="R33">
        <f>INDEX([1]Apr!$E$6:$AP$110,MATCH(B33,[1]Apr!$E$6:$E$110,0),38)</f>
        <v>9</v>
      </c>
      <c r="AA33">
        <f>INDEX([1]Jan!$E$6:$F$106,MATCH(B33,[1]Jan!$E$6:$E$106,0),2)</f>
        <v>2</v>
      </c>
      <c r="AB33">
        <f>INDEX([1]Feb!$E$6:$F$106,MATCH(B33,[1]Feb!$E$6:$E$106,0),2)</f>
        <v>2</v>
      </c>
      <c r="AC33">
        <f>INDEX([1]Mar!$E$6:$F$111,MATCH(B33,[1]Mar!$E$6:$E$111,0),2)</f>
        <v>2</v>
      </c>
      <c r="AD33">
        <v>2</v>
      </c>
    </row>
    <row r="34" spans="1:30" x14ac:dyDescent="0.25">
      <c r="A34" s="1">
        <v>2</v>
      </c>
      <c r="B34" s="9" t="s">
        <v>57</v>
      </c>
      <c r="C34" s="2">
        <v>1</v>
      </c>
      <c r="D34" s="10">
        <f>[2]Feb!AI45</f>
        <v>1</v>
      </c>
      <c r="E34" s="12">
        <f>INDEX([1]Mar!$E$6:$AM$110,MATCH(B34,[1]Mar!$E$6:$E$110,0),34)</f>
        <v>1</v>
      </c>
      <c r="F34" s="63">
        <f>INDEX([1]Apr!$E$6:$AM$110,MATCH(B34,[1]Apr!$E$6:$E$110,0),33)</f>
        <v>1</v>
      </c>
      <c r="O34">
        <f>[2]Jan!AO45</f>
        <v>20</v>
      </c>
      <c r="P34">
        <f>[2]Feb!AK45</f>
        <v>19</v>
      </c>
      <c r="Q34">
        <f>[1]Mar!AQ45</f>
        <v>25</v>
      </c>
      <c r="R34">
        <f>INDEX([1]Apr!$E$6:$AP$110,MATCH(B34,[1]Apr!$E$6:$E$110,0),38)</f>
        <v>18</v>
      </c>
      <c r="AA34">
        <f>INDEX([1]Jan!$E$6:$F$106,MATCH(B34,[1]Jan!$E$6:$E$106,0),2)</f>
        <v>2</v>
      </c>
      <c r="AB34">
        <f>INDEX([1]Feb!$E$6:$F$106,MATCH(B34,[1]Feb!$E$6:$E$106,0),2)</f>
        <v>2</v>
      </c>
      <c r="AC34">
        <f>INDEX([1]Mar!$E$6:$F$111,MATCH(B34,[1]Mar!$E$6:$E$111,0),2)</f>
        <v>2</v>
      </c>
      <c r="AD34">
        <v>2</v>
      </c>
    </row>
    <row r="35" spans="1:30" x14ac:dyDescent="0.25">
      <c r="A35" s="1">
        <v>2</v>
      </c>
      <c r="B35" s="9" t="s">
        <v>58</v>
      </c>
      <c r="C35" s="2">
        <v>1</v>
      </c>
      <c r="D35" s="10">
        <f>[2]Feb!AI46</f>
        <v>1</v>
      </c>
      <c r="E35" s="12">
        <f>INDEX([1]Mar!$E$6:$AM$110,MATCH(B35,[1]Mar!$E$6:$E$110,0),34)</f>
        <v>0.98076923076923073</v>
      </c>
      <c r="F35" s="63">
        <f>INDEX([1]Apr!$E$6:$AM$110,MATCH(B35,[1]Apr!$E$6:$E$110,0),33)</f>
        <v>0.98461538461538456</v>
      </c>
      <c r="O35">
        <f>[2]Jan!AO46</f>
        <v>23</v>
      </c>
      <c r="P35">
        <f>[2]Feb!AK46</f>
        <v>18</v>
      </c>
      <c r="Q35">
        <f>[1]Mar!AQ46</f>
        <v>26</v>
      </c>
      <c r="R35">
        <f>INDEX([1]Apr!$E$6:$AP$110,MATCH(B35,[1]Apr!$E$6:$E$110,0),38)</f>
        <v>13</v>
      </c>
      <c r="AA35">
        <f>INDEX([1]Jan!$E$6:$F$106,MATCH(B35,[1]Jan!$E$6:$E$106,0),2)</f>
        <v>2</v>
      </c>
      <c r="AB35">
        <f>INDEX([1]Feb!$E$6:$F$106,MATCH(B35,[1]Feb!$E$6:$E$106,0),2)</f>
        <v>2</v>
      </c>
      <c r="AC35">
        <f>INDEX([1]Mar!$E$6:$F$111,MATCH(B35,[1]Mar!$E$6:$E$111,0),2)</f>
        <v>2</v>
      </c>
      <c r="AD35">
        <v>2</v>
      </c>
    </row>
    <row r="36" spans="1:30" x14ac:dyDescent="0.25">
      <c r="A36" s="1">
        <v>2</v>
      </c>
      <c r="B36" s="9" t="s">
        <v>59</v>
      </c>
      <c r="C36" s="2">
        <v>1</v>
      </c>
      <c r="D36" s="10">
        <f>[2]Feb!AI47</f>
        <v>1</v>
      </c>
      <c r="E36" s="12">
        <f>INDEX([1]Mar!$E$6:$AM$110,MATCH(B36,[1]Mar!$E$6:$E$110,0),34)</f>
        <v>0.9653846153846154</v>
      </c>
      <c r="F36" s="63">
        <f>INDEX([1]Apr!$E$6:$AM$110,MATCH(B36,[1]Apr!$E$6:$E$110,0),33)</f>
        <v>1</v>
      </c>
      <c r="O36">
        <f>[2]Jan!AO47</f>
        <v>20</v>
      </c>
      <c r="P36">
        <f>[2]Feb!AK47</f>
        <v>18</v>
      </c>
      <c r="Q36">
        <f>[1]Mar!AQ47</f>
        <v>26</v>
      </c>
      <c r="R36">
        <f>INDEX([1]Apr!$E$6:$AP$110,MATCH(B36,[1]Apr!$E$6:$E$110,0),38)</f>
        <v>12</v>
      </c>
      <c r="AA36">
        <f>INDEX([1]Jan!$E$6:$F$106,MATCH(B36,[1]Jan!$E$6:$E$106,0),2)</f>
        <v>2</v>
      </c>
      <c r="AB36">
        <f>INDEX([1]Feb!$E$6:$F$106,MATCH(B36,[1]Feb!$E$6:$E$106,0),2)</f>
        <v>2</v>
      </c>
      <c r="AC36">
        <f>INDEX([1]Mar!$E$6:$F$111,MATCH(B36,[1]Mar!$E$6:$E$111,0),2)</f>
        <v>2</v>
      </c>
      <c r="AD36">
        <v>2</v>
      </c>
    </row>
    <row r="37" spans="1:30" x14ac:dyDescent="0.25">
      <c r="A37" s="1">
        <v>2</v>
      </c>
      <c r="B37" s="9" t="s">
        <v>60</v>
      </c>
      <c r="C37" s="2">
        <v>1</v>
      </c>
      <c r="D37" s="10">
        <f>[2]Feb!AI48</f>
        <v>1</v>
      </c>
      <c r="E37" s="12">
        <f>INDEX([1]Mar!$E$6:$AM$110,MATCH(B37,[1]Mar!$E$6:$E$110,0),34)</f>
        <v>1</v>
      </c>
      <c r="F37" s="63">
        <f>INDEX([1]Apr!$E$6:$AM$110,MATCH(B37,[1]Apr!$E$6:$E$110,0),33)</f>
        <v>1</v>
      </c>
      <c r="O37">
        <f>[2]Jan!AO48</f>
        <v>18</v>
      </c>
      <c r="P37">
        <f>[2]Feb!AK48</f>
        <v>17</v>
      </c>
      <c r="Q37">
        <f>[1]Mar!AQ48</f>
        <v>24</v>
      </c>
      <c r="R37">
        <f>INDEX([1]Apr!$E$6:$AP$110,MATCH(B37,[1]Apr!$E$6:$E$110,0),38)</f>
        <v>10</v>
      </c>
      <c r="AA37">
        <f>INDEX([1]Jan!$E$6:$F$106,MATCH(B37,[1]Jan!$E$6:$E$106,0),2)</f>
        <v>2</v>
      </c>
      <c r="AB37">
        <f>INDEX([1]Feb!$E$6:$F$106,MATCH(B37,[1]Feb!$E$6:$E$106,0),2)</f>
        <v>2</v>
      </c>
      <c r="AC37">
        <f>INDEX([1]Mar!$E$6:$F$111,MATCH(B37,[1]Mar!$E$6:$E$111,0),2)</f>
        <v>2</v>
      </c>
      <c r="AD37">
        <v>2</v>
      </c>
    </row>
    <row r="38" spans="1:30" x14ac:dyDescent="0.25">
      <c r="A38" s="1">
        <v>2</v>
      </c>
      <c r="B38" s="9" t="s">
        <v>61</v>
      </c>
      <c r="C38" s="2">
        <v>1</v>
      </c>
      <c r="D38" s="10">
        <f>[2]Feb!AI49</f>
        <v>1</v>
      </c>
      <c r="E38" s="12">
        <f>INDEX([1]Mar!$E$6:$AM$110,MATCH(B38,[1]Mar!$E$6:$E$110,0),34)</f>
        <v>0.95714285714285707</v>
      </c>
      <c r="F38" s="63">
        <f>INDEX([1]Apr!$E$6:$AM$110,MATCH(B38,[1]Apr!$E$6:$E$110,0),33)</f>
        <v>0.97499999999999998</v>
      </c>
      <c r="O38">
        <f>[2]Jan!AO49</f>
        <v>16</v>
      </c>
      <c r="P38">
        <f>[2]Feb!AK49</f>
        <v>18</v>
      </c>
      <c r="Q38">
        <f>[1]Mar!AQ49</f>
        <v>21</v>
      </c>
      <c r="R38">
        <f>INDEX([1]Apr!$E$6:$AP$110,MATCH(B38,[1]Apr!$E$6:$E$110,0),38)</f>
        <v>16</v>
      </c>
      <c r="AA38">
        <f>INDEX([1]Jan!$E$6:$F$106,MATCH(B38,[1]Jan!$E$6:$E$106,0),2)</f>
        <v>2</v>
      </c>
      <c r="AB38">
        <f>INDEX([1]Feb!$E$6:$F$106,MATCH(B38,[1]Feb!$E$6:$E$106,0),2)</f>
        <v>2</v>
      </c>
      <c r="AC38">
        <f>INDEX([1]Mar!$E$6:$F$111,MATCH(B38,[1]Mar!$E$6:$E$111,0),2)</f>
        <v>2</v>
      </c>
      <c r="AD38">
        <v>2</v>
      </c>
    </row>
    <row r="39" spans="1:30" x14ac:dyDescent="0.25">
      <c r="A39" s="1">
        <v>2</v>
      </c>
      <c r="B39" s="9" t="s">
        <v>62</v>
      </c>
      <c r="C39" s="2">
        <v>1</v>
      </c>
      <c r="D39" s="10">
        <f>[2]Feb!AI50</f>
        <v>1</v>
      </c>
      <c r="E39" s="12">
        <f>INDEX([1]Mar!$E$6:$AM$110,MATCH(B39,[1]Mar!$E$6:$E$110,0),34)</f>
        <v>0.9652173913043478</v>
      </c>
      <c r="F39" s="63">
        <f>INDEX([1]Apr!$E$6:$AM$110,MATCH(B39,[1]Apr!$E$6:$E$110,0),33)</f>
        <v>0.98333333333333328</v>
      </c>
      <c r="O39">
        <f>[2]Jan!AO50</f>
        <v>19</v>
      </c>
      <c r="P39">
        <f>[2]Feb!AK50</f>
        <v>22</v>
      </c>
      <c r="Q39">
        <f>[1]Mar!AQ50</f>
        <v>23</v>
      </c>
      <c r="R39">
        <f>INDEX([1]Apr!$E$6:$AP$110,MATCH(B39,[1]Apr!$E$6:$E$110,0),38)</f>
        <v>18</v>
      </c>
      <c r="AA39">
        <f>INDEX([1]Jan!$E$6:$F$106,MATCH(B39,[1]Jan!$E$6:$E$106,0),2)</f>
        <v>2</v>
      </c>
      <c r="AB39">
        <f>INDEX([1]Feb!$E$6:$F$106,MATCH(B39,[1]Feb!$E$6:$E$106,0),2)</f>
        <v>2</v>
      </c>
      <c r="AC39">
        <f>INDEX([1]Mar!$E$6:$F$111,MATCH(B39,[1]Mar!$E$6:$E$111,0),2)</f>
        <v>2</v>
      </c>
      <c r="AD39">
        <v>2</v>
      </c>
    </row>
    <row r="40" spans="1:30" x14ac:dyDescent="0.25">
      <c r="A40" s="1">
        <v>2</v>
      </c>
      <c r="B40" s="9" t="s">
        <v>63</v>
      </c>
      <c r="C40" s="2">
        <v>1</v>
      </c>
      <c r="D40" s="10">
        <f>[2]Feb!AI51</f>
        <v>1</v>
      </c>
      <c r="E40" s="12">
        <f>INDEX([1]Mar!$E$6:$AM$110,MATCH(B40,[1]Mar!$E$6:$E$110,0),34)</f>
        <v>0.94260869565217398</v>
      </c>
      <c r="F40" s="63">
        <f>INDEX([1]Apr!$E$6:$AM$110,MATCH(B40,[1]Apr!$E$6:$E$110,0),33)</f>
        <v>0.9882352941176471</v>
      </c>
      <c r="O40">
        <f>[2]Jan!AO51</f>
        <v>18</v>
      </c>
      <c r="P40">
        <f>[2]Feb!AK51</f>
        <v>19</v>
      </c>
      <c r="Q40">
        <f>[1]Mar!AQ51</f>
        <v>25</v>
      </c>
      <c r="R40">
        <f>INDEX([1]Apr!$E$6:$AP$110,MATCH(B40,[1]Apr!$E$6:$E$110,0),38)</f>
        <v>17</v>
      </c>
      <c r="AA40">
        <f>INDEX([1]Jan!$E$6:$F$106,MATCH(B40,[1]Jan!$E$6:$E$106,0),2)</f>
        <v>2</v>
      </c>
      <c r="AB40">
        <f>INDEX([1]Feb!$E$6:$F$106,MATCH(B40,[1]Feb!$E$6:$E$106,0),2)</f>
        <v>2</v>
      </c>
      <c r="AC40">
        <f>INDEX([1]Mar!$E$6:$F$111,MATCH(B40,[1]Mar!$E$6:$E$111,0),2)</f>
        <v>2</v>
      </c>
      <c r="AD40">
        <v>2</v>
      </c>
    </row>
    <row r="41" spans="1:30" x14ac:dyDescent="0.25">
      <c r="A41" s="1">
        <v>2</v>
      </c>
      <c r="B41" s="9" t="s">
        <v>64</v>
      </c>
      <c r="C41" s="2">
        <v>1</v>
      </c>
      <c r="D41" s="10">
        <f>[2]Feb!AI52</f>
        <v>1</v>
      </c>
      <c r="E41" s="12">
        <f>INDEX([1]Mar!$E$6:$AM$110,MATCH(B41,[1]Mar!$E$6:$E$110,0),34)</f>
        <v>0.97307692307692306</v>
      </c>
      <c r="F41" s="63">
        <f>INDEX([1]Apr!$E$6:$AM$110,MATCH(B41,[1]Apr!$E$6:$E$110,0),33)</f>
        <v>0.9882352941176471</v>
      </c>
      <c r="O41">
        <f>[2]Jan!AO52</f>
        <v>23</v>
      </c>
      <c r="P41">
        <f>[2]Feb!AK52</f>
        <v>21</v>
      </c>
      <c r="Q41">
        <f>[1]Mar!AQ52</f>
        <v>26</v>
      </c>
      <c r="R41">
        <f>INDEX([1]Apr!$E$6:$AP$110,MATCH(B41,[1]Apr!$E$6:$E$110,0),38)</f>
        <v>17</v>
      </c>
      <c r="AA41">
        <f>INDEX([1]Jan!$E$6:$F$106,MATCH(B41,[1]Jan!$E$6:$E$106,0),2)</f>
        <v>2</v>
      </c>
      <c r="AB41">
        <f>INDEX([1]Feb!$E$6:$F$106,MATCH(B41,[1]Feb!$E$6:$E$106,0),2)</f>
        <v>2</v>
      </c>
      <c r="AC41">
        <f>INDEX([1]Mar!$E$6:$F$111,MATCH(B41,[1]Mar!$E$6:$E$111,0),2)</f>
        <v>2</v>
      </c>
      <c r="AD41">
        <v>2</v>
      </c>
    </row>
    <row r="42" spans="1:30" x14ac:dyDescent="0.25">
      <c r="A42" s="1">
        <v>2</v>
      </c>
      <c r="B42" s="9" t="s">
        <v>65</v>
      </c>
      <c r="C42" s="2">
        <v>1</v>
      </c>
      <c r="D42" s="10">
        <f>[2]Feb!AI53</f>
        <v>1</v>
      </c>
      <c r="E42" s="12" t="str">
        <f>INDEX([1]Mar!$E$6:$AM$110,MATCH(B42,[1]Mar!$E$6:$E$110,0),34)</f>
        <v>--</v>
      </c>
      <c r="F42" s="63" t="str">
        <f>INDEX([1]Apr!$E$6:$AM$110,MATCH(B42,[1]Apr!$E$6:$E$110,0),33)</f>
        <v>--</v>
      </c>
      <c r="O42">
        <f>[2]Jan!AO53</f>
        <v>0</v>
      </c>
      <c r="P42">
        <f>[2]Feb!AK53</f>
        <v>0</v>
      </c>
      <c r="Q42">
        <f>[1]Mar!AQ53</f>
        <v>0</v>
      </c>
      <c r="R42">
        <f>INDEX([1]Apr!$E$6:$AP$110,MATCH(B42,[1]Apr!$E$6:$E$110,0),38)</f>
        <v>0</v>
      </c>
      <c r="AA42">
        <f>INDEX([1]Jan!$E$6:$F$106,MATCH(B42,[1]Jan!$E$6:$E$106,0),2)</f>
        <v>2</v>
      </c>
      <c r="AB42">
        <f>INDEX([1]Feb!$E$6:$F$106,MATCH(B42,[1]Feb!$E$6:$E$106,0),2)</f>
        <v>2</v>
      </c>
      <c r="AC42">
        <f>INDEX([1]Mar!$E$6:$F$111,MATCH(B42,[1]Mar!$E$6:$E$111,0),2)</f>
        <v>2</v>
      </c>
      <c r="AD42">
        <v>2</v>
      </c>
    </row>
    <row r="43" spans="1:30" x14ac:dyDescent="0.25">
      <c r="A43" s="1">
        <v>2</v>
      </c>
      <c r="B43" s="9" t="s">
        <v>66</v>
      </c>
      <c r="C43" s="2">
        <v>1</v>
      </c>
      <c r="D43" s="10">
        <f>[2]Feb!AI54</f>
        <v>1</v>
      </c>
      <c r="E43" s="12">
        <f>INDEX([1]Mar!$E$6:$AM$110,MATCH(B43,[1]Mar!$E$6:$E$110,0),34)</f>
        <v>0.9916666666666667</v>
      </c>
      <c r="F43" s="63">
        <f>INDEX([1]Apr!$E$6:$AM$110,MATCH(B43,[1]Apr!$E$6:$E$110,0),33)</f>
        <v>0.98888888888888893</v>
      </c>
      <c r="O43">
        <f>[2]Jan!AO54</f>
        <v>23</v>
      </c>
      <c r="P43">
        <f>[2]Feb!AK54</f>
        <v>20</v>
      </c>
      <c r="Q43">
        <f>[1]Mar!AQ54</f>
        <v>24</v>
      </c>
      <c r="R43">
        <f>INDEX([1]Apr!$E$6:$AP$110,MATCH(B43,[1]Apr!$E$6:$E$110,0),38)</f>
        <v>18</v>
      </c>
      <c r="AA43">
        <f>INDEX([1]Jan!$E$6:$F$106,MATCH(B43,[1]Jan!$E$6:$E$106,0),2)</f>
        <v>2</v>
      </c>
      <c r="AB43">
        <f>INDEX([1]Feb!$E$6:$F$106,MATCH(B43,[1]Feb!$E$6:$E$106,0),2)</f>
        <v>2</v>
      </c>
      <c r="AC43">
        <f>INDEX([1]Mar!$E$6:$F$111,MATCH(B43,[1]Mar!$E$6:$E$111,0),2)</f>
        <v>2</v>
      </c>
      <c r="AD43">
        <v>2</v>
      </c>
    </row>
    <row r="44" spans="1:30" x14ac:dyDescent="0.25">
      <c r="A44" s="1">
        <v>3</v>
      </c>
      <c r="B44" s="9" t="s">
        <v>67</v>
      </c>
      <c r="C44" s="2">
        <v>1</v>
      </c>
      <c r="D44" s="10">
        <f>[2]Feb!AI62</f>
        <v>1</v>
      </c>
      <c r="E44" s="12">
        <f>INDEX([1]Mar!$E$6:$AM$110,MATCH(B44,[1]Mar!$E$6:$E$110,0),34)</f>
        <v>0.99199999999999999</v>
      </c>
      <c r="F44" s="63">
        <f>INDEX([1]Apr!$E$6:$AM$110,MATCH(B44,[1]Apr!$E$6:$E$110,0),33)</f>
        <v>1</v>
      </c>
      <c r="O44">
        <f>[2]Jan!AO62</f>
        <v>20</v>
      </c>
      <c r="P44">
        <f>[2]Feb!AK62</f>
        <v>20</v>
      </c>
      <c r="Q44">
        <f>[1]Mar!AQ62</f>
        <v>25</v>
      </c>
      <c r="R44">
        <f>INDEX([1]Apr!$E$6:$AP$110,MATCH(B44,[1]Apr!$E$6:$E$110,0),38)</f>
        <v>15</v>
      </c>
      <c r="AA44">
        <f>INDEX([1]Jan!$E$6:$F$106,MATCH(B44,[1]Jan!$E$6:$E$106,0),2)</f>
        <v>3</v>
      </c>
      <c r="AB44">
        <f>INDEX([1]Feb!$E$6:$F$106,MATCH(B44,[1]Feb!$E$6:$E$106,0),2)</f>
        <v>3</v>
      </c>
      <c r="AC44">
        <f>INDEX([1]Mar!$E$6:$F$111,MATCH(B44,[1]Mar!$E$6:$E$111,0),2)</f>
        <v>3</v>
      </c>
      <c r="AD44">
        <v>3</v>
      </c>
    </row>
    <row r="45" spans="1:30" x14ac:dyDescent="0.25">
      <c r="A45" s="1">
        <v>3</v>
      </c>
      <c r="B45" s="58" t="s">
        <v>68</v>
      </c>
      <c r="C45" s="2">
        <v>1</v>
      </c>
      <c r="D45" s="10">
        <f>[2]Feb!AI63</f>
        <v>1</v>
      </c>
      <c r="E45" s="12">
        <f>INDEX([1]Mar!$E$6:$AM$110,MATCH(B45,[1]Mar!$E$6:$E$110,0),34)</f>
        <v>0.95555555555555549</v>
      </c>
      <c r="F45" s="63" t="e">
        <f>INDEX([1]Apr!$E$6:$AM$110,MATCH(B45,[1]Apr!$E$6:$E$110,0),33)</f>
        <v>#N/A</v>
      </c>
      <c r="O45">
        <f>[2]Jan!AO63</f>
        <v>12</v>
      </c>
      <c r="P45">
        <f>[2]Feb!AK63</f>
        <v>18</v>
      </c>
      <c r="Q45">
        <f>[1]Mar!AQ63</f>
        <v>9</v>
      </c>
      <c r="R45">
        <v>0</v>
      </c>
      <c r="AA45">
        <f>INDEX([1]Jan!$E$6:$F$106,MATCH(B45,[1]Jan!$E$6:$E$106,0),2)</f>
        <v>3</v>
      </c>
      <c r="AB45">
        <f>INDEX([1]Feb!$E$6:$F$106,MATCH(B45,[1]Feb!$E$6:$E$106,0),2)</f>
        <v>3</v>
      </c>
      <c r="AC45">
        <f>INDEX([1]Mar!$E$6:$F$111,MATCH(B45,[1]Mar!$E$6:$E$111,0),2)</f>
        <v>3</v>
      </c>
    </row>
    <row r="46" spans="1:30" x14ac:dyDescent="0.25">
      <c r="A46" s="1">
        <v>3</v>
      </c>
      <c r="B46" s="9" t="s">
        <v>69</v>
      </c>
      <c r="C46" s="2">
        <v>1</v>
      </c>
      <c r="D46" s="10">
        <f>[2]Feb!AI64</f>
        <v>1</v>
      </c>
      <c r="E46" s="12">
        <f>INDEX([1]Mar!$E$6:$AM$110,MATCH(B46,[1]Mar!$E$6:$E$110,0),34)</f>
        <v>0.98461538461538456</v>
      </c>
      <c r="F46" s="63">
        <f>INDEX([1]Apr!$E$6:$AM$110,MATCH(B46,[1]Apr!$E$6:$E$110,0),33)</f>
        <v>0.9933333333333334</v>
      </c>
      <c r="O46">
        <f>[2]Jan!AO64</f>
        <v>23</v>
      </c>
      <c r="P46">
        <f>[2]Feb!AK64</f>
        <v>18</v>
      </c>
      <c r="Q46">
        <f>[1]Mar!AQ65</f>
        <v>26</v>
      </c>
      <c r="R46">
        <f>INDEX([1]Apr!$E$6:$AP$110,MATCH(B46,[1]Apr!$E$6:$E$110,0),38)</f>
        <v>15</v>
      </c>
      <c r="AA46">
        <f>INDEX([1]Jan!$E$6:$F$106,MATCH(B46,[1]Jan!$E$6:$E$106,0),2)</f>
        <v>3</v>
      </c>
      <c r="AB46">
        <f>INDEX([1]Feb!$E$6:$F$106,MATCH(B46,[1]Feb!$E$6:$E$106,0),2)</f>
        <v>3</v>
      </c>
      <c r="AC46">
        <f>INDEX([1]Mar!$E$6:$F$111,MATCH(B46,[1]Mar!$E$6:$E$111,0),2)</f>
        <v>3</v>
      </c>
      <c r="AD46">
        <v>3</v>
      </c>
    </row>
    <row r="47" spans="1:30" x14ac:dyDescent="0.25">
      <c r="A47" s="1">
        <v>3</v>
      </c>
      <c r="B47" s="9" t="s">
        <v>70</v>
      </c>
      <c r="C47" s="2">
        <v>1</v>
      </c>
      <c r="D47" s="10">
        <f>[2]Feb!AI65</f>
        <v>0.96296296296296291</v>
      </c>
      <c r="E47" s="12">
        <f>INDEX([1]Mar!$E$6:$AM$110,MATCH(B47,[1]Mar!$E$6:$E$110,0),34)</f>
        <v>0.96799999999999997</v>
      </c>
      <c r="F47" s="63">
        <f>INDEX([1]Apr!$E$6:$AM$110,MATCH(B47,[1]Apr!$E$6:$E$110,0),33)</f>
        <v>0.97692307692307689</v>
      </c>
      <c r="O47">
        <f>[2]Jan!AO65</f>
        <v>18</v>
      </c>
      <c r="P47">
        <f>[2]Feb!AK65</f>
        <v>17</v>
      </c>
      <c r="Q47">
        <f>[1]Mar!AQ66</f>
        <v>25</v>
      </c>
      <c r="R47">
        <f>INDEX([1]Apr!$E$6:$AP$110,MATCH(B47,[1]Apr!$E$6:$E$110,0),38)</f>
        <v>13</v>
      </c>
      <c r="AA47">
        <f>INDEX([1]Jan!$E$6:$F$106,MATCH(B47,[1]Jan!$E$6:$E$106,0),2)</f>
        <v>3</v>
      </c>
      <c r="AB47">
        <f>INDEX([1]Feb!$E$6:$F$106,MATCH(B47,[1]Feb!$E$6:$E$106,0),2)</f>
        <v>3</v>
      </c>
      <c r="AC47">
        <f>INDEX([1]Mar!$E$6:$F$111,MATCH(B47,[1]Mar!$E$6:$E$111,0),2)</f>
        <v>3</v>
      </c>
      <c r="AD47">
        <v>3</v>
      </c>
    </row>
    <row r="48" spans="1:30" x14ac:dyDescent="0.25">
      <c r="A48" s="1">
        <v>3</v>
      </c>
      <c r="B48" s="9" t="s">
        <v>71</v>
      </c>
      <c r="C48" s="2">
        <v>1</v>
      </c>
      <c r="D48" s="10">
        <f>[2]Feb!AI66</f>
        <v>1</v>
      </c>
      <c r="E48" s="12">
        <f>INDEX([1]Mar!$E$6:$AM$110,MATCH(B48,[1]Mar!$E$6:$E$110,0),34)</f>
        <v>0.96250000000000002</v>
      </c>
      <c r="F48" s="63">
        <f>INDEX([1]Apr!$E$6:$AM$110,MATCH(B48,[1]Apr!$E$6:$E$110,0),33)</f>
        <v>1</v>
      </c>
      <c r="O48">
        <f>[2]Jan!AO66</f>
        <v>19</v>
      </c>
      <c r="P48">
        <f>[2]Feb!AK66</f>
        <v>21</v>
      </c>
      <c r="Q48">
        <f>[1]Mar!AQ67</f>
        <v>24</v>
      </c>
      <c r="R48">
        <f>INDEX([1]Apr!$E$6:$AP$110,MATCH(B48,[1]Apr!$E$6:$E$110,0),38)</f>
        <v>17</v>
      </c>
      <c r="AA48">
        <f>INDEX([1]Jan!$E$6:$F$106,MATCH(B48,[1]Jan!$E$6:$E$106,0),2)</f>
        <v>3</v>
      </c>
      <c r="AB48">
        <f>INDEX([1]Feb!$E$6:$F$106,MATCH(B48,[1]Feb!$E$6:$E$106,0),2)</f>
        <v>3</v>
      </c>
      <c r="AC48">
        <f>INDEX([1]Mar!$E$6:$F$111,MATCH(B48,[1]Mar!$E$6:$E$111,0),2)</f>
        <v>3</v>
      </c>
      <c r="AD48">
        <v>3</v>
      </c>
    </row>
    <row r="49" spans="1:30" x14ac:dyDescent="0.25">
      <c r="A49" s="1">
        <v>3</v>
      </c>
      <c r="B49" s="9" t="s">
        <v>72</v>
      </c>
      <c r="C49" s="2">
        <v>1</v>
      </c>
      <c r="D49" s="10">
        <f>[2]Feb!AI67</f>
        <v>1</v>
      </c>
      <c r="E49" s="12">
        <f>INDEX([1]Mar!$E$6:$AM$110,MATCH(B49,[1]Mar!$E$6:$E$110,0),34)</f>
        <v>0.94615384615384612</v>
      </c>
      <c r="F49" s="63">
        <f>INDEX([1]Apr!$E$6:$AM$110,MATCH(B49,[1]Apr!$E$6:$E$110,0),33)</f>
        <v>0.98333333333333328</v>
      </c>
      <c r="O49">
        <f>[2]Jan!AO67</f>
        <v>21</v>
      </c>
      <c r="P49">
        <f>[2]Feb!AK67</f>
        <v>22</v>
      </c>
      <c r="Q49">
        <f>[1]Mar!AQ68</f>
        <v>26</v>
      </c>
      <c r="R49">
        <f>INDEX([1]Apr!$E$6:$AP$110,MATCH(B49,[1]Apr!$E$6:$E$110,0),38)</f>
        <v>12</v>
      </c>
      <c r="AA49">
        <f>INDEX([1]Jan!$E$6:$F$106,MATCH(B49,[1]Jan!$E$6:$E$106,0),2)</f>
        <v>3</v>
      </c>
      <c r="AB49">
        <f>INDEX([1]Feb!$E$6:$F$106,MATCH(B49,[1]Feb!$E$6:$E$106,0),2)</f>
        <v>3</v>
      </c>
      <c r="AC49">
        <f>INDEX([1]Mar!$E$6:$F$111,MATCH(B49,[1]Mar!$E$6:$E$111,0),2)</f>
        <v>3</v>
      </c>
      <c r="AD49">
        <v>3</v>
      </c>
    </row>
    <row r="50" spans="1:30" x14ac:dyDescent="0.25">
      <c r="A50" s="1">
        <v>3</v>
      </c>
      <c r="B50" s="9" t="s">
        <v>73</v>
      </c>
      <c r="C50" s="2">
        <v>1</v>
      </c>
      <c r="D50" s="10">
        <f>[2]Feb!AI68</f>
        <v>1</v>
      </c>
      <c r="E50" s="12">
        <f>INDEX([1]Mar!$E$6:$AM$110,MATCH(B50,[1]Mar!$E$6:$E$110,0),34)</f>
        <v>0.9884615384615385</v>
      </c>
      <c r="F50" s="63">
        <f>INDEX([1]Apr!$E$6:$AM$110,MATCH(B50,[1]Apr!$E$6:$E$110,0),33)</f>
        <v>0.9882352941176471</v>
      </c>
      <c r="O50">
        <f>[2]Jan!AO68</f>
        <v>23</v>
      </c>
      <c r="P50">
        <f>[2]Feb!AK68</f>
        <v>23</v>
      </c>
      <c r="Q50">
        <f>[1]Mar!AQ69</f>
        <v>26</v>
      </c>
      <c r="R50">
        <f>INDEX([1]Apr!$E$6:$AP$110,MATCH(B50,[1]Apr!$E$6:$E$110,0),38)</f>
        <v>17</v>
      </c>
      <c r="AA50">
        <f>INDEX([1]Jan!$E$6:$F$106,MATCH(B50,[1]Jan!$E$6:$E$106,0),2)</f>
        <v>3</v>
      </c>
      <c r="AB50">
        <f>INDEX([1]Feb!$E$6:$F$106,MATCH(B50,[1]Feb!$E$6:$E$106,0),2)</f>
        <v>3</v>
      </c>
      <c r="AC50">
        <f>INDEX([1]Mar!$E$6:$F$111,MATCH(B50,[1]Mar!$E$6:$E$111,0),2)</f>
        <v>3</v>
      </c>
      <c r="AD50">
        <v>3</v>
      </c>
    </row>
    <row r="51" spans="1:30" x14ac:dyDescent="0.25">
      <c r="A51" s="1">
        <v>3</v>
      </c>
      <c r="B51" s="9" t="s">
        <v>74</v>
      </c>
      <c r="C51" s="2">
        <v>1</v>
      </c>
      <c r="D51" s="10">
        <f>[2]Feb!AI69</f>
        <v>1</v>
      </c>
      <c r="E51" s="12">
        <f>INDEX([1]Mar!$E$6:$AM$110,MATCH(B51,[1]Mar!$E$6:$E$110,0),34)</f>
        <v>0.94545454545454544</v>
      </c>
      <c r="F51" s="63">
        <f>INDEX([1]Apr!$E$6:$AM$110,MATCH(B51,[1]Apr!$E$6:$E$110,0),33)</f>
        <v>0.96153846153846156</v>
      </c>
      <c r="O51">
        <f>[2]Jan!AO69</f>
        <v>19</v>
      </c>
      <c r="P51">
        <f>[2]Feb!AK69</f>
        <v>20</v>
      </c>
      <c r="Q51">
        <f>[1]Mar!AQ70</f>
        <v>22</v>
      </c>
      <c r="R51">
        <f>INDEX([1]Apr!$E$6:$AP$110,MATCH(B51,[1]Apr!$E$6:$E$110,0),38)</f>
        <v>13</v>
      </c>
      <c r="AA51">
        <f>INDEX([1]Jan!$E$6:$F$106,MATCH(B51,[1]Jan!$E$6:$E$106,0),2)</f>
        <v>3</v>
      </c>
      <c r="AB51">
        <f>INDEX([1]Feb!$E$6:$F$106,MATCH(B51,[1]Feb!$E$6:$E$106,0),2)</f>
        <v>3</v>
      </c>
      <c r="AC51">
        <f>INDEX([1]Mar!$E$6:$F$111,MATCH(B51,[1]Mar!$E$6:$E$111,0),2)</f>
        <v>3</v>
      </c>
      <c r="AD51">
        <v>3</v>
      </c>
    </row>
    <row r="52" spans="1:30" x14ac:dyDescent="0.25">
      <c r="A52" s="1">
        <v>3</v>
      </c>
      <c r="B52" s="9" t="s">
        <v>75</v>
      </c>
      <c r="C52" s="2">
        <v>1</v>
      </c>
      <c r="D52" s="10">
        <f>[2]Feb!AI70</f>
        <v>1</v>
      </c>
      <c r="E52" s="12">
        <f>INDEX([1]Mar!$E$6:$AM$110,MATCH(B52,[1]Mar!$E$6:$E$110,0),34)</f>
        <v>1</v>
      </c>
      <c r="F52" s="63">
        <f>INDEX([1]Apr!$E$6:$AM$110,MATCH(B52,[1]Apr!$E$6:$E$110,0),33)</f>
        <v>1</v>
      </c>
      <c r="O52">
        <f>[2]Jan!AO70</f>
        <v>19</v>
      </c>
      <c r="P52">
        <f>[2]Feb!AK70</f>
        <v>9</v>
      </c>
      <c r="Q52">
        <f>[1]Mar!AQ71</f>
        <v>14</v>
      </c>
      <c r="R52">
        <f>INDEX([1]Apr!$E$6:$AP$110,MATCH(B52,[1]Apr!$E$6:$E$110,0),38)</f>
        <v>12</v>
      </c>
      <c r="AA52">
        <f>INDEX([1]Jan!$E$6:$F$106,MATCH(B52,[1]Jan!$E$6:$E$106,0),2)</f>
        <v>3</v>
      </c>
      <c r="AB52">
        <f>INDEX([1]Feb!$E$6:$F$106,MATCH(B52,[1]Feb!$E$6:$E$106,0),2)</f>
        <v>3</v>
      </c>
      <c r="AC52">
        <f>INDEX([1]Mar!$E$6:$F$111,MATCH(B52,[1]Mar!$E$6:$E$111,0),2)</f>
        <v>3</v>
      </c>
      <c r="AD52">
        <v>3</v>
      </c>
    </row>
    <row r="53" spans="1:30" x14ac:dyDescent="0.25">
      <c r="A53" s="1">
        <v>3</v>
      </c>
      <c r="B53" s="65" t="s">
        <v>76</v>
      </c>
      <c r="C53" s="2">
        <v>1</v>
      </c>
      <c r="D53" s="10">
        <f>[2]Feb!AI71</f>
        <v>1</v>
      </c>
      <c r="E53" s="12">
        <f>INDEX([1]Mar!$E$6:$AM$110,MATCH(B53,[1]Mar!$E$6:$E$110,0),34)</f>
        <v>0.96111111111111103</v>
      </c>
      <c r="F53" s="63">
        <f>INDEX([1]Apr!$E$6:$AM$110,MATCH(B53,[1]Apr!$E$6:$E$110,0),33)</f>
        <v>0.99375000000000002</v>
      </c>
      <c r="O53">
        <f>[2]Jan!AO71</f>
        <v>22</v>
      </c>
      <c r="P53">
        <f>[2]Feb!AK71</f>
        <v>21</v>
      </c>
      <c r="Q53">
        <f>[1]Mar!$AQ$97</f>
        <v>0</v>
      </c>
      <c r="R53">
        <f>INDEX([1]Apr!$E$6:$AP$110,MATCH(B53,[1]Apr!$E$6:$E$110,0),38)</f>
        <v>16</v>
      </c>
      <c r="AA53">
        <f>INDEX([1]Jan!$E$6:$F$106,MATCH(B53,[1]Jan!$E$6:$E$106,0),2)</f>
        <v>3</v>
      </c>
      <c r="AB53">
        <f>INDEX([1]Feb!$E$6:$F$106,MATCH(B53,[1]Feb!$E$6:$E$106,0),2)</f>
        <v>3</v>
      </c>
      <c r="AC53">
        <f>INDEX([1]Mar!$E$6:$F$111,MATCH(B53,[1]Mar!$E$6:$E$111,0),2)</f>
        <v>4</v>
      </c>
      <c r="AD53">
        <v>4</v>
      </c>
    </row>
    <row r="54" spans="1:30" x14ac:dyDescent="0.25">
      <c r="A54" s="1">
        <v>3</v>
      </c>
      <c r="B54" s="9" t="s">
        <v>77</v>
      </c>
      <c r="C54" s="2">
        <v>0.96</v>
      </c>
      <c r="D54" s="10">
        <f>[2]Feb!AI72</f>
        <v>0.96296296296296291</v>
      </c>
      <c r="E54" s="12">
        <f>INDEX([1]Mar!$E$6:$AM$110,MATCH(B54,[1]Mar!$E$6:$E$110,0),34)</f>
        <v>0.97692307692307689</v>
      </c>
      <c r="F54" s="63">
        <f>INDEX([1]Apr!$E$6:$AM$110,MATCH(B54,[1]Apr!$E$6:$E$110,0),33)</f>
        <v>1</v>
      </c>
      <c r="O54">
        <f>[2]Jan!AO72</f>
        <v>21</v>
      </c>
      <c r="P54">
        <f>[2]Feb!AK72</f>
        <v>18</v>
      </c>
      <c r="Q54">
        <f>[1]Mar!AQ73</f>
        <v>26</v>
      </c>
      <c r="R54">
        <f>INDEX([1]Apr!$E$6:$AP$110,MATCH(B54,[1]Apr!$E$6:$E$110,0),38)</f>
        <v>18</v>
      </c>
      <c r="AA54">
        <f>INDEX([1]Jan!$E$6:$F$106,MATCH(B54,[1]Jan!$E$6:$E$106,0),2)</f>
        <v>3</v>
      </c>
      <c r="AB54">
        <f>INDEX([1]Feb!$E$6:$F$106,MATCH(B54,[1]Feb!$E$6:$E$106,0),2)</f>
        <v>3</v>
      </c>
      <c r="AC54">
        <f>INDEX([1]Mar!$E$6:$F$111,MATCH(B54,[1]Mar!$E$6:$E$111,0),2)</f>
        <v>3</v>
      </c>
      <c r="AD54">
        <v>3</v>
      </c>
    </row>
    <row r="55" spans="1:30" x14ac:dyDescent="0.25">
      <c r="A55" s="1">
        <v>3</v>
      </c>
      <c r="B55" s="9" t="s">
        <v>78</v>
      </c>
      <c r="C55" s="2">
        <v>1</v>
      </c>
      <c r="D55" s="10">
        <f>[2]Feb!AI73</f>
        <v>0.96296296296296291</v>
      </c>
      <c r="E55" s="12">
        <f>INDEX([1]Mar!$E$6:$AM$110,MATCH(B55,[1]Mar!$E$6:$E$110,0),34)</f>
        <v>0.872</v>
      </c>
      <c r="F55" s="63">
        <f>INDEX([1]Apr!$E$6:$AM$110,MATCH(B55,[1]Apr!$E$6:$E$110,0),33)</f>
        <v>0.95294117647058818</v>
      </c>
      <c r="O55">
        <f>[2]Jan!AO73</f>
        <v>23</v>
      </c>
      <c r="P55">
        <f>[2]Feb!AK73</f>
        <v>21</v>
      </c>
      <c r="Q55">
        <f>[1]Mar!AQ74</f>
        <v>25</v>
      </c>
      <c r="R55">
        <f>INDEX([1]Apr!$E$6:$AP$110,MATCH(B55,[1]Apr!$E$6:$E$110,0),38)</f>
        <v>17</v>
      </c>
      <c r="AA55">
        <f>INDEX([1]Jan!$E$6:$F$106,MATCH(B55,[1]Jan!$E$6:$E$106,0),2)</f>
        <v>3</v>
      </c>
      <c r="AB55">
        <f>INDEX([1]Feb!$E$6:$F$106,MATCH(B55,[1]Feb!$E$6:$E$106,0),2)</f>
        <v>3</v>
      </c>
      <c r="AC55">
        <f>INDEX([1]Mar!$E$6:$F$111,MATCH(B55,[1]Mar!$E$6:$E$111,0),2)</f>
        <v>3</v>
      </c>
      <c r="AD55">
        <v>3</v>
      </c>
    </row>
    <row r="56" spans="1:30" x14ac:dyDescent="0.25">
      <c r="A56" s="1">
        <v>3</v>
      </c>
      <c r="B56" s="62" t="s">
        <v>79</v>
      </c>
      <c r="C56" s="2">
        <v>0.96153846153846156</v>
      </c>
      <c r="D56" s="10">
        <f>[2]Feb!AI74</f>
        <v>0.96296296296296291</v>
      </c>
      <c r="E56" s="12">
        <f>INDEX([1]Mar!$E$6:$AM$110,MATCH(B56,[1]Mar!$E$6:$E$110,0),34)</f>
        <v>0.92500000000000004</v>
      </c>
      <c r="F56" s="63">
        <f>INDEX([1]Apr!$E$6:$AM$110,MATCH(B56,[1]Apr!$E$6:$E$110,0),33)</f>
        <v>0.94666666666666666</v>
      </c>
      <c r="O56">
        <f>[2]Jan!AO74</f>
        <v>21</v>
      </c>
      <c r="P56">
        <f>[2]Feb!AK74</f>
        <v>14</v>
      </c>
      <c r="Q56">
        <f>SUM([1]Mar!$AQ$75,[1]Mar!$AQ$101)</f>
        <v>24</v>
      </c>
      <c r="R56">
        <f>INDEX([1]Apr!$E$6:$AP$110,MATCH(B56,[1]Apr!$E$6:$E$110,0),38)</f>
        <v>15</v>
      </c>
      <c r="AA56">
        <f>INDEX([1]Jan!$E$6:$F$106,MATCH(B56,[1]Jan!$E$6:$E$106,0),2)</f>
        <v>3</v>
      </c>
      <c r="AB56">
        <f>INDEX([1]Feb!$E$6:$F$106,MATCH(B56,[1]Feb!$E$6:$E$106,0),2)</f>
        <v>3</v>
      </c>
      <c r="AC56">
        <f>INDEX([1]Mar!$E$6:$F$111,MATCH(B56,[1]Mar!$E$6:$E$111,0),2)</f>
        <v>4</v>
      </c>
      <c r="AD56">
        <v>4</v>
      </c>
    </row>
    <row r="57" spans="1:30" x14ac:dyDescent="0.25">
      <c r="A57" s="1">
        <v>3</v>
      </c>
      <c r="B57" s="9" t="s">
        <v>80</v>
      </c>
      <c r="C57" s="2">
        <v>1</v>
      </c>
      <c r="D57" s="10">
        <f>[2]Feb!AI75</f>
        <v>1</v>
      </c>
      <c r="E57" s="12">
        <f>INDEX([1]Mar!$E$6:$AM$110,MATCH(B57,[1]Mar!$E$6:$E$110,0),34)</f>
        <v>0.9916666666666667</v>
      </c>
      <c r="F57" s="63">
        <f>INDEX([1]Apr!$E$6:$AM$110,MATCH(B57,[1]Apr!$E$6:$E$110,0),33)</f>
        <v>1</v>
      </c>
      <c r="O57">
        <f>[2]Jan!AO75</f>
        <v>21</v>
      </c>
      <c r="P57">
        <f>[2]Feb!AK75</f>
        <v>18</v>
      </c>
      <c r="Q57">
        <f>[1]Mar!AQ77</f>
        <v>24</v>
      </c>
      <c r="R57">
        <f>INDEX([1]Apr!$E$6:$AP$110,MATCH(B57,[1]Apr!$E$6:$E$110,0),38)</f>
        <v>14</v>
      </c>
      <c r="AA57">
        <f>INDEX([1]Jan!$E$6:$F$106,MATCH(B57,[1]Jan!$E$6:$E$106,0),2)</f>
        <v>3</v>
      </c>
      <c r="AB57">
        <f>INDEX([1]Feb!$E$6:$F$106,MATCH(B57,[1]Feb!$E$6:$E$106,0),2)</f>
        <v>3</v>
      </c>
      <c r="AC57">
        <f>INDEX([1]Mar!$E$6:$F$111,MATCH(B57,[1]Mar!$E$6:$E$111,0),2)</f>
        <v>3</v>
      </c>
      <c r="AD57">
        <v>3</v>
      </c>
    </row>
    <row r="58" spans="1:30" x14ac:dyDescent="0.25">
      <c r="A58" s="1">
        <v>3</v>
      </c>
      <c r="B58" s="9" t="s">
        <v>81</v>
      </c>
      <c r="C58" s="2">
        <v>1</v>
      </c>
      <c r="D58" s="10">
        <f>[2]Feb!AI76</f>
        <v>0.96296296296296291</v>
      </c>
      <c r="E58" s="12">
        <f>INDEX([1]Mar!$E$6:$AM$110,MATCH(B58,[1]Mar!$E$6:$E$110,0),34)</f>
        <v>0.95599999999999996</v>
      </c>
      <c r="F58" s="63">
        <f>INDEX([1]Apr!$E$6:$AM$110,MATCH(B58,[1]Apr!$E$6:$E$110,0),33)</f>
        <v>0.94705882352941173</v>
      </c>
      <c r="O58">
        <f>[2]Jan!AO76</f>
        <v>23</v>
      </c>
      <c r="P58">
        <f>[2]Feb!AK76</f>
        <v>18</v>
      </c>
      <c r="Q58">
        <f>[1]Mar!AQ78</f>
        <v>25</v>
      </c>
      <c r="R58">
        <f>INDEX([1]Apr!$E$6:$AP$110,MATCH(B58,[1]Apr!$E$6:$E$110,0),38)</f>
        <v>17</v>
      </c>
      <c r="AA58">
        <f>INDEX([1]Jan!$E$6:$F$106,MATCH(B58,[1]Jan!$E$6:$E$106,0),2)</f>
        <v>3</v>
      </c>
      <c r="AB58">
        <f>INDEX([1]Feb!$E$6:$F$106,MATCH(B58,[1]Feb!$E$6:$E$106,0),2)</f>
        <v>3</v>
      </c>
      <c r="AC58">
        <f>INDEX([1]Mar!$E$6:$F$111,MATCH(B58,[1]Mar!$E$6:$E$111,0),2)</f>
        <v>3</v>
      </c>
      <c r="AD58">
        <v>3</v>
      </c>
    </row>
    <row r="59" spans="1:30" x14ac:dyDescent="0.25">
      <c r="A59" s="1">
        <v>3</v>
      </c>
      <c r="B59" s="9" t="s">
        <v>82</v>
      </c>
      <c r="C59" s="2">
        <v>1</v>
      </c>
      <c r="D59" s="10">
        <f>[2]Feb!AI77</f>
        <v>1</v>
      </c>
      <c r="E59" s="12">
        <f>INDEX([1]Mar!$E$6:$AM$110,MATCH(B59,[1]Mar!$E$6:$E$110,0),34)</f>
        <v>0.86538461538461542</v>
      </c>
      <c r="F59" s="63">
        <f>INDEX([1]Apr!$E$6:$AM$110,MATCH(B59,[1]Apr!$E$6:$E$110,0),33)</f>
        <v>0.91428571428571437</v>
      </c>
      <c r="O59">
        <f>[2]Jan!AO77</f>
        <v>23</v>
      </c>
      <c r="P59">
        <f>[2]Feb!AK77</f>
        <v>22</v>
      </c>
      <c r="Q59">
        <f>[1]Mar!AQ79</f>
        <v>26</v>
      </c>
      <c r="R59">
        <f>INDEX([1]Apr!$E$6:$AP$110,MATCH(B59,[1]Apr!$E$6:$E$110,0),38)</f>
        <v>14</v>
      </c>
      <c r="AA59">
        <f>INDEX([1]Jan!$E$6:$F$106,MATCH(B59,[1]Jan!$E$6:$E$106,0),2)</f>
        <v>3</v>
      </c>
      <c r="AB59">
        <f>INDEX([1]Feb!$E$6:$F$106,MATCH(B59,[1]Feb!$E$6:$E$106,0),2)</f>
        <v>3</v>
      </c>
      <c r="AC59">
        <f>INDEX([1]Mar!$E$6:$F$111,MATCH(B59,[1]Mar!$E$6:$E$111,0),2)</f>
        <v>3</v>
      </c>
      <c r="AD59">
        <v>3</v>
      </c>
    </row>
    <row r="60" spans="1:30" x14ac:dyDescent="0.25">
      <c r="A60" s="1">
        <v>3</v>
      </c>
      <c r="B60" s="9" t="s">
        <v>83</v>
      </c>
      <c r="C60" s="2">
        <v>1</v>
      </c>
      <c r="D60" s="10">
        <f>[2]Feb!AI78</f>
        <v>1</v>
      </c>
      <c r="E60" s="12">
        <f>INDEX([1]Mar!$E$6:$AM$110,MATCH(B60,[1]Mar!$E$6:$E$110,0),34)</f>
        <v>1</v>
      </c>
      <c r="F60" s="63">
        <f>INDEX([1]Apr!$E$6:$AM$110,MATCH(B60,[1]Apr!$E$6:$E$110,0),33)</f>
        <v>1</v>
      </c>
      <c r="O60">
        <f>[2]Jan!AO78</f>
        <v>5</v>
      </c>
      <c r="P60">
        <f>[2]Feb!AK78</f>
        <v>14</v>
      </c>
      <c r="Q60">
        <f>[1]Mar!AQ80</f>
        <v>23</v>
      </c>
      <c r="R60">
        <f>INDEX([1]Apr!$E$6:$AP$110,MATCH(B60,[1]Apr!$E$6:$E$110,0),38)</f>
        <v>13</v>
      </c>
      <c r="AA60">
        <f>INDEX([1]Jan!$E$6:$F$106,MATCH(B60,[1]Jan!$E$6:$E$106,0),2)</f>
        <v>3</v>
      </c>
      <c r="AB60">
        <f>INDEX([1]Feb!$E$6:$F$106,MATCH(B60,[1]Feb!$E$6:$E$106,0),2)</f>
        <v>3</v>
      </c>
      <c r="AC60">
        <f>INDEX([1]Mar!$E$6:$F$111,MATCH(B60,[1]Mar!$E$6:$E$111,0),2)</f>
        <v>3</v>
      </c>
      <c r="AD60">
        <v>3</v>
      </c>
    </row>
    <row r="61" spans="1:30" x14ac:dyDescent="0.25">
      <c r="A61" s="1">
        <v>3</v>
      </c>
      <c r="B61" s="9" t="s">
        <v>84</v>
      </c>
      <c r="C61" s="2">
        <v>1</v>
      </c>
      <c r="D61" s="10">
        <f>[2]Feb!AI79</f>
        <v>1</v>
      </c>
      <c r="E61" s="12">
        <f>INDEX([1]Mar!$E$6:$AM$110,MATCH(B61,[1]Mar!$E$6:$E$110,0),34)</f>
        <v>0.95833333333333326</v>
      </c>
      <c r="F61" s="63">
        <f>INDEX([1]Apr!$E$6:$AM$110,MATCH(B61,[1]Apr!$E$6:$E$110,0),33)</f>
        <v>1</v>
      </c>
      <c r="O61">
        <f>[2]Jan!AO79</f>
        <v>21</v>
      </c>
      <c r="P61">
        <f>[2]Feb!AK79</f>
        <v>21</v>
      </c>
      <c r="Q61">
        <f>[1]Mar!AQ81</f>
        <v>24</v>
      </c>
      <c r="R61">
        <f>INDEX([1]Apr!$E$6:$AP$110,MATCH(B61,[1]Apr!$E$6:$E$110,0),38)</f>
        <v>18</v>
      </c>
      <c r="AA61">
        <f>INDEX([1]Jan!$E$6:$F$106,MATCH(B61,[1]Jan!$E$6:$E$106,0),2)</f>
        <v>3</v>
      </c>
      <c r="AB61">
        <f>INDEX([1]Feb!$E$6:$F$106,MATCH(B61,[1]Feb!$E$6:$E$106,0),2)</f>
        <v>3</v>
      </c>
      <c r="AC61">
        <f>INDEX([1]Mar!$E$6:$F$111,MATCH(B61,[1]Mar!$E$6:$E$111,0),2)</f>
        <v>3</v>
      </c>
      <c r="AD61">
        <v>3</v>
      </c>
    </row>
    <row r="62" spans="1:30" x14ac:dyDescent="0.25">
      <c r="A62" s="1">
        <v>3</v>
      </c>
      <c r="B62" s="9" t="s">
        <v>85</v>
      </c>
      <c r="C62" s="2">
        <v>1</v>
      </c>
      <c r="D62" s="10">
        <f>[2]Feb!AI80</f>
        <v>1</v>
      </c>
      <c r="E62" s="12">
        <f>INDEX([1]Mar!$E$6:$AM$110,MATCH(B62,[1]Mar!$E$6:$E$110,0),34)</f>
        <v>0.88076923076923075</v>
      </c>
      <c r="F62" s="63">
        <f>INDEX([1]Apr!$E$6:$AM$110,MATCH(B62,[1]Apr!$E$6:$E$110,0),33)</f>
        <v>0.96875</v>
      </c>
      <c r="O62">
        <f>[2]Jan!AO80</f>
        <v>22</v>
      </c>
      <c r="P62">
        <f>[2]Feb!AK80</f>
        <v>21</v>
      </c>
      <c r="Q62">
        <f>[1]Mar!AQ82</f>
        <v>26</v>
      </c>
      <c r="R62">
        <f>INDEX([1]Apr!$E$6:$AP$110,MATCH(B62,[1]Apr!$E$6:$E$110,0),38)</f>
        <v>16</v>
      </c>
      <c r="AA62">
        <f>INDEX([1]Jan!$E$6:$F$106,MATCH(B62,[1]Jan!$E$6:$E$106,0),2)</f>
        <v>3</v>
      </c>
      <c r="AB62">
        <f>INDEX([1]Feb!$E$6:$F$106,MATCH(B62,[1]Feb!$E$6:$E$106,0),2)</f>
        <v>3</v>
      </c>
      <c r="AC62">
        <f>INDEX([1]Mar!$E$6:$F$111,MATCH(B62,[1]Mar!$E$6:$E$111,0),2)</f>
        <v>3</v>
      </c>
      <c r="AD62">
        <v>3</v>
      </c>
    </row>
    <row r="63" spans="1:30" x14ac:dyDescent="0.25">
      <c r="A63" s="1">
        <v>3</v>
      </c>
      <c r="B63" s="9" t="s">
        <v>86</v>
      </c>
      <c r="C63" s="2">
        <v>0.90909090909090906</v>
      </c>
      <c r="D63" s="10">
        <f>[2]Feb!AI81</f>
        <v>0.96296296296296291</v>
      </c>
      <c r="E63" s="12">
        <f>INDEX([1]Mar!$E$6:$AM$110,MATCH(B63,[1]Mar!$E$6:$E$110,0),34)</f>
        <v>0.88</v>
      </c>
      <c r="F63" s="63">
        <f>INDEX([1]Apr!$E$6:$AM$110,MATCH(B63,[1]Apr!$E$6:$E$110,0),33)</f>
        <v>0.98888888888888893</v>
      </c>
      <c r="O63">
        <f>[2]Jan!AO81</f>
        <v>8</v>
      </c>
      <c r="P63">
        <f>[2]Feb!AK81</f>
        <v>16</v>
      </c>
      <c r="Q63">
        <f>[1]Mar!AQ83</f>
        <v>25</v>
      </c>
      <c r="R63">
        <f>INDEX([1]Apr!$E$6:$AP$110,MATCH(B63,[1]Apr!$E$6:$E$110,0),38)</f>
        <v>9</v>
      </c>
      <c r="AA63">
        <f>INDEX([1]Jan!$E$6:$F$106,MATCH(B63,[1]Jan!$E$6:$E$106,0),2)</f>
        <v>3</v>
      </c>
      <c r="AB63">
        <f>INDEX([1]Feb!$E$6:$F$106,MATCH(B63,[1]Feb!$E$6:$E$106,0),2)</f>
        <v>3</v>
      </c>
      <c r="AC63">
        <f>INDEX([1]Mar!$E$6:$F$111,MATCH(B63,[1]Mar!$E$6:$E$111,0),2)</f>
        <v>3</v>
      </c>
      <c r="AD63">
        <v>3</v>
      </c>
    </row>
    <row r="64" spans="1:30" x14ac:dyDescent="0.25">
      <c r="A64" s="1">
        <v>4</v>
      </c>
      <c r="B64" s="11" t="s">
        <v>87</v>
      </c>
      <c r="C64" s="2">
        <v>1</v>
      </c>
      <c r="D64" s="10">
        <f>[2]Feb!AI85</f>
        <v>0.9642857142857143</v>
      </c>
      <c r="E64" s="12">
        <f>INDEX([1]Mar!$E$6:$AM$110,MATCH(B64,[1]Mar!$E$6:$E$110,0),34)</f>
        <v>0.98333333333333328</v>
      </c>
      <c r="F64" s="63">
        <f>INDEX([1]Apr!$E$6:$AM$110,MATCH(B64,[1]Apr!$E$6:$E$110,0),33)</f>
        <v>1</v>
      </c>
      <c r="O64">
        <f>[2]Jan!AO85</f>
        <v>19</v>
      </c>
      <c r="P64">
        <f>[2]Feb!AK85</f>
        <v>11</v>
      </c>
      <c r="Q64">
        <f>[1]Mar!AQ87</f>
        <v>24</v>
      </c>
      <c r="R64">
        <f>INDEX([1]Apr!$E$6:$AP$110,MATCH(B64,[1]Apr!$E$6:$E$110,0),38)</f>
        <v>12</v>
      </c>
      <c r="AA64">
        <f>INDEX([1]Jan!$E$6:$F$106,MATCH(B64,[1]Jan!$E$6:$E$106,0),2)</f>
        <v>4</v>
      </c>
      <c r="AB64">
        <f>INDEX([1]Feb!$E$6:$F$106,MATCH(B64,[1]Feb!$E$6:$E$106,0),2)</f>
        <v>4</v>
      </c>
      <c r="AC64">
        <f>INDEX([1]Mar!$E$6:$F$111,MATCH(B64,[1]Mar!$E$6:$E$111,0),2)</f>
        <v>4</v>
      </c>
      <c r="AD64">
        <v>4</v>
      </c>
    </row>
    <row r="65" spans="1:30" x14ac:dyDescent="0.25">
      <c r="A65" s="1">
        <v>4</v>
      </c>
      <c r="B65" s="11" t="s">
        <v>257</v>
      </c>
      <c r="C65" s="2">
        <v>1</v>
      </c>
      <c r="D65" s="10">
        <f>[2]Feb!AI86</f>
        <v>1</v>
      </c>
      <c r="E65" s="12">
        <f>INDEX([1]Mar!$E$6:$AM$110,MATCH(B65,[1]Mar!$E$6:$E$110,0),34)</f>
        <v>0.90892857142857142</v>
      </c>
      <c r="F65" s="63">
        <f>INDEX([1]Apr!$E$6:$AM$110,MATCH(B65,[1]Apr!$E$6:$E$110,0),33)</f>
        <v>0.88749999999999996</v>
      </c>
      <c r="O65">
        <f>[2]Jan!AO86</f>
        <v>19</v>
      </c>
      <c r="P65">
        <f>[2]Feb!AK86</f>
        <v>20</v>
      </c>
      <c r="Q65">
        <f>[1]Mar!AQ88</f>
        <v>24</v>
      </c>
      <c r="R65">
        <f>INDEX([1]Apr!$E$6:$AP$110,MATCH(B65,[1]Apr!$E$6:$E$110,0),38)</f>
        <v>16</v>
      </c>
      <c r="AA65">
        <f>INDEX([1]Jan!$E$6:$F$106,MATCH(B65,[1]Jan!$E$6:$E$106,0),2)</f>
        <v>2</v>
      </c>
      <c r="AB65">
        <f>INDEX([1]Feb!$E$6:$F$106,MATCH(B65,[1]Feb!$E$6:$E$106,0),2)</f>
        <v>2</v>
      </c>
      <c r="AC65">
        <f>INDEX([1]Mar!$E$6:$F$111,MATCH(B65,[1]Mar!$E$6:$E$111,0),2)</f>
        <v>4</v>
      </c>
      <c r="AD65">
        <v>4</v>
      </c>
    </row>
    <row r="66" spans="1:30" x14ac:dyDescent="0.25">
      <c r="A66" s="1">
        <v>4</v>
      </c>
      <c r="B66" s="11" t="s">
        <v>89</v>
      </c>
      <c r="C66" s="2">
        <v>1</v>
      </c>
      <c r="D66" s="10">
        <f>[2]Feb!AI87</f>
        <v>0.8928571428571429</v>
      </c>
      <c r="E66" s="12">
        <f>INDEX([1]Mar!$E$6:$AM$110,MATCH(B66,[1]Mar!$E$6:$E$110,0),34)</f>
        <v>0.92965367965367962</v>
      </c>
      <c r="F66" s="63">
        <f>INDEX([1]Apr!$E$6:$AM$110,MATCH(B66,[1]Apr!$E$6:$E$110,0),33)</f>
        <v>0.94523809523809521</v>
      </c>
      <c r="O66">
        <f>[2]Jan!AO87</f>
        <v>21</v>
      </c>
      <c r="P66">
        <f>[2]Feb!AK87</f>
        <v>19</v>
      </c>
      <c r="Q66">
        <f>[1]Mar!AQ89</f>
        <v>22</v>
      </c>
      <c r="R66">
        <f>INDEX([1]Apr!$E$6:$AP$110,MATCH(B66,[1]Apr!$E$6:$E$110,0),38)</f>
        <v>15</v>
      </c>
      <c r="AA66">
        <f>INDEX([1]Jan!$E$6:$F$106,MATCH(B66,[1]Jan!$E$6:$E$106,0),2)</f>
        <v>4</v>
      </c>
      <c r="AB66">
        <f>INDEX([1]Feb!$E$6:$F$106,MATCH(B66,[1]Feb!$E$6:$E$106,0),2)</f>
        <v>4</v>
      </c>
      <c r="AC66">
        <f>INDEX([1]Mar!$E$6:$F$111,MATCH(B66,[1]Mar!$E$6:$E$111,0),2)</f>
        <v>4</v>
      </c>
      <c r="AD66">
        <v>4</v>
      </c>
    </row>
    <row r="67" spans="1:30" x14ac:dyDescent="0.25">
      <c r="A67" s="1">
        <v>4</v>
      </c>
      <c r="B67" s="11" t="s">
        <v>90</v>
      </c>
      <c r="C67" s="2">
        <v>1</v>
      </c>
      <c r="D67" s="10">
        <f>[2]Feb!AI88</f>
        <v>1</v>
      </c>
      <c r="E67" s="12">
        <f>INDEX([1]Mar!$E$6:$AM$110,MATCH(B67,[1]Mar!$E$6:$E$110,0),34)</f>
        <v>0.94347826086956521</v>
      </c>
      <c r="F67" s="63">
        <f>INDEX([1]Apr!$E$6:$AM$110,MATCH(B67,[1]Apr!$E$6:$E$110,0),33)</f>
        <v>0.99411764705882355</v>
      </c>
      <c r="O67">
        <f>[2]Jan!AO88</f>
        <v>23</v>
      </c>
      <c r="P67">
        <f>[2]Feb!AK88</f>
        <v>24</v>
      </c>
      <c r="Q67">
        <f>[1]Mar!AQ90</f>
        <v>23</v>
      </c>
      <c r="R67">
        <f>INDEX([1]Apr!$E$6:$AP$110,MATCH(B67,[1]Apr!$E$6:$E$110,0),38)</f>
        <v>17</v>
      </c>
      <c r="AA67">
        <f>INDEX([1]Jan!$E$6:$F$106,MATCH(B67,[1]Jan!$E$6:$E$106,0),2)</f>
        <v>4</v>
      </c>
      <c r="AB67">
        <f>INDEX([1]Feb!$E$6:$F$106,MATCH(B67,[1]Feb!$E$6:$E$106,0),2)</f>
        <v>4</v>
      </c>
      <c r="AC67">
        <f>INDEX([1]Mar!$E$6:$F$111,MATCH(B67,[1]Mar!$E$6:$E$111,0),2)</f>
        <v>4</v>
      </c>
      <c r="AD67">
        <v>4</v>
      </c>
    </row>
    <row r="68" spans="1:30" x14ac:dyDescent="0.25">
      <c r="A68" s="1">
        <v>4</v>
      </c>
      <c r="B68" s="11" t="s">
        <v>91</v>
      </c>
      <c r="C68" s="2">
        <v>1</v>
      </c>
      <c r="D68" s="10">
        <f>[2]Feb!AI89</f>
        <v>1</v>
      </c>
      <c r="E68" s="12">
        <f>INDEX([1]Mar!$E$6:$AM$110,MATCH(B68,[1]Mar!$E$6:$E$110,0),34)</f>
        <v>0.95652173913043481</v>
      </c>
      <c r="F68" s="63">
        <f>INDEX([1]Apr!$E$6:$AM$110,MATCH(B68,[1]Apr!$E$6:$E$110,0),33)</f>
        <v>0.95384615384615379</v>
      </c>
      <c r="O68">
        <f>[2]Jan!AO89</f>
        <v>20</v>
      </c>
      <c r="P68">
        <f>[2]Feb!AK89</f>
        <v>23</v>
      </c>
      <c r="Q68">
        <f>[1]Mar!AQ91</f>
        <v>23</v>
      </c>
      <c r="R68">
        <f>INDEX([1]Apr!$E$6:$AP$110,MATCH(B68,[1]Apr!$E$6:$E$110,0),38)</f>
        <v>13</v>
      </c>
      <c r="AA68">
        <f>INDEX([1]Jan!$E$6:$F$106,MATCH(B68,[1]Jan!$E$6:$E$106,0),2)</f>
        <v>4</v>
      </c>
      <c r="AB68">
        <f>INDEX([1]Feb!$E$6:$F$106,MATCH(B68,[1]Feb!$E$6:$E$106,0),2)</f>
        <v>4</v>
      </c>
      <c r="AC68">
        <f>INDEX([1]Mar!$E$6:$F$111,MATCH(B68,[1]Mar!$E$6:$E$111,0),2)</f>
        <v>4</v>
      </c>
      <c r="AD68">
        <v>4</v>
      </c>
    </row>
    <row r="69" spans="1:30" x14ac:dyDescent="0.25">
      <c r="A69" s="1">
        <v>4</v>
      </c>
      <c r="B69" s="11" t="s">
        <v>92</v>
      </c>
      <c r="C69" s="2">
        <v>0.92592592592592593</v>
      </c>
      <c r="D69" s="10">
        <f>[2]Feb!AI90</f>
        <v>0.8928571428571429</v>
      </c>
      <c r="E69" s="12">
        <f>INDEX([1]Mar!$E$6:$AM$110,MATCH(B69,[1]Mar!$E$6:$E$110,0),34)</f>
        <v>0.84523809523809523</v>
      </c>
      <c r="F69" s="63">
        <f>INDEX([1]Apr!$E$6:$AM$110,MATCH(B69,[1]Apr!$E$6:$E$110,0),33)</f>
        <v>0.88454545454545452</v>
      </c>
      <c r="O69">
        <f>[2]Jan!AO90</f>
        <v>15</v>
      </c>
      <c r="P69">
        <f>[2]Feb!AK90</f>
        <v>18</v>
      </c>
      <c r="Q69">
        <f>[1]Mar!AQ92</f>
        <v>15</v>
      </c>
      <c r="R69">
        <f>INDEX([1]Apr!$E$6:$AP$110,MATCH(B69,[1]Apr!$E$6:$E$110,0),38)</f>
        <v>11</v>
      </c>
      <c r="AA69">
        <f>INDEX([1]Jan!$E$6:$F$106,MATCH(B69,[1]Jan!$E$6:$E$106,0),2)</f>
        <v>4</v>
      </c>
      <c r="AB69">
        <f>INDEX([1]Feb!$E$6:$F$106,MATCH(B69,[1]Feb!$E$6:$E$106,0),2)</f>
        <v>4</v>
      </c>
      <c r="AC69">
        <f>INDEX([1]Mar!$E$6:$F$111,MATCH(B69,[1]Mar!$E$6:$E$111,0),2)</f>
        <v>4</v>
      </c>
      <c r="AD69">
        <v>4</v>
      </c>
    </row>
    <row r="70" spans="1:30" x14ac:dyDescent="0.25">
      <c r="A70" s="1">
        <v>4</v>
      </c>
      <c r="B70" s="11" t="s">
        <v>93</v>
      </c>
      <c r="C70" s="2">
        <v>0.96296296296296291</v>
      </c>
      <c r="D70" s="10">
        <f>[2]Feb!AI91</f>
        <v>1</v>
      </c>
      <c r="E70" s="12">
        <f>INDEX([1]Mar!$E$6:$AM$110,MATCH(B70,[1]Mar!$E$6:$E$110,0),34)</f>
        <v>0.82208333333333328</v>
      </c>
      <c r="F70" s="63">
        <f>INDEX([1]Apr!$E$6:$AM$110,MATCH(B70,[1]Apr!$E$6:$E$110,0),33)</f>
        <v>0.86428571428571432</v>
      </c>
      <c r="O70">
        <f>[2]Jan!AO91</f>
        <v>17</v>
      </c>
      <c r="P70">
        <f>[2]Feb!AK91</f>
        <v>17</v>
      </c>
      <c r="Q70">
        <f>[1]Mar!AQ93</f>
        <v>16</v>
      </c>
      <c r="R70">
        <f>INDEX([1]Apr!$E$6:$AP$110,MATCH(B70,[1]Apr!$E$6:$E$110,0),38)</f>
        <v>14</v>
      </c>
      <c r="AA70">
        <f>INDEX([1]Jan!$E$6:$F$106,MATCH(B70,[1]Jan!$E$6:$E$106,0),2)</f>
        <v>4</v>
      </c>
      <c r="AB70">
        <f>INDEX([1]Feb!$E$6:$F$106,MATCH(B70,[1]Feb!$E$6:$E$106,0),2)</f>
        <v>4</v>
      </c>
      <c r="AC70">
        <f>INDEX([1]Mar!$E$6:$F$111,MATCH(B70,[1]Mar!$E$6:$E$111,0),2)</f>
        <v>4</v>
      </c>
      <c r="AD70">
        <v>4</v>
      </c>
    </row>
    <row r="71" spans="1:30" x14ac:dyDescent="0.25">
      <c r="A71" s="1">
        <v>4</v>
      </c>
      <c r="B71" s="11" t="s">
        <v>94</v>
      </c>
      <c r="C71" s="2">
        <v>1</v>
      </c>
      <c r="D71" s="10">
        <f>[2]Feb!AI92</f>
        <v>1</v>
      </c>
      <c r="E71" s="12">
        <f>INDEX([1]Mar!$E$6:$AM$110,MATCH(B71,[1]Mar!$E$6:$E$110,0),34)</f>
        <v>0.81119047619047624</v>
      </c>
      <c r="F71" s="63">
        <f>INDEX([1]Apr!$E$6:$AM$110,MATCH(B71,[1]Apr!$E$6:$E$110,0),33)</f>
        <v>0.94374999999999998</v>
      </c>
      <c r="O71">
        <f>[2]Jan!AO92</f>
        <v>21</v>
      </c>
      <c r="P71">
        <f>[2]Feb!AK92</f>
        <v>20</v>
      </c>
      <c r="Q71">
        <f>[1]Mar!AQ94</f>
        <v>21</v>
      </c>
      <c r="R71">
        <f>INDEX([1]Apr!$E$6:$AP$110,MATCH(B71,[1]Apr!$E$6:$E$110,0),38)</f>
        <v>16</v>
      </c>
      <c r="AA71">
        <f>INDEX([1]Jan!$E$6:$F$106,MATCH(B71,[1]Jan!$E$6:$E$106,0),2)</f>
        <v>4</v>
      </c>
      <c r="AB71">
        <f>INDEX([1]Feb!$E$6:$F$106,MATCH(B71,[1]Feb!$E$6:$E$106,0),2)</f>
        <v>4</v>
      </c>
      <c r="AC71">
        <f>INDEX([1]Mar!$E$6:$F$111,MATCH(B71,[1]Mar!$E$6:$E$111,0),2)</f>
        <v>4</v>
      </c>
      <c r="AD71">
        <v>4</v>
      </c>
    </row>
    <row r="72" spans="1:30" x14ac:dyDescent="0.25">
      <c r="A72" s="1">
        <v>4</v>
      </c>
      <c r="B72" s="11" t="s">
        <v>95</v>
      </c>
      <c r="C72" s="2">
        <v>0.92592592592592593</v>
      </c>
      <c r="D72" s="10">
        <f>[2]Feb!AI93</f>
        <v>0.9285714285714286</v>
      </c>
      <c r="E72" s="12">
        <f>INDEX([1]Mar!$E$6:$AM$110,MATCH(B72,[1]Mar!$E$6:$E$110,0),34)</f>
        <v>0.89090909090909087</v>
      </c>
      <c r="F72" s="63">
        <f>INDEX([1]Apr!$E$6:$AM$110,MATCH(B72,[1]Apr!$E$6:$E$110,0),33)</f>
        <v>0.97857142857142854</v>
      </c>
      <c r="O72">
        <f>[2]Jan!AO93</f>
        <v>17</v>
      </c>
      <c r="P72">
        <f>[2]Feb!AK93</f>
        <v>19</v>
      </c>
      <c r="Q72">
        <f>[1]Mar!AQ95</f>
        <v>11</v>
      </c>
      <c r="R72">
        <f>INDEX([1]Apr!$E$6:$AP$110,MATCH(B72,[1]Apr!$E$6:$E$110,0),38)</f>
        <v>14</v>
      </c>
      <c r="AA72">
        <f>INDEX([1]Jan!$E$6:$F$106,MATCH(B72,[1]Jan!$E$6:$E$106,0),2)</f>
        <v>4</v>
      </c>
      <c r="AB72">
        <f>INDEX([1]Feb!$E$6:$F$106,MATCH(B72,[1]Feb!$E$6:$E$106,0),2)</f>
        <v>4</v>
      </c>
      <c r="AC72">
        <f>INDEX([1]Mar!$E$6:$F$111,MATCH(B72,[1]Mar!$E$6:$E$111,0),2)</f>
        <v>4</v>
      </c>
      <c r="AD72">
        <v>4</v>
      </c>
    </row>
    <row r="73" spans="1:30" ht="16.5" x14ac:dyDescent="0.25">
      <c r="A73" s="1">
        <v>4</v>
      </c>
      <c r="B73" s="60" t="s">
        <v>96</v>
      </c>
      <c r="C73" s="2">
        <v>1</v>
      </c>
      <c r="D73" s="10">
        <f>[2]Feb!AI94</f>
        <v>0.9642857142857143</v>
      </c>
      <c r="E73" s="12">
        <f>INDEX([1]Mar!$E$6:$AM$110,MATCH(B73,[1]Mar!$E$6:$E$110,0),34)</f>
        <v>0.78035714285714286</v>
      </c>
      <c r="F73" s="63" t="e">
        <f>INDEX([1]Apr!$E$6:$AM$110,MATCH(B73,[1]Apr!$E$6:$E$110,0),33)</f>
        <v>#N/A</v>
      </c>
      <c r="O73">
        <f>[2]Jan!AO94</f>
        <v>12</v>
      </c>
      <c r="P73">
        <f>[2]Feb!AK94</f>
        <v>18</v>
      </c>
      <c r="Q73" s="66">
        <f>[1]Mar!$AQ$96</f>
        <v>8</v>
      </c>
      <c r="R73">
        <v>0</v>
      </c>
      <c r="AA73">
        <f>INDEX([1]Jan!$E$6:$F$106,MATCH(B73,[1]Jan!$E$6:$E$106,0),2)</f>
        <v>4</v>
      </c>
      <c r="AB73">
        <f>INDEX([1]Feb!$E$6:$F$106,MATCH(B73,[1]Feb!$E$6:$E$106,0),2)</f>
        <v>4</v>
      </c>
      <c r="AC73">
        <f>INDEX([1]Mar!$E$6:$F$111,MATCH(B73,[1]Mar!$E$6:$E$111,0),2)</f>
        <v>4</v>
      </c>
    </row>
    <row r="74" spans="1:30" x14ac:dyDescent="0.25">
      <c r="A74" s="1">
        <v>4</v>
      </c>
      <c r="B74" s="11" t="s">
        <v>97</v>
      </c>
      <c r="C74" s="2">
        <v>0.92307692307692313</v>
      </c>
      <c r="D74" s="10">
        <f>[2]Feb!AI95</f>
        <v>1</v>
      </c>
      <c r="E74" s="12">
        <f>INDEX([1]Mar!$E$6:$AM$110,MATCH(B74,[1]Mar!$E$6:$E$110,0),34)</f>
        <v>0.96500000000000008</v>
      </c>
      <c r="F74" s="63">
        <f>INDEX([1]Apr!$E$6:$AM$110,MATCH(B74,[1]Apr!$E$6:$E$110,0),33)</f>
        <v>0.98666666666666658</v>
      </c>
      <c r="O74">
        <f>[2]Jan!AO95</f>
        <v>21</v>
      </c>
      <c r="P74">
        <f>[2]Feb!AK95</f>
        <v>21</v>
      </c>
      <c r="Q74">
        <f>[1]Mar!$AQ$98</f>
        <v>20</v>
      </c>
      <c r="R74">
        <f>INDEX([1]Apr!$E$6:$AP$110,MATCH(B74,[1]Apr!$E$6:$E$110,0),38)</f>
        <v>15</v>
      </c>
      <c r="AA74">
        <f>INDEX([1]Jan!$E$6:$F$106,MATCH(B74,[1]Jan!$E$6:$E$106,0),2)</f>
        <v>4</v>
      </c>
      <c r="AB74">
        <f>INDEX([1]Feb!$E$6:$F$106,MATCH(B74,[1]Feb!$E$6:$E$106,0),2)</f>
        <v>4</v>
      </c>
      <c r="AC74">
        <f>INDEX([1]Mar!$E$6:$F$111,MATCH(B74,[1]Mar!$E$6:$E$111,0),2)</f>
        <v>4</v>
      </c>
      <c r="AD74">
        <v>4</v>
      </c>
    </row>
    <row r="75" spans="1:30" x14ac:dyDescent="0.25">
      <c r="A75" s="1">
        <v>4</v>
      </c>
      <c r="B75" s="11" t="s">
        <v>98</v>
      </c>
      <c r="C75" s="2">
        <v>0.96296296296296291</v>
      </c>
      <c r="D75" s="10">
        <f>[2]Feb!AI96</f>
        <v>0.9285714285714286</v>
      </c>
      <c r="E75" s="12">
        <f>INDEX([1]Mar!$E$6:$AM$110,MATCH(B75,[1]Mar!$E$6:$E$110,0),34)</f>
        <v>0.8954545454545455</v>
      </c>
      <c r="F75" s="63">
        <f>INDEX([1]Apr!$E$6:$AM$110,MATCH(B75,[1]Apr!$E$6:$E$110,0),33)</f>
        <v>0.94285714285714284</v>
      </c>
      <c r="O75">
        <f>[2]Jan!AO96</f>
        <v>15</v>
      </c>
      <c r="P75">
        <f>[2]Feb!AK96</f>
        <v>20</v>
      </c>
      <c r="Q75">
        <v>6</v>
      </c>
      <c r="R75">
        <f>INDEX([1]Apr!$E$6:$AP$110,MATCH(B75,[1]Apr!$E$6:$E$110,0),38)</f>
        <v>14</v>
      </c>
      <c r="AA75">
        <f>INDEX([1]Jan!$E$6:$F$106,MATCH(B75,[1]Jan!$E$6:$E$106,0),2)</f>
        <v>4</v>
      </c>
      <c r="AB75">
        <f>INDEX([1]Feb!$E$6:$F$106,MATCH(B75,[1]Feb!$E$6:$E$106,0),2)</f>
        <v>4</v>
      </c>
      <c r="AC75">
        <f>INDEX([1]Mar!$E$6:$F$111,MATCH(B75,[1]Mar!$E$6:$E$111,0),2)</f>
        <v>4</v>
      </c>
      <c r="AD75">
        <v>4</v>
      </c>
    </row>
    <row r="76" spans="1:30" x14ac:dyDescent="0.25">
      <c r="A76" s="1">
        <v>4</v>
      </c>
      <c r="B76" s="61" t="s">
        <v>99</v>
      </c>
      <c r="C76" s="2">
        <v>1</v>
      </c>
      <c r="D76" s="10">
        <f>[2]Feb!AI97</f>
        <v>0.9285714285714286</v>
      </c>
      <c r="E76" s="12">
        <f>INDEX([1]Mar!$E$6:$AM$110,MATCH(B76,[1]Mar!$E$6:$E$110,0),34)</f>
        <v>0.96045751633986931</v>
      </c>
      <c r="F76" s="63">
        <f>INDEX([1]Apr!$E$6:$AM$110,MATCH(B76,[1]Apr!$E$6:$E$110,0),33)</f>
        <v>0.99375000000000002</v>
      </c>
      <c r="O76">
        <f>[2]Jan!AO97</f>
        <v>15</v>
      </c>
      <c r="P76">
        <f>[2]Feb!AK97</f>
        <v>13</v>
      </c>
      <c r="Q76">
        <f>SUM([1]Mar!$AQ$100,[1]Mar!$AQ$76)</f>
        <v>23</v>
      </c>
      <c r="R76">
        <f>INDEX([1]Apr!$E$6:$AP$110,MATCH(B76,[1]Apr!$E$6:$E$110,0),38)</f>
        <v>16</v>
      </c>
      <c r="AA76">
        <f>INDEX([1]Jan!$E$6:$F$106,MATCH(B76,[1]Jan!$E$6:$E$106,0),2)</f>
        <v>4</v>
      </c>
      <c r="AB76">
        <f>INDEX([1]Feb!$E$6:$F$106,MATCH(B76,[1]Feb!$E$6:$E$106,0),2)</f>
        <v>4</v>
      </c>
      <c r="AC76">
        <f>INDEX([1]Mar!$E$6:$F$111,MATCH(B76,[1]Mar!$E$6:$E$111,0),2)</f>
        <v>3</v>
      </c>
      <c r="AD76">
        <v>3</v>
      </c>
    </row>
    <row r="77" spans="1:30" x14ac:dyDescent="0.25">
      <c r="A77" s="1">
        <v>4</v>
      </c>
      <c r="B77" s="11" t="s">
        <v>100</v>
      </c>
      <c r="C77" s="2">
        <v>1</v>
      </c>
      <c r="D77" s="10">
        <f>[2]Feb!AI98</f>
        <v>1</v>
      </c>
      <c r="E77" s="12">
        <f>INDEX([1]Mar!$E$6:$AM$110,MATCH(B77,[1]Mar!$E$6:$E$110,0),34)</f>
        <v>0.87142857142857144</v>
      </c>
      <c r="F77" s="63">
        <f>INDEX([1]Apr!$E$6:$AM$110,MATCH(B77,[1]Apr!$E$6:$E$110,0),33)</f>
        <v>0.95</v>
      </c>
      <c r="O77">
        <f>[2]Jan!AO98</f>
        <v>22</v>
      </c>
      <c r="P77">
        <f>[2]Feb!AK98</f>
        <v>23</v>
      </c>
      <c r="Q77">
        <f>[1]Mar!AQ102</f>
        <v>21</v>
      </c>
      <c r="R77">
        <f>INDEX([1]Apr!$E$6:$AP$110,MATCH(B77,[1]Apr!$E$6:$E$110,0),38)</f>
        <v>12</v>
      </c>
      <c r="AA77">
        <f>INDEX([1]Jan!$E$6:$F$106,MATCH(B77,[1]Jan!$E$6:$E$106,0),2)</f>
        <v>4</v>
      </c>
      <c r="AB77">
        <f>INDEX([1]Feb!$E$6:$F$106,MATCH(B77,[1]Feb!$E$6:$E$106,0),2)</f>
        <v>4</v>
      </c>
      <c r="AC77">
        <f>INDEX([1]Mar!$E$6:$F$111,MATCH(B77,[1]Mar!$E$6:$E$111,0),2)</f>
        <v>4</v>
      </c>
      <c r="AD77">
        <v>4</v>
      </c>
    </row>
    <row r="78" spans="1:30" x14ac:dyDescent="0.25">
      <c r="A78" s="1">
        <v>4</v>
      </c>
      <c r="B78" s="11" t="s">
        <v>101</v>
      </c>
      <c r="C78" s="2">
        <v>1</v>
      </c>
      <c r="D78" s="10">
        <f>[2]Feb!AI99</f>
        <v>1</v>
      </c>
      <c r="E78" s="12">
        <f>INDEX([1]Mar!$E$6:$AM$110,MATCH(B78,[1]Mar!$E$6:$E$110,0),34)</f>
        <v>0.86916996047430839</v>
      </c>
      <c r="F78" s="63">
        <f>INDEX([1]Apr!$E$6:$AM$110,MATCH(B78,[1]Apr!$E$6:$E$110,0),33)</f>
        <v>0.95454545454545459</v>
      </c>
      <c r="O78">
        <f>[2]Jan!AO99</f>
        <v>22</v>
      </c>
      <c r="P78">
        <f>[2]Feb!AK99</f>
        <v>21</v>
      </c>
      <c r="Q78">
        <f>[1]Mar!AQ103</f>
        <v>23</v>
      </c>
      <c r="R78">
        <f>INDEX([1]Apr!$E$6:$AP$110,MATCH(B78,[1]Apr!$E$6:$E$110,0),38)</f>
        <v>11</v>
      </c>
      <c r="AA78">
        <f>INDEX([1]Jan!$E$6:$F$106,MATCH(B78,[1]Jan!$E$6:$E$106,0),2)</f>
        <v>4</v>
      </c>
      <c r="AB78">
        <f>INDEX([1]Feb!$E$6:$F$106,MATCH(B78,[1]Feb!$E$6:$E$106,0),2)</f>
        <v>4</v>
      </c>
      <c r="AC78">
        <f>INDEX([1]Mar!$E$6:$F$111,MATCH(B78,[1]Mar!$E$6:$E$111,0),2)</f>
        <v>4</v>
      </c>
      <c r="AD78">
        <v>4</v>
      </c>
    </row>
    <row r="79" spans="1:30" x14ac:dyDescent="0.25">
      <c r="A79" s="1">
        <v>4</v>
      </c>
      <c r="B79" s="11" t="s">
        <v>102</v>
      </c>
      <c r="C79" s="2">
        <v>1</v>
      </c>
      <c r="D79" s="10">
        <f>[2]Feb!AI100</f>
        <v>0.9642857142857143</v>
      </c>
      <c r="E79" s="12">
        <f>INDEX([1]Mar!$E$6:$AM$110,MATCH(B79,[1]Mar!$E$6:$E$110,0),34)</f>
        <v>0.9</v>
      </c>
      <c r="F79" s="63">
        <f>INDEX([1]Apr!$E$6:$AM$110,MATCH(B79,[1]Apr!$E$6:$E$110,0),33)</f>
        <v>0.89469696969696966</v>
      </c>
      <c r="O79">
        <f>[2]Jan!AO100</f>
        <v>19</v>
      </c>
      <c r="P79">
        <f>[2]Feb!AK100</f>
        <v>22</v>
      </c>
      <c r="Q79">
        <f>[1]Mar!AQ104</f>
        <v>24</v>
      </c>
      <c r="R79">
        <f>INDEX([1]Apr!$E$6:$AP$110,MATCH(B79,[1]Apr!$E$6:$E$110,0),38)</f>
        <v>12</v>
      </c>
      <c r="AA79">
        <f>INDEX([1]Jan!$E$6:$F$106,MATCH(B79,[1]Jan!$E$6:$E$106,0),2)</f>
        <v>4</v>
      </c>
      <c r="AB79">
        <f>INDEX([1]Feb!$E$6:$F$106,MATCH(B79,[1]Feb!$E$6:$E$106,0),2)</f>
        <v>4</v>
      </c>
      <c r="AC79">
        <f>INDEX([1]Mar!$E$6:$F$111,MATCH(B79,[1]Mar!$E$6:$E$111,0),2)</f>
        <v>4</v>
      </c>
      <c r="AD79">
        <v>4</v>
      </c>
    </row>
    <row r="80" spans="1:30" x14ac:dyDescent="0.25">
      <c r="A80" s="1">
        <v>4</v>
      </c>
      <c r="B80" s="11" t="s">
        <v>103</v>
      </c>
      <c r="C80" s="2">
        <v>1</v>
      </c>
      <c r="D80" s="10">
        <f>[2]Feb!AI101</f>
        <v>1</v>
      </c>
      <c r="E80" s="12">
        <f>INDEX([1]Mar!$E$6:$AM$110,MATCH(B80,[1]Mar!$E$6:$E$110,0),34)</f>
        <v>0.91578947368421049</v>
      </c>
      <c r="F80" s="63">
        <f>INDEX([1]Apr!$E$6:$AM$110,MATCH(B80,[1]Apr!$E$6:$E$110,0),33)</f>
        <v>0.95625000000000004</v>
      </c>
      <c r="O80">
        <f>[2]Jan!AO101</f>
        <v>22</v>
      </c>
      <c r="P80">
        <f>[2]Feb!AK101</f>
        <v>23</v>
      </c>
      <c r="Q80">
        <f>[1]Mar!AQ105</f>
        <v>19</v>
      </c>
      <c r="R80">
        <f>INDEX([1]Apr!$E$6:$AP$110,MATCH(B80,[1]Apr!$E$6:$E$110,0),38)</f>
        <v>16</v>
      </c>
      <c r="AA80">
        <f>INDEX([1]Jan!$E$6:$F$106,MATCH(B80,[1]Jan!$E$6:$E$106,0),2)</f>
        <v>4</v>
      </c>
      <c r="AB80">
        <f>INDEX([1]Feb!$E$6:$F$106,MATCH(B80,[1]Feb!$E$6:$E$106,0),2)</f>
        <v>4</v>
      </c>
      <c r="AC80">
        <f>INDEX([1]Mar!$E$6:$F$111,MATCH(B80,[1]Mar!$E$6:$E$111,0),2)</f>
        <v>4</v>
      </c>
      <c r="AD80">
        <v>4</v>
      </c>
    </row>
    <row r="81" spans="1:30" x14ac:dyDescent="0.25">
      <c r="A81" s="1">
        <v>4</v>
      </c>
      <c r="B81" s="11" t="s">
        <v>104</v>
      </c>
      <c r="C81" s="2">
        <v>1</v>
      </c>
      <c r="D81" s="10">
        <f>[2]Feb!AI102</f>
        <v>1</v>
      </c>
      <c r="E81" s="12">
        <f>INDEX([1]Mar!$E$6:$AM$110,MATCH(B81,[1]Mar!$E$6:$E$110,0),34)</f>
        <v>0.95</v>
      </c>
      <c r="F81" s="63">
        <f>INDEX([1]Apr!$E$6:$AM$110,MATCH(B81,[1]Apr!$E$6:$E$110,0),33)</f>
        <v>0.96666666666666667</v>
      </c>
      <c r="O81">
        <f>[2]Jan!AO102</f>
        <v>20</v>
      </c>
      <c r="P81">
        <f>[2]Feb!AK102</f>
        <v>22</v>
      </c>
      <c r="Q81">
        <f>[1]Mar!AQ106</f>
        <v>18</v>
      </c>
      <c r="R81">
        <f>INDEX([1]Apr!$E$6:$AP$110,MATCH(B81,[1]Apr!$E$6:$E$110,0),38)</f>
        <v>9</v>
      </c>
      <c r="AA81">
        <f>INDEX([1]Jan!$E$6:$F$106,MATCH(B81,[1]Jan!$E$6:$E$106,0),2)</f>
        <v>4</v>
      </c>
      <c r="AB81">
        <f>INDEX([1]Feb!$E$6:$F$106,MATCH(B81,[1]Feb!$E$6:$E$106,0),2)</f>
        <v>4</v>
      </c>
      <c r="AC81">
        <f>INDEX([1]Mar!$E$6:$F$111,MATCH(B81,[1]Mar!$E$6:$E$111,0),2)</f>
        <v>4</v>
      </c>
      <c r="AD81">
        <v>4</v>
      </c>
    </row>
    <row r="82" spans="1:30" x14ac:dyDescent="0.25">
      <c r="A82" s="1">
        <v>4</v>
      </c>
      <c r="B82" s="11" t="s">
        <v>105</v>
      </c>
      <c r="C82" s="2">
        <v>0.96153846153846156</v>
      </c>
      <c r="D82" s="10">
        <f>[2]Feb!AI103</f>
        <v>0.9642857142857143</v>
      </c>
      <c r="E82" s="12">
        <f>INDEX([1]Mar!$E$6:$AM$110,MATCH(B82,[1]Mar!$E$6:$E$110,0),34)</f>
        <v>0.91739130434782612</v>
      </c>
      <c r="F82" s="63">
        <f>INDEX([1]Apr!$E$6:$AM$110,MATCH(B82,[1]Apr!$E$6:$E$110,0),33)</f>
        <v>0.9</v>
      </c>
      <c r="O82">
        <f>[2]Jan!AO103</f>
        <v>21</v>
      </c>
      <c r="P82">
        <f>[2]Feb!AK103</f>
        <v>22</v>
      </c>
      <c r="Q82">
        <f>[1]Mar!AQ107</f>
        <v>23</v>
      </c>
      <c r="R82">
        <f>INDEX([1]Apr!$E$6:$AP$110,MATCH(B82,[1]Apr!$E$6:$E$110,0),38)</f>
        <v>15</v>
      </c>
      <c r="AA82">
        <f>INDEX([1]Jan!$E$6:$F$106,MATCH(B82,[1]Jan!$E$6:$E$106,0),2)</f>
        <v>4</v>
      </c>
      <c r="AB82">
        <f>INDEX([1]Feb!$E$6:$F$106,MATCH(B82,[1]Feb!$E$6:$E$106,0),2)</f>
        <v>4</v>
      </c>
      <c r="AC82">
        <f>INDEX([1]Mar!$E$6:$F$111,MATCH(B82,[1]Mar!$E$6:$E$111,0),2)</f>
        <v>4</v>
      </c>
      <c r="AD82">
        <v>4</v>
      </c>
    </row>
    <row r="83" spans="1:30" x14ac:dyDescent="0.25">
      <c r="A83" s="1">
        <v>4</v>
      </c>
      <c r="B83" s="11" t="s">
        <v>106</v>
      </c>
      <c r="C83" s="2">
        <v>1</v>
      </c>
      <c r="D83" s="10">
        <f>[2]Feb!AI104</f>
        <v>1</v>
      </c>
      <c r="E83" s="12">
        <f>INDEX([1]Mar!$E$6:$AM$110,MATCH(B83,[1]Mar!$E$6:$E$110,0),34)</f>
        <v>0.90416666666666667</v>
      </c>
      <c r="F83" s="63">
        <f>INDEX([1]Apr!$E$6:$AM$110,MATCH(B83,[1]Apr!$E$6:$E$110,0),33)</f>
        <v>0.95384615384615379</v>
      </c>
      <c r="O83">
        <f>[2]Jan!AO104</f>
        <v>19</v>
      </c>
      <c r="P83">
        <f>[2]Feb!AK104</f>
        <v>23</v>
      </c>
      <c r="Q83">
        <f>[1]Mar!AQ108</f>
        <v>24</v>
      </c>
      <c r="R83">
        <f>INDEX([1]Apr!$E$6:$AP$110,MATCH(B83,[1]Apr!$E$6:$E$110,0),38)</f>
        <v>13</v>
      </c>
      <c r="AA83">
        <f>INDEX([1]Jan!$E$6:$F$106,MATCH(B83,[1]Jan!$E$6:$E$106,0),2)</f>
        <v>4</v>
      </c>
      <c r="AB83">
        <f>INDEX([1]Feb!$E$6:$F$106,MATCH(B83,[1]Feb!$E$6:$E$106,0),2)</f>
        <v>4</v>
      </c>
      <c r="AC83">
        <f>INDEX([1]Mar!$E$6:$F$111,MATCH(B83,[1]Mar!$E$6:$E$111,0),2)</f>
        <v>4</v>
      </c>
      <c r="AD83">
        <v>4</v>
      </c>
    </row>
    <row r="84" spans="1:30" x14ac:dyDescent="0.25">
      <c r="A84" s="1">
        <v>4</v>
      </c>
      <c r="B84" s="11" t="s">
        <v>107</v>
      </c>
      <c r="C84" s="2">
        <v>0.96153846153846156</v>
      </c>
      <c r="D84" s="10">
        <f>[2]Feb!AI105</f>
        <v>1</v>
      </c>
      <c r="E84" s="12">
        <f>INDEX([1]Mar!$E$6:$AM$110,MATCH(B84,[1]Mar!$E$6:$E$110,0),34)</f>
        <v>0.86818181818181817</v>
      </c>
      <c r="F84" s="63">
        <f>INDEX([1]Apr!$E$6:$AM$110,MATCH(B84,[1]Apr!$E$6:$E$110,0),33)</f>
        <v>0.84102564102564104</v>
      </c>
      <c r="O84">
        <f>[2]Jan!AO105</f>
        <v>3</v>
      </c>
      <c r="P84">
        <f>[2]Feb!AK105</f>
        <v>0</v>
      </c>
      <c r="Q84">
        <f>[1]Mar!AQ109</f>
        <v>22</v>
      </c>
      <c r="R84">
        <f>INDEX([1]Apr!$E$6:$AP$110,MATCH(B84,[1]Apr!$E$6:$E$110,0),38)</f>
        <v>15</v>
      </c>
      <c r="AA84">
        <f>INDEX([1]Jan!$E$6:$F$106,MATCH(B84,[1]Jan!$E$6:$E$106,0),2)</f>
        <v>4</v>
      </c>
      <c r="AB84">
        <f>INDEX([1]Feb!$E$6:$F$106,MATCH(B84,[1]Feb!$E$6:$E$106,0),2)</f>
        <v>4</v>
      </c>
      <c r="AC84">
        <f>INDEX([1]Mar!$E$6:$F$111,MATCH(B84,[1]Mar!$E$6:$E$111,0),2)</f>
        <v>4</v>
      </c>
      <c r="AD84">
        <v>4</v>
      </c>
    </row>
    <row r="85" spans="1:30" x14ac:dyDescent="0.25">
      <c r="B85" s="64"/>
      <c r="C85" s="12"/>
      <c r="D85" s="12"/>
    </row>
    <row r="86" spans="1:30" x14ac:dyDescent="0.25">
      <c r="B86" s="64"/>
    </row>
    <row r="87" spans="1:30" x14ac:dyDescent="0.25">
      <c r="B87" s="64"/>
    </row>
    <row r="88" spans="1:30" x14ac:dyDescent="0.25">
      <c r="B88" s="64"/>
    </row>
    <row r="89" spans="1:30" x14ac:dyDescent="0.25">
      <c r="A89" s="9"/>
    </row>
    <row r="90" spans="1:30" x14ac:dyDescent="0.25">
      <c r="A90" s="9"/>
    </row>
    <row r="91" spans="1:30" x14ac:dyDescent="0.25">
      <c r="A91" s="62"/>
    </row>
    <row r="92" spans="1:30" x14ac:dyDescent="0.25">
      <c r="A92" s="9"/>
    </row>
  </sheetData>
  <customSheetViews>
    <customSheetView guid="{95B9DE93-5E26-48CF-B2F2-F6D6799F59EE}" scale="70" showPageBreaks="1" printArea="1" hiddenColumns="1" view="pageBreakPreview" topLeftCell="A49">
      <pane xSplit="2" topLeftCell="C1" activePane="topRight" state="frozen"/>
      <selection pane="topRight" activeCell="AD82" sqref="AD82"/>
      <pageMargins left="0.7" right="0.7" top="0.75" bottom="0.75" header="0.3" footer="0.3"/>
      <pageSetup paperSize="9" scale="16" orientation="portrait" r:id="rId1"/>
    </customSheetView>
  </customSheetViews>
  <conditionalFormatting sqref="E2:E84">
    <cfRule type="cellIs" dxfId="4" priority="3" operator="greaterThan">
      <formula>2</formula>
    </cfRule>
  </conditionalFormatting>
  <conditionalFormatting sqref="E2:E84">
    <cfRule type="cellIs" dxfId="3" priority="2" operator="equal">
      <formula>1</formula>
    </cfRule>
  </conditionalFormatting>
  <conditionalFormatting sqref="F2:F84">
    <cfRule type="cellIs" dxfId="2" priority="1" operator="equal">
      <formula>1</formula>
    </cfRule>
  </conditionalFormatting>
  <pageMargins left="0.7" right="0.7" top="0.75" bottom="0.75" header="0.3" footer="0.3"/>
  <pageSetup paperSize="9" scale="16" orientation="portrait" r:id="rId2"/>
  <drawing r:id="rId3"/>
  <legacyDrawing r:id="rId4"/>
  <controls>
    <mc:AlternateContent xmlns:mc="http://schemas.openxmlformats.org/markup-compatibility/2006">
      <mc:Choice Requires="x14">
        <control shapeId="2049" r:id="rId5" name="CommandButton1">
          <controlPr defaultSize="0" autoLine="0" r:id="rId6">
            <anchor moveWithCells="1">
              <from>
                <xdr:col>30</xdr:col>
                <xdr:colOff>47625</xdr:colOff>
                <xdr:row>2</xdr:row>
                <xdr:rowOff>28575</xdr:rowOff>
              </from>
              <to>
                <xdr:col>32</xdr:col>
                <xdr:colOff>466725</xdr:colOff>
                <xdr:row>5</xdr:row>
                <xdr:rowOff>114300</xdr:rowOff>
              </to>
            </anchor>
          </controlPr>
        </control>
      </mc:Choice>
      <mc:Fallback>
        <control shapeId="2049" r:id="rId5" name="CommandButton1"/>
      </mc:Fallback>
    </mc:AlternateContent>
    <mc:AlternateContent xmlns:mc="http://schemas.openxmlformats.org/markup-compatibility/2006">
      <mc:Choice Requires="x14">
        <control shapeId="2050" r:id="rId7" name="CommandButton2">
          <controlPr defaultSize="0" print="0" autoLine="0" r:id="rId8">
            <anchor moveWithCells="1">
              <from>
                <xdr:col>30</xdr:col>
                <xdr:colOff>76200</xdr:colOff>
                <xdr:row>6</xdr:row>
                <xdr:rowOff>180975</xdr:rowOff>
              </from>
              <to>
                <xdr:col>33</xdr:col>
                <xdr:colOff>200025</xdr:colOff>
                <xdr:row>10</xdr:row>
                <xdr:rowOff>104775</xdr:rowOff>
              </to>
            </anchor>
          </controlPr>
        </control>
      </mc:Choice>
      <mc:Fallback>
        <control shapeId="2050" r:id="rId7"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G37"/>
  <sheetViews>
    <sheetView view="pageBreakPreview" zoomScale="115" zoomScaleNormal="100" zoomScaleSheetLayoutView="115" workbookViewId="0">
      <selection activeCell="D24" sqref="D24"/>
    </sheetView>
  </sheetViews>
  <sheetFormatPr defaultRowHeight="15" x14ac:dyDescent="0.25"/>
  <cols>
    <col min="1" max="1" width="10.85546875" bestFit="1" customWidth="1"/>
    <col min="2" max="2" width="24.85546875" bestFit="1" customWidth="1"/>
  </cols>
  <sheetData>
    <row r="1" spans="1:7" x14ac:dyDescent="0.25">
      <c r="A1" t="s">
        <v>109</v>
      </c>
      <c r="B1" t="s">
        <v>487</v>
      </c>
      <c r="C1">
        <v>1</v>
      </c>
      <c r="D1">
        <v>2</v>
      </c>
      <c r="E1">
        <v>3</v>
      </c>
      <c r="F1">
        <v>4</v>
      </c>
      <c r="G1" t="s">
        <v>517</v>
      </c>
    </row>
    <row r="2" spans="1:7" x14ac:dyDescent="0.25">
      <c r="A2" t="s">
        <v>112</v>
      </c>
      <c r="B2" t="s">
        <v>515</v>
      </c>
      <c r="C2" s="67" t="s">
        <v>495</v>
      </c>
      <c r="D2" s="67" t="s">
        <v>495</v>
      </c>
      <c r="E2" s="67" t="s">
        <v>495</v>
      </c>
      <c r="F2" s="67" t="s">
        <v>495</v>
      </c>
      <c r="G2" s="67" t="s">
        <v>495</v>
      </c>
    </row>
    <row r="3" spans="1:7" x14ac:dyDescent="0.25">
      <c r="A3" t="s">
        <v>112</v>
      </c>
      <c r="B3" t="s">
        <v>516</v>
      </c>
      <c r="C3" s="63">
        <v>0.99099999999999999</v>
      </c>
      <c r="D3" s="63">
        <v>1</v>
      </c>
      <c r="E3" s="63">
        <v>0.99199999999999999</v>
      </c>
      <c r="F3" s="63">
        <v>0.98199999999999998</v>
      </c>
      <c r="G3" s="63">
        <f>AVERAGE(C3:F3)</f>
        <v>0.99124999999999996</v>
      </c>
    </row>
    <row r="4" spans="1:7" x14ac:dyDescent="0.25">
      <c r="A4" t="s">
        <v>112</v>
      </c>
      <c r="B4" t="s">
        <v>514</v>
      </c>
      <c r="C4" s="67" t="s">
        <v>495</v>
      </c>
      <c r="D4" s="67" t="s">
        <v>495</v>
      </c>
      <c r="E4" s="67" t="s">
        <v>495</v>
      </c>
      <c r="F4" s="67" t="s">
        <v>495</v>
      </c>
      <c r="G4" s="67" t="s">
        <v>495</v>
      </c>
    </row>
    <row r="5" spans="1:7" x14ac:dyDescent="0.25">
      <c r="A5" t="s">
        <v>115</v>
      </c>
      <c r="B5" t="s">
        <v>515</v>
      </c>
      <c r="C5" s="67" t="s">
        <v>495</v>
      </c>
      <c r="D5" s="67" t="s">
        <v>495</v>
      </c>
      <c r="E5" s="67" t="s">
        <v>495</v>
      </c>
      <c r="F5" s="67" t="s">
        <v>495</v>
      </c>
      <c r="G5" s="67" t="s">
        <v>495</v>
      </c>
    </row>
    <row r="6" spans="1:7" x14ac:dyDescent="0.25">
      <c r="A6" t="s">
        <v>115</v>
      </c>
      <c r="B6" t="s">
        <v>516</v>
      </c>
      <c r="C6" s="63">
        <v>0.98799999999999999</v>
      </c>
      <c r="D6" s="63">
        <v>1</v>
      </c>
      <c r="E6" s="63">
        <v>0.9890000000000001</v>
      </c>
      <c r="F6" s="63">
        <v>0.97299999999999998</v>
      </c>
      <c r="G6" s="63">
        <f>AVERAGE(C6:F6)</f>
        <v>0.98750000000000004</v>
      </c>
    </row>
    <row r="7" spans="1:7" x14ac:dyDescent="0.25">
      <c r="A7" t="s">
        <v>115</v>
      </c>
      <c r="B7" t="s">
        <v>514</v>
      </c>
      <c r="C7" s="67" t="s">
        <v>495</v>
      </c>
      <c r="D7" s="67" t="s">
        <v>495</v>
      </c>
      <c r="E7" s="67" t="s">
        <v>495</v>
      </c>
      <c r="F7" s="67" t="s">
        <v>495</v>
      </c>
      <c r="G7" s="67" t="s">
        <v>495</v>
      </c>
    </row>
    <row r="8" spans="1:7" x14ac:dyDescent="0.25">
      <c r="A8" t="s">
        <v>129</v>
      </c>
      <c r="B8" t="s">
        <v>515</v>
      </c>
      <c r="C8" s="63">
        <f>[1]Mar!$AN$6</f>
        <v>0.87621858138350439</v>
      </c>
      <c r="D8" s="63">
        <f>[1]Mar!$AN$34</f>
        <v>0.97252662844401994</v>
      </c>
      <c r="E8" s="63">
        <f>[1]Mar!$AN$62</f>
        <v>0.95162109993393429</v>
      </c>
      <c r="F8" s="63">
        <f>[1]Mar!$AN$87</f>
        <v>0.90236465975185987</v>
      </c>
      <c r="G8" s="63"/>
    </row>
    <row r="9" spans="1:7" x14ac:dyDescent="0.25">
      <c r="A9" t="s">
        <v>129</v>
      </c>
      <c r="B9" t="s">
        <v>516</v>
      </c>
      <c r="C9" s="63">
        <f>[1]Mar!$AO$6</f>
        <v>0.96276465185835391</v>
      </c>
      <c r="D9" s="63">
        <f>[1]Mar!$AO$34</f>
        <v>0.99692780337941622</v>
      </c>
      <c r="E9" s="63">
        <f>[1]Mar!$AO$62</f>
        <v>0.99646760863769657</v>
      </c>
      <c r="F9" s="63">
        <f>[1]Mar!$AO$87</f>
        <v>0.98543532204121265</v>
      </c>
      <c r="G9" s="63">
        <f>AVERAGE(C9:F9)</f>
        <v>0.98539884647916987</v>
      </c>
    </row>
    <row r="10" spans="1:7" x14ac:dyDescent="0.25">
      <c r="A10" t="s">
        <v>129</v>
      </c>
      <c r="B10" t="s">
        <v>514</v>
      </c>
      <c r="C10" s="63">
        <f>[1]Mar!$AP$6</f>
        <v>0.91949161662092915</v>
      </c>
      <c r="D10" s="63">
        <f>[1]Mar!$AP$34</f>
        <v>0.98472721591171808</v>
      </c>
      <c r="E10" s="63">
        <f>[1]Mar!$AP$62</f>
        <v>0.97404435428581548</v>
      </c>
      <c r="F10" s="63">
        <f>[1]Mar!$AP$87</f>
        <v>0.9438999908965362</v>
      </c>
      <c r="G10" s="63"/>
    </row>
    <row r="11" spans="1:7" x14ac:dyDescent="0.25">
      <c r="A11" t="s">
        <v>130</v>
      </c>
      <c r="B11" t="s">
        <v>515</v>
      </c>
      <c r="C11" s="63">
        <f>[1]Apr!$AM$6</f>
        <v>0.94531879231879223</v>
      </c>
      <c r="D11" s="63">
        <f>[1]Apr!$AM$33</f>
        <v>0.99012455477529004</v>
      </c>
      <c r="E11" s="63">
        <f>[1]Apr!$AM$61</f>
        <v>0.9825809527589715</v>
      </c>
      <c r="F11" s="63">
        <f>[1]Apr!$AM$83</f>
        <v>0.93994408835795373</v>
      </c>
    </row>
    <row r="12" spans="1:7" x14ac:dyDescent="0.25">
      <c r="A12" t="s">
        <v>130</v>
      </c>
      <c r="B12" t="s">
        <v>516</v>
      </c>
      <c r="C12" s="63">
        <f>[1]Apr!$AN$6</f>
        <v>0.97591911764705885</v>
      </c>
      <c r="D12" s="63">
        <f>[1]Apr!$AN$33</f>
        <v>1</v>
      </c>
      <c r="E12" s="63">
        <f>[1]Apr!$AN$61</f>
        <v>0.99749373433583965</v>
      </c>
      <c r="F12" s="63">
        <f>[1]Apr!$AN$83</f>
        <v>0.98175995544416594</v>
      </c>
      <c r="G12" s="63">
        <f>AVERAGE(C12:F12)</f>
        <v>0.98879320185676611</v>
      </c>
    </row>
    <row r="13" spans="1:7" x14ac:dyDescent="0.25">
      <c r="A13" t="s">
        <v>130</v>
      </c>
      <c r="B13" t="s">
        <v>514</v>
      </c>
      <c r="C13" s="63">
        <f>[1]Apr!$AO$6</f>
        <v>0.9606189549829256</v>
      </c>
      <c r="D13" s="63">
        <f>[1]Apr!$AO$33</f>
        <v>0.99506227738764497</v>
      </c>
      <c r="E13" s="63">
        <f>[1]Apr!$AO$61</f>
        <v>0.99003734354740558</v>
      </c>
      <c r="F13" s="63">
        <f>[1]Apr!$AO$83</f>
        <v>0.96085202190105989</v>
      </c>
    </row>
    <row r="14" spans="1:7" x14ac:dyDescent="0.25">
      <c r="A14" t="s">
        <v>18</v>
      </c>
      <c r="B14" t="s">
        <v>515</v>
      </c>
    </row>
    <row r="15" spans="1:7" x14ac:dyDescent="0.25">
      <c r="A15" t="s">
        <v>18</v>
      </c>
      <c r="B15" t="s">
        <v>516</v>
      </c>
    </row>
    <row r="16" spans="1:7" x14ac:dyDescent="0.25">
      <c r="A16" t="s">
        <v>18</v>
      </c>
      <c r="B16" t="s">
        <v>514</v>
      </c>
    </row>
    <row r="17" spans="1:2" x14ac:dyDescent="0.25">
      <c r="A17" t="s">
        <v>132</v>
      </c>
      <c r="B17" t="s">
        <v>515</v>
      </c>
    </row>
    <row r="18" spans="1:2" x14ac:dyDescent="0.25">
      <c r="A18" t="s">
        <v>132</v>
      </c>
      <c r="B18" t="s">
        <v>516</v>
      </c>
    </row>
    <row r="19" spans="1:2" x14ac:dyDescent="0.25">
      <c r="A19" t="s">
        <v>132</v>
      </c>
      <c r="B19" t="s">
        <v>514</v>
      </c>
    </row>
    <row r="20" spans="1:2" x14ac:dyDescent="0.25">
      <c r="A20" t="s">
        <v>143</v>
      </c>
      <c r="B20" t="s">
        <v>515</v>
      </c>
    </row>
    <row r="21" spans="1:2" x14ac:dyDescent="0.25">
      <c r="A21" t="s">
        <v>143</v>
      </c>
      <c r="B21" t="s">
        <v>516</v>
      </c>
    </row>
    <row r="22" spans="1:2" x14ac:dyDescent="0.25">
      <c r="A22" t="s">
        <v>143</v>
      </c>
      <c r="B22" t="s">
        <v>514</v>
      </c>
    </row>
    <row r="23" spans="1:2" x14ac:dyDescent="0.25">
      <c r="A23" t="s">
        <v>147</v>
      </c>
      <c r="B23" t="s">
        <v>515</v>
      </c>
    </row>
    <row r="24" spans="1:2" x14ac:dyDescent="0.25">
      <c r="A24" t="s">
        <v>147</v>
      </c>
      <c r="B24" t="s">
        <v>516</v>
      </c>
    </row>
    <row r="25" spans="1:2" x14ac:dyDescent="0.25">
      <c r="A25" t="s">
        <v>147</v>
      </c>
      <c r="B25" t="s">
        <v>514</v>
      </c>
    </row>
    <row r="26" spans="1:2" x14ac:dyDescent="0.25">
      <c r="A26" t="s">
        <v>148</v>
      </c>
      <c r="B26" t="s">
        <v>515</v>
      </c>
    </row>
    <row r="27" spans="1:2" x14ac:dyDescent="0.25">
      <c r="A27" t="s">
        <v>148</v>
      </c>
      <c r="B27" t="s">
        <v>516</v>
      </c>
    </row>
    <row r="28" spans="1:2" x14ac:dyDescent="0.25">
      <c r="A28" t="s">
        <v>148</v>
      </c>
      <c r="B28" t="s">
        <v>514</v>
      </c>
    </row>
    <row r="29" spans="1:2" x14ac:dyDescent="0.25">
      <c r="A29" t="s">
        <v>151</v>
      </c>
      <c r="B29" t="s">
        <v>515</v>
      </c>
    </row>
    <row r="30" spans="1:2" x14ac:dyDescent="0.25">
      <c r="A30" t="s">
        <v>151</v>
      </c>
      <c r="B30" t="s">
        <v>516</v>
      </c>
    </row>
    <row r="31" spans="1:2" x14ac:dyDescent="0.25">
      <c r="A31" t="s">
        <v>151</v>
      </c>
      <c r="B31" t="s">
        <v>514</v>
      </c>
    </row>
    <row r="32" spans="1:2" x14ac:dyDescent="0.25">
      <c r="A32" t="s">
        <v>152</v>
      </c>
      <c r="B32" t="s">
        <v>515</v>
      </c>
    </row>
    <row r="33" spans="1:2" x14ac:dyDescent="0.25">
      <c r="A33" t="s">
        <v>152</v>
      </c>
      <c r="B33" t="s">
        <v>516</v>
      </c>
    </row>
    <row r="34" spans="1:2" x14ac:dyDescent="0.25">
      <c r="A34" t="s">
        <v>152</v>
      </c>
      <c r="B34" t="s">
        <v>514</v>
      </c>
    </row>
    <row r="35" spans="1:2" x14ac:dyDescent="0.25">
      <c r="A35" t="s">
        <v>153</v>
      </c>
      <c r="B35" t="s">
        <v>515</v>
      </c>
    </row>
    <row r="36" spans="1:2" x14ac:dyDescent="0.25">
      <c r="A36" t="s">
        <v>153</v>
      </c>
      <c r="B36" t="s">
        <v>516</v>
      </c>
    </row>
    <row r="37" spans="1:2" x14ac:dyDescent="0.25">
      <c r="A37" t="s">
        <v>153</v>
      </c>
      <c r="B37" t="s">
        <v>514</v>
      </c>
    </row>
  </sheetData>
  <customSheetViews>
    <customSheetView guid="{95B9DE93-5E26-48CF-B2F2-F6D6799F59EE}" scale="115" showPageBreaks="1" printArea="1" view="pageBreakPreview">
      <selection activeCell="Q22" sqref="Q22"/>
      <pageMargins left="0.7" right="0.7" top="0.75" bottom="0.75" header="0.3" footer="0.3"/>
      <pageSetup paperSize="9" scale="68" orientation="portrait" r:id="rId1"/>
    </customSheetView>
  </customSheetViews>
  <pageMargins left="0.7" right="0.7" top="0.75" bottom="0.75" header="0.3" footer="0.3"/>
  <pageSetup paperSize="9" scale="68" orientation="portrait" r:id="rId2"/>
  <drawing r:id="rId3"/>
  <legacyDrawing r:id="rId4"/>
  <controls>
    <mc:AlternateContent xmlns:mc="http://schemas.openxmlformats.org/markup-compatibility/2006">
      <mc:Choice Requires="x14">
        <control shapeId="14337" r:id="rId5" name="CommandButton1">
          <controlPr defaultSize="0" autoLine="0" r:id="rId6">
            <anchor moveWithCells="1">
              <from>
                <xdr:col>8</xdr:col>
                <xdr:colOff>600075</xdr:colOff>
                <xdr:row>7</xdr:row>
                <xdr:rowOff>171450</xdr:rowOff>
              </from>
              <to>
                <xdr:col>11</xdr:col>
                <xdr:colOff>114300</xdr:colOff>
                <xdr:row>10</xdr:row>
                <xdr:rowOff>9525</xdr:rowOff>
              </to>
            </anchor>
          </controlPr>
        </control>
      </mc:Choice>
      <mc:Fallback>
        <control shapeId="14337" r:id="rId5" name="CommandButton1"/>
      </mc:Fallback>
    </mc:AlternateContent>
    <mc:AlternateContent xmlns:mc="http://schemas.openxmlformats.org/markup-compatibility/2006">
      <mc:Choice Requires="x14">
        <control shapeId="14338" r:id="rId7" name="CommandButton2">
          <controlPr defaultSize="0" print="0" autoLine="0" r:id="rId8">
            <anchor moveWithCells="1">
              <from>
                <xdr:col>8</xdr:col>
                <xdr:colOff>542925</xdr:colOff>
                <xdr:row>11</xdr:row>
                <xdr:rowOff>180975</xdr:rowOff>
              </from>
              <to>
                <xdr:col>12</xdr:col>
                <xdr:colOff>295275</xdr:colOff>
                <xdr:row>15</xdr:row>
                <xdr:rowOff>104775</xdr:rowOff>
              </to>
            </anchor>
          </controlPr>
        </control>
      </mc:Choice>
      <mc:Fallback>
        <control shapeId="14338" r:id="rId7" name="CommandButton2"/>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opLeftCell="A10" workbookViewId="0">
      <selection activeCell="N29" sqref="N29"/>
    </sheetView>
  </sheetViews>
  <sheetFormatPr defaultRowHeight="15" x14ac:dyDescent="0.25"/>
  <sheetData/>
  <customSheetViews>
    <customSheetView guid="{95B9DE93-5E26-48CF-B2F2-F6D6799F59EE}" topLeftCell="A10">
      <selection activeCell="N29" sqref="N29"/>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N26" sqref="N26"/>
    </sheetView>
  </sheetViews>
  <sheetFormatPr defaultRowHeight="15" x14ac:dyDescent="0.25"/>
  <sheetData/>
  <customSheetViews>
    <customSheetView guid="{95B9DE93-5E26-48CF-B2F2-F6D6799F59EE}">
      <selection activeCell="I26" sqref="I26"/>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T114"/>
  <sheetViews>
    <sheetView view="pageBreakPreview" topLeftCell="A19" zoomScale="115" zoomScaleNormal="100" zoomScaleSheetLayoutView="115" workbookViewId="0">
      <selection activeCell="I113" sqref="I113"/>
    </sheetView>
  </sheetViews>
  <sheetFormatPr defaultRowHeight="15" x14ac:dyDescent="0.25"/>
  <cols>
    <col min="1" max="1" width="11.28515625" style="1" bestFit="1" customWidth="1"/>
    <col min="2" max="2" width="10.5703125" style="1" bestFit="1" customWidth="1"/>
    <col min="3" max="3" width="14.85546875" style="9" bestFit="1" customWidth="1"/>
    <col min="4" max="4" width="13.140625" style="9" bestFit="1" customWidth="1"/>
    <col min="6" max="10" width="9.140625" style="1"/>
    <col min="14" max="14" width="9.140625" style="1"/>
    <col min="16" max="16" width="14.28515625" customWidth="1"/>
  </cols>
  <sheetData>
    <row r="1" spans="1:20" x14ac:dyDescent="0.25">
      <c r="A1" s="1" t="s">
        <v>266</v>
      </c>
      <c r="B1" s="1" t="s">
        <v>267</v>
      </c>
      <c r="C1" t="s">
        <v>268</v>
      </c>
      <c r="D1" t="s">
        <v>269</v>
      </c>
      <c r="E1" t="s">
        <v>111</v>
      </c>
      <c r="F1" s="28">
        <v>45710</v>
      </c>
      <c r="G1" s="28">
        <v>45717</v>
      </c>
      <c r="H1" s="28">
        <v>45724</v>
      </c>
      <c r="I1" s="28">
        <v>45752</v>
      </c>
      <c r="J1" s="28"/>
      <c r="R1" t="s">
        <v>15</v>
      </c>
    </row>
    <row r="2" spans="1:20" x14ac:dyDescent="0.25">
      <c r="A2" s="1">
        <v>101</v>
      </c>
      <c r="B2" s="1" t="s">
        <v>463</v>
      </c>
      <c r="C2" t="s">
        <v>525</v>
      </c>
      <c r="D2"/>
      <c r="F2" s="56"/>
      <c r="G2" s="56"/>
      <c r="H2" s="56"/>
      <c r="I2" s="56"/>
      <c r="J2" s="56"/>
      <c r="N2" s="1" t="str">
        <f>G2&amp;H2</f>
        <v/>
      </c>
      <c r="P2" s="9" t="s">
        <v>496</v>
      </c>
      <c r="Q2">
        <f>COUNTA(D2:D110)</f>
        <v>101</v>
      </c>
      <c r="R2">
        <f>COUNTIF(F2:F110,"&gt;0")+COUNTIF(F2:F110,"--")</f>
        <v>86</v>
      </c>
      <c r="S2">
        <f>COUNTIF(G2:G110,"&gt;0")+COUNTIF(G2:G110,"--")</f>
        <v>81</v>
      </c>
      <c r="T2">
        <f>COUNTIF(H2:H110,"&gt;0")+COUNTIF(H2:H110,"--")</f>
        <v>73</v>
      </c>
    </row>
    <row r="3" spans="1:20" x14ac:dyDescent="0.25">
      <c r="A3" s="1">
        <v>102</v>
      </c>
      <c r="B3" s="1" t="s">
        <v>323</v>
      </c>
      <c r="C3" t="s">
        <v>324</v>
      </c>
      <c r="D3"/>
      <c r="N3" s="1" t="str">
        <f t="shared" ref="N3:N83" si="0">G3&amp;H3</f>
        <v/>
      </c>
      <c r="P3" s="9" t="s">
        <v>499</v>
      </c>
      <c r="Q3">
        <f>COUNTIF(F2:F110,"&gt;0")</f>
        <v>86</v>
      </c>
    </row>
    <row r="4" spans="1:20" x14ac:dyDescent="0.25">
      <c r="A4" s="1">
        <v>103</v>
      </c>
      <c r="B4" s="1" t="s">
        <v>417</v>
      </c>
      <c r="C4" t="s">
        <v>418</v>
      </c>
      <c r="D4" t="s">
        <v>419</v>
      </c>
      <c r="F4" s="1">
        <v>5</v>
      </c>
      <c r="G4" s="1">
        <v>4</v>
      </c>
      <c r="I4" s="1">
        <v>4</v>
      </c>
      <c r="N4" s="1" t="str">
        <f t="shared" si="0"/>
        <v>4</v>
      </c>
      <c r="P4" s="9" t="s">
        <v>497</v>
      </c>
    </row>
    <row r="5" spans="1:20" x14ac:dyDescent="0.25">
      <c r="A5" s="1">
        <v>104</v>
      </c>
      <c r="B5" s="1" t="s">
        <v>270</v>
      </c>
      <c r="C5" t="s">
        <v>271</v>
      </c>
      <c r="D5" t="s">
        <v>272</v>
      </c>
      <c r="F5" s="1">
        <v>5</v>
      </c>
      <c r="H5" s="1">
        <v>5</v>
      </c>
      <c r="I5" s="1">
        <v>3</v>
      </c>
      <c r="N5" s="1" t="str">
        <f t="shared" si="0"/>
        <v>5</v>
      </c>
      <c r="P5" s="9" t="s">
        <v>498</v>
      </c>
    </row>
    <row r="6" spans="1:20" x14ac:dyDescent="0.25">
      <c r="A6" s="1">
        <v>105</v>
      </c>
      <c r="B6" s="1" t="s">
        <v>270</v>
      </c>
      <c r="C6" t="s">
        <v>273</v>
      </c>
      <c r="D6" t="s">
        <v>274</v>
      </c>
      <c r="F6" s="1">
        <v>5</v>
      </c>
      <c r="G6" s="1">
        <v>5</v>
      </c>
      <c r="H6" s="1">
        <v>5</v>
      </c>
      <c r="I6" s="56">
        <v>4</v>
      </c>
      <c r="N6" s="1" t="str">
        <f t="shared" si="0"/>
        <v>55</v>
      </c>
    </row>
    <row r="7" spans="1:20" x14ac:dyDescent="0.25">
      <c r="A7" s="1">
        <v>106</v>
      </c>
      <c r="B7" s="1" t="s">
        <v>369</v>
      </c>
      <c r="C7" t="s">
        <v>370</v>
      </c>
      <c r="D7" t="s">
        <v>371</v>
      </c>
      <c r="F7" s="1">
        <v>5</v>
      </c>
      <c r="G7" s="1">
        <v>5</v>
      </c>
      <c r="H7" s="1">
        <v>5</v>
      </c>
      <c r="I7" s="56" t="s">
        <v>531</v>
      </c>
      <c r="N7" s="1" t="str">
        <f t="shared" si="0"/>
        <v>55</v>
      </c>
    </row>
    <row r="8" spans="1:20" x14ac:dyDescent="0.25">
      <c r="A8" s="1">
        <v>107</v>
      </c>
      <c r="B8" s="1" t="s">
        <v>323</v>
      </c>
      <c r="C8" t="s">
        <v>325</v>
      </c>
      <c r="D8" t="s">
        <v>326</v>
      </c>
      <c r="F8" s="1">
        <v>2</v>
      </c>
      <c r="G8" s="1">
        <v>4</v>
      </c>
      <c r="H8" s="1">
        <v>4</v>
      </c>
      <c r="I8" s="1">
        <v>5</v>
      </c>
      <c r="N8" s="1" t="str">
        <f t="shared" si="0"/>
        <v>44</v>
      </c>
    </row>
    <row r="9" spans="1:20" x14ac:dyDescent="0.25">
      <c r="A9" s="1">
        <v>108</v>
      </c>
      <c r="B9" s="1" t="s">
        <v>323</v>
      </c>
      <c r="C9" t="s">
        <v>327</v>
      </c>
      <c r="D9" t="s">
        <v>328</v>
      </c>
      <c r="F9" s="1">
        <v>5</v>
      </c>
      <c r="H9" s="1">
        <v>5</v>
      </c>
      <c r="I9" s="1">
        <v>5</v>
      </c>
      <c r="N9" s="1" t="str">
        <f t="shared" si="0"/>
        <v>5</v>
      </c>
    </row>
    <row r="10" spans="1:20" x14ac:dyDescent="0.25">
      <c r="A10" s="1">
        <v>109</v>
      </c>
      <c r="B10" s="1" t="s">
        <v>323</v>
      </c>
      <c r="C10" t="s">
        <v>329</v>
      </c>
      <c r="D10" t="s">
        <v>328</v>
      </c>
      <c r="F10" s="1">
        <v>4</v>
      </c>
      <c r="G10" s="1">
        <v>2</v>
      </c>
      <c r="H10" s="1">
        <v>5</v>
      </c>
      <c r="I10" s="1">
        <v>3</v>
      </c>
      <c r="N10" s="1" t="str">
        <f t="shared" si="0"/>
        <v>25</v>
      </c>
    </row>
    <row r="11" spans="1:20" x14ac:dyDescent="0.25">
      <c r="A11" s="1">
        <v>110</v>
      </c>
      <c r="B11" s="1" t="s">
        <v>270</v>
      </c>
      <c r="C11" t="s">
        <v>275</v>
      </c>
      <c r="D11" t="s">
        <v>276</v>
      </c>
      <c r="F11" s="1">
        <v>5</v>
      </c>
      <c r="H11" s="1">
        <v>4</v>
      </c>
      <c r="N11" s="1" t="str">
        <f t="shared" si="0"/>
        <v>4</v>
      </c>
    </row>
    <row r="12" spans="1:20" x14ac:dyDescent="0.25">
      <c r="A12" s="1">
        <v>111</v>
      </c>
      <c r="B12" s="1" t="s">
        <v>323</v>
      </c>
      <c r="C12" t="s">
        <v>526</v>
      </c>
      <c r="D12"/>
      <c r="N12" s="1" t="str">
        <f t="shared" si="0"/>
        <v/>
      </c>
    </row>
    <row r="13" spans="1:20" x14ac:dyDescent="0.25">
      <c r="A13" s="1">
        <v>112</v>
      </c>
      <c r="B13" s="1" t="s">
        <v>323</v>
      </c>
      <c r="C13" t="s">
        <v>330</v>
      </c>
      <c r="D13" t="s">
        <v>331</v>
      </c>
      <c r="F13" s="1">
        <v>2</v>
      </c>
      <c r="G13" s="1">
        <v>4</v>
      </c>
      <c r="H13" s="1">
        <v>4</v>
      </c>
      <c r="N13" s="1" t="str">
        <f t="shared" si="0"/>
        <v>44</v>
      </c>
    </row>
    <row r="14" spans="1:20" x14ac:dyDescent="0.25">
      <c r="A14" s="1">
        <v>113</v>
      </c>
      <c r="B14" s="1" t="s">
        <v>270</v>
      </c>
      <c r="C14" t="s">
        <v>277</v>
      </c>
      <c r="D14" t="s">
        <v>278</v>
      </c>
      <c r="F14" s="56">
        <v>1</v>
      </c>
      <c r="G14" s="1">
        <v>4</v>
      </c>
      <c r="H14" s="1">
        <v>4</v>
      </c>
      <c r="I14" s="1">
        <v>4</v>
      </c>
      <c r="N14" s="1" t="str">
        <f t="shared" si="0"/>
        <v>44</v>
      </c>
    </row>
    <row r="15" spans="1:20" x14ac:dyDescent="0.25">
      <c r="A15" s="1">
        <v>114</v>
      </c>
      <c r="B15" s="1" t="s">
        <v>369</v>
      </c>
      <c r="C15" t="s">
        <v>372</v>
      </c>
      <c r="D15" t="s">
        <v>373</v>
      </c>
      <c r="F15" s="1">
        <v>4</v>
      </c>
      <c r="G15" s="1">
        <v>5</v>
      </c>
      <c r="H15" s="1">
        <v>5</v>
      </c>
      <c r="I15" s="1">
        <v>5</v>
      </c>
      <c r="N15" s="1" t="str">
        <f t="shared" si="0"/>
        <v>55</v>
      </c>
    </row>
    <row r="16" spans="1:20" x14ac:dyDescent="0.25">
      <c r="A16" s="1">
        <v>115</v>
      </c>
      <c r="B16" s="1" t="s">
        <v>270</v>
      </c>
      <c r="C16" t="s">
        <v>279</v>
      </c>
      <c r="D16" t="s">
        <v>280</v>
      </c>
      <c r="E16" t="s">
        <v>469</v>
      </c>
      <c r="F16" s="1" t="s">
        <v>469</v>
      </c>
      <c r="H16" s="1">
        <v>5</v>
      </c>
      <c r="I16" s="1">
        <v>5</v>
      </c>
      <c r="N16" s="1" t="str">
        <f t="shared" si="0"/>
        <v>5</v>
      </c>
    </row>
    <row r="17" spans="1:14" x14ac:dyDescent="0.25">
      <c r="A17" s="1">
        <v>116</v>
      </c>
      <c r="B17" s="1" t="s">
        <v>270</v>
      </c>
      <c r="C17" t="s">
        <v>281</v>
      </c>
      <c r="D17" t="s">
        <v>282</v>
      </c>
      <c r="F17" s="1">
        <v>4</v>
      </c>
      <c r="G17" s="1">
        <v>5</v>
      </c>
      <c r="H17" s="1">
        <v>5</v>
      </c>
      <c r="I17" s="1">
        <v>4</v>
      </c>
      <c r="N17" s="1" t="str">
        <f t="shared" si="0"/>
        <v>55</v>
      </c>
    </row>
    <row r="18" spans="1:14" x14ac:dyDescent="0.25">
      <c r="A18" s="1">
        <v>117</v>
      </c>
      <c r="B18" s="1" t="s">
        <v>323</v>
      </c>
      <c r="C18" t="s">
        <v>332</v>
      </c>
      <c r="D18" t="s">
        <v>333</v>
      </c>
      <c r="F18" s="1">
        <v>3</v>
      </c>
      <c r="G18" s="1">
        <v>4</v>
      </c>
      <c r="I18" s="1">
        <v>5</v>
      </c>
      <c r="N18" s="1" t="str">
        <f t="shared" si="0"/>
        <v>4</v>
      </c>
    </row>
    <row r="19" spans="1:14" x14ac:dyDescent="0.25">
      <c r="A19" s="1">
        <v>118</v>
      </c>
      <c r="B19" s="1" t="s">
        <v>270</v>
      </c>
      <c r="C19" t="s">
        <v>283</v>
      </c>
      <c r="D19" t="s">
        <v>284</v>
      </c>
      <c r="F19" s="1">
        <v>3</v>
      </c>
      <c r="G19" s="1">
        <v>4</v>
      </c>
      <c r="N19" s="1" t="str">
        <f t="shared" si="0"/>
        <v>4</v>
      </c>
    </row>
    <row r="20" spans="1:14" x14ac:dyDescent="0.25">
      <c r="A20" s="1">
        <v>119</v>
      </c>
      <c r="B20" s="1" t="s">
        <v>270</v>
      </c>
      <c r="C20" t="s">
        <v>285</v>
      </c>
      <c r="D20" t="s">
        <v>286</v>
      </c>
      <c r="F20" s="1">
        <v>4</v>
      </c>
      <c r="G20" s="1">
        <v>4</v>
      </c>
      <c r="H20" s="1">
        <v>5</v>
      </c>
      <c r="I20" s="1">
        <v>5</v>
      </c>
      <c r="N20" s="1" t="str">
        <f t="shared" si="0"/>
        <v>45</v>
      </c>
    </row>
    <row r="21" spans="1:14" x14ac:dyDescent="0.25">
      <c r="A21" s="1">
        <v>120</v>
      </c>
      <c r="B21" s="1" t="s">
        <v>417</v>
      </c>
      <c r="C21" t="s">
        <v>420</v>
      </c>
      <c r="D21" t="s">
        <v>421</v>
      </c>
      <c r="F21" s="1">
        <v>2</v>
      </c>
      <c r="G21" s="1">
        <v>5</v>
      </c>
      <c r="I21" s="1">
        <v>5</v>
      </c>
      <c r="N21" s="1" t="str">
        <f t="shared" si="0"/>
        <v>5</v>
      </c>
    </row>
    <row r="22" spans="1:14" x14ac:dyDescent="0.25">
      <c r="A22" s="1">
        <v>121</v>
      </c>
      <c r="B22" s="1" t="s">
        <v>369</v>
      </c>
      <c r="C22" t="s">
        <v>374</v>
      </c>
      <c r="D22" t="s">
        <v>375</v>
      </c>
      <c r="F22" s="1">
        <v>5</v>
      </c>
      <c r="H22" s="1">
        <v>5</v>
      </c>
      <c r="I22" s="1">
        <v>5</v>
      </c>
      <c r="N22" s="1" t="str">
        <f t="shared" si="0"/>
        <v>5</v>
      </c>
    </row>
    <row r="23" spans="1:14" x14ac:dyDescent="0.25">
      <c r="A23" s="1">
        <v>122</v>
      </c>
      <c r="B23" s="1" t="s">
        <v>270</v>
      </c>
      <c r="C23" t="s">
        <v>287</v>
      </c>
      <c r="D23" t="s">
        <v>288</v>
      </c>
      <c r="F23" s="1">
        <v>4</v>
      </c>
      <c r="I23" s="1">
        <v>5</v>
      </c>
      <c r="N23" s="1" t="str">
        <f t="shared" si="0"/>
        <v/>
      </c>
    </row>
    <row r="24" spans="1:14" x14ac:dyDescent="0.25">
      <c r="A24" s="1">
        <v>123</v>
      </c>
      <c r="B24" s="1" t="s">
        <v>369</v>
      </c>
      <c r="C24" t="s">
        <v>376</v>
      </c>
      <c r="D24" t="s">
        <v>288</v>
      </c>
      <c r="F24" s="1">
        <v>5</v>
      </c>
      <c r="H24" s="1">
        <v>5</v>
      </c>
      <c r="I24" s="1">
        <v>5</v>
      </c>
      <c r="N24" s="1" t="str">
        <f t="shared" si="0"/>
        <v>5</v>
      </c>
    </row>
    <row r="25" spans="1:14" x14ac:dyDescent="0.25">
      <c r="A25" s="1">
        <v>124</v>
      </c>
      <c r="B25" s="1" t="s">
        <v>270</v>
      </c>
      <c r="C25" t="s">
        <v>289</v>
      </c>
      <c r="D25" t="s">
        <v>290</v>
      </c>
      <c r="F25" s="1">
        <v>3</v>
      </c>
      <c r="H25" s="1">
        <v>4</v>
      </c>
      <c r="I25" s="1">
        <v>5</v>
      </c>
      <c r="N25" s="1" t="str">
        <f t="shared" si="0"/>
        <v>4</v>
      </c>
    </row>
    <row r="26" spans="1:14" x14ac:dyDescent="0.25">
      <c r="A26" s="1">
        <v>125</v>
      </c>
      <c r="B26" s="1" t="s">
        <v>369</v>
      </c>
      <c r="C26" t="s">
        <v>377</v>
      </c>
      <c r="D26" t="s">
        <v>378</v>
      </c>
      <c r="F26" s="1">
        <v>3</v>
      </c>
      <c r="G26" s="1">
        <v>4</v>
      </c>
      <c r="H26" s="1">
        <v>5</v>
      </c>
      <c r="I26" s="1">
        <v>4</v>
      </c>
      <c r="N26" s="1" t="str">
        <f t="shared" si="0"/>
        <v>45</v>
      </c>
    </row>
    <row r="27" spans="1:14" x14ac:dyDescent="0.25">
      <c r="A27" s="24">
        <v>126</v>
      </c>
      <c r="B27" s="24" t="s">
        <v>369</v>
      </c>
      <c r="C27" s="29" t="s">
        <v>379</v>
      </c>
      <c r="D27" s="29" t="s">
        <v>380</v>
      </c>
      <c r="E27" s="29"/>
      <c r="F27" s="1">
        <v>5</v>
      </c>
      <c r="G27" s="1">
        <v>4</v>
      </c>
      <c r="H27" s="1">
        <v>5</v>
      </c>
      <c r="I27" s="1">
        <v>4</v>
      </c>
      <c r="N27" s="1" t="str">
        <f t="shared" si="0"/>
        <v>45</v>
      </c>
    </row>
    <row r="28" spans="1:14" x14ac:dyDescent="0.25">
      <c r="A28" s="1">
        <v>127</v>
      </c>
      <c r="B28" s="1" t="s">
        <v>369</v>
      </c>
      <c r="C28" t="s">
        <v>381</v>
      </c>
      <c r="D28" t="s">
        <v>382</v>
      </c>
      <c r="F28" s="1">
        <v>5</v>
      </c>
      <c r="G28" s="1">
        <v>4</v>
      </c>
      <c r="H28" s="1">
        <v>5</v>
      </c>
      <c r="I28" s="1">
        <v>5</v>
      </c>
      <c r="N28" s="1" t="str">
        <f t="shared" si="0"/>
        <v>45</v>
      </c>
    </row>
    <row r="29" spans="1:14" x14ac:dyDescent="0.25">
      <c r="A29" s="1">
        <v>128</v>
      </c>
      <c r="B29" s="1" t="s">
        <v>270</v>
      </c>
      <c r="C29" t="s">
        <v>291</v>
      </c>
      <c r="D29" t="s">
        <v>292</v>
      </c>
      <c r="F29" s="56"/>
      <c r="G29" s="1">
        <v>5</v>
      </c>
      <c r="H29" s="1">
        <v>5</v>
      </c>
      <c r="N29" s="1" t="str">
        <f t="shared" si="0"/>
        <v>55</v>
      </c>
    </row>
    <row r="30" spans="1:14" x14ac:dyDescent="0.25">
      <c r="A30" s="1">
        <v>129</v>
      </c>
      <c r="B30" s="1" t="s">
        <v>369</v>
      </c>
      <c r="C30" t="s">
        <v>277</v>
      </c>
      <c r="D30" t="s">
        <v>383</v>
      </c>
      <c r="F30" s="1">
        <v>4</v>
      </c>
      <c r="G30" s="1">
        <v>4</v>
      </c>
      <c r="H30" s="1">
        <v>5</v>
      </c>
      <c r="I30" s="1">
        <v>3</v>
      </c>
      <c r="N30" s="1" t="str">
        <f t="shared" si="0"/>
        <v>45</v>
      </c>
    </row>
    <row r="31" spans="1:14" x14ac:dyDescent="0.25">
      <c r="A31" s="1">
        <v>130</v>
      </c>
      <c r="B31" s="1" t="s">
        <v>323</v>
      </c>
      <c r="C31" t="s">
        <v>334</v>
      </c>
      <c r="D31" t="s">
        <v>335</v>
      </c>
      <c r="E31" t="s">
        <v>470</v>
      </c>
      <c r="F31" s="1" t="s">
        <v>470</v>
      </c>
      <c r="G31" s="1">
        <v>4</v>
      </c>
      <c r="I31" s="1">
        <v>5</v>
      </c>
      <c r="N31" s="1" t="str">
        <f t="shared" si="0"/>
        <v>4</v>
      </c>
    </row>
    <row r="32" spans="1:14" x14ac:dyDescent="0.25">
      <c r="A32" s="1">
        <v>131</v>
      </c>
      <c r="B32" s="1" t="s">
        <v>323</v>
      </c>
      <c r="C32" t="s">
        <v>336</v>
      </c>
      <c r="D32" t="s">
        <v>337</v>
      </c>
      <c r="F32" s="1">
        <v>5</v>
      </c>
      <c r="G32" s="1">
        <v>3</v>
      </c>
      <c r="H32" s="1">
        <v>5</v>
      </c>
      <c r="I32" s="1">
        <v>5</v>
      </c>
      <c r="N32" s="1" t="str">
        <f t="shared" si="0"/>
        <v>35</v>
      </c>
    </row>
    <row r="33" spans="1:14" x14ac:dyDescent="0.25">
      <c r="A33" s="1">
        <v>132</v>
      </c>
      <c r="C33" t="s">
        <v>293</v>
      </c>
      <c r="D33" t="s">
        <v>294</v>
      </c>
      <c r="F33" s="56">
        <v>5</v>
      </c>
      <c r="G33" s="1">
        <v>5</v>
      </c>
      <c r="H33" s="1">
        <v>5</v>
      </c>
      <c r="I33" s="1">
        <v>5</v>
      </c>
      <c r="N33" s="1" t="str">
        <f t="shared" si="0"/>
        <v>55</v>
      </c>
    </row>
    <row r="34" spans="1:14" x14ac:dyDescent="0.25">
      <c r="A34" s="1">
        <v>133</v>
      </c>
      <c r="B34" s="1" t="s">
        <v>463</v>
      </c>
      <c r="C34" t="s">
        <v>464</v>
      </c>
      <c r="D34"/>
      <c r="N34" s="1" t="str">
        <f t="shared" si="0"/>
        <v/>
      </c>
    </row>
    <row r="35" spans="1:14" x14ac:dyDescent="0.25">
      <c r="A35" s="1">
        <v>134</v>
      </c>
      <c r="B35" s="1" t="s">
        <v>369</v>
      </c>
      <c r="C35" t="s">
        <v>384</v>
      </c>
      <c r="D35" t="s">
        <v>385</v>
      </c>
      <c r="E35" t="s">
        <v>470</v>
      </c>
      <c r="F35" s="1" t="s">
        <v>470</v>
      </c>
      <c r="G35" s="1">
        <v>2</v>
      </c>
      <c r="H35" s="1">
        <v>4</v>
      </c>
      <c r="I35" s="1" t="s">
        <v>468</v>
      </c>
      <c r="N35" s="1" t="str">
        <f t="shared" si="0"/>
        <v>24</v>
      </c>
    </row>
    <row r="36" spans="1:14" x14ac:dyDescent="0.25">
      <c r="A36" s="1">
        <v>135</v>
      </c>
      <c r="B36" s="1" t="s">
        <v>323</v>
      </c>
      <c r="C36" t="s">
        <v>338</v>
      </c>
      <c r="D36" t="s">
        <v>339</v>
      </c>
      <c r="F36" s="56">
        <v>5</v>
      </c>
      <c r="H36" s="1">
        <v>5</v>
      </c>
      <c r="I36" s="1">
        <v>5</v>
      </c>
      <c r="N36" s="1" t="str">
        <f t="shared" si="0"/>
        <v>5</v>
      </c>
    </row>
    <row r="37" spans="1:14" x14ac:dyDescent="0.25">
      <c r="A37" s="24">
        <v>136</v>
      </c>
      <c r="B37" s="24" t="s">
        <v>417</v>
      </c>
      <c r="C37" s="29" t="s">
        <v>422</v>
      </c>
      <c r="D37" s="29" t="s">
        <v>423</v>
      </c>
      <c r="E37" s="29"/>
      <c r="F37" s="1">
        <v>4</v>
      </c>
      <c r="G37" s="1">
        <v>3</v>
      </c>
      <c r="I37" s="1">
        <v>5</v>
      </c>
      <c r="N37" s="1" t="str">
        <f t="shared" si="0"/>
        <v>3</v>
      </c>
    </row>
    <row r="38" spans="1:14" x14ac:dyDescent="0.25">
      <c r="A38" s="1">
        <v>137</v>
      </c>
      <c r="B38" s="1" t="s">
        <v>323</v>
      </c>
      <c r="C38" t="s">
        <v>340</v>
      </c>
      <c r="D38" t="s">
        <v>341</v>
      </c>
      <c r="E38" t="s">
        <v>470</v>
      </c>
      <c r="F38" s="1" t="s">
        <v>470</v>
      </c>
      <c r="G38" s="1">
        <v>3</v>
      </c>
      <c r="I38" s="1">
        <v>4</v>
      </c>
      <c r="N38" s="1" t="str">
        <f t="shared" si="0"/>
        <v>3</v>
      </c>
    </row>
    <row r="39" spans="1:14" x14ac:dyDescent="0.25">
      <c r="A39" s="1">
        <v>138</v>
      </c>
      <c r="B39" s="1" t="s">
        <v>270</v>
      </c>
      <c r="C39" t="s">
        <v>295</v>
      </c>
      <c r="D39" t="s">
        <v>296</v>
      </c>
      <c r="F39" s="1">
        <v>4</v>
      </c>
      <c r="G39" s="1">
        <v>4</v>
      </c>
      <c r="N39" s="1" t="str">
        <f t="shared" si="0"/>
        <v>4</v>
      </c>
    </row>
    <row r="40" spans="1:14" x14ac:dyDescent="0.25">
      <c r="A40" s="1">
        <v>139</v>
      </c>
      <c r="B40" s="1" t="s">
        <v>417</v>
      </c>
      <c r="C40" t="s">
        <v>424</v>
      </c>
      <c r="D40" t="s">
        <v>425</v>
      </c>
      <c r="F40" s="1">
        <v>4</v>
      </c>
      <c r="G40" s="1">
        <v>3</v>
      </c>
      <c r="I40" s="1">
        <v>3</v>
      </c>
      <c r="N40" s="1" t="str">
        <f t="shared" si="0"/>
        <v>3</v>
      </c>
    </row>
    <row r="41" spans="1:14" x14ac:dyDescent="0.25">
      <c r="A41" s="1">
        <v>140</v>
      </c>
      <c r="B41" s="1" t="s">
        <v>369</v>
      </c>
      <c r="C41" t="s">
        <v>293</v>
      </c>
      <c r="D41" t="s">
        <v>386</v>
      </c>
      <c r="F41" s="1">
        <v>5</v>
      </c>
      <c r="G41" s="1">
        <v>4</v>
      </c>
      <c r="I41" s="1">
        <v>5</v>
      </c>
      <c r="N41" s="1" t="str">
        <f t="shared" si="0"/>
        <v>4</v>
      </c>
    </row>
    <row r="42" spans="1:14" x14ac:dyDescent="0.25">
      <c r="A42" s="1">
        <v>141</v>
      </c>
      <c r="B42" s="1" t="s">
        <v>323</v>
      </c>
      <c r="C42" t="s">
        <v>342</v>
      </c>
      <c r="D42" t="s">
        <v>343</v>
      </c>
      <c r="F42" s="1">
        <v>3</v>
      </c>
      <c r="H42" s="1">
        <v>5</v>
      </c>
      <c r="I42" s="1">
        <v>5</v>
      </c>
      <c r="N42" s="1" t="str">
        <f t="shared" si="0"/>
        <v>5</v>
      </c>
    </row>
    <row r="43" spans="1:14" x14ac:dyDescent="0.25">
      <c r="A43" s="1">
        <v>142</v>
      </c>
      <c r="B43" s="1" t="s">
        <v>417</v>
      </c>
      <c r="C43" t="s">
        <v>426</v>
      </c>
      <c r="D43" t="s">
        <v>427</v>
      </c>
      <c r="F43" s="1">
        <v>5</v>
      </c>
      <c r="G43" s="1">
        <v>3</v>
      </c>
      <c r="I43" s="1">
        <v>4</v>
      </c>
      <c r="N43" s="1" t="str">
        <f t="shared" si="0"/>
        <v>3</v>
      </c>
    </row>
    <row r="44" spans="1:14" x14ac:dyDescent="0.25">
      <c r="A44" s="1">
        <v>143</v>
      </c>
      <c r="B44" s="1" t="s">
        <v>369</v>
      </c>
      <c r="C44" t="s">
        <v>387</v>
      </c>
      <c r="D44" t="s">
        <v>388</v>
      </c>
      <c r="F44" s="1">
        <v>5</v>
      </c>
      <c r="G44" s="1">
        <v>4</v>
      </c>
      <c r="H44" s="1">
        <v>5</v>
      </c>
      <c r="I44" s="1">
        <v>5</v>
      </c>
      <c r="N44" s="1" t="str">
        <f t="shared" si="0"/>
        <v>45</v>
      </c>
    </row>
    <row r="45" spans="1:14" x14ac:dyDescent="0.25">
      <c r="A45" s="1">
        <v>144</v>
      </c>
      <c r="B45" s="1" t="s">
        <v>270</v>
      </c>
      <c r="C45" t="s">
        <v>297</v>
      </c>
      <c r="D45" t="s">
        <v>298</v>
      </c>
      <c r="F45" s="1">
        <v>4</v>
      </c>
      <c r="G45" s="1">
        <v>2</v>
      </c>
      <c r="H45" s="1">
        <v>4</v>
      </c>
      <c r="I45" s="1">
        <v>4</v>
      </c>
      <c r="N45" s="1" t="str">
        <f t="shared" si="0"/>
        <v>24</v>
      </c>
    </row>
    <row r="46" spans="1:14" x14ac:dyDescent="0.25">
      <c r="A46" s="1">
        <v>145</v>
      </c>
      <c r="B46" s="1" t="s">
        <v>417</v>
      </c>
      <c r="C46" t="s">
        <v>428</v>
      </c>
      <c r="D46" t="s">
        <v>429</v>
      </c>
      <c r="F46" s="1">
        <v>4</v>
      </c>
      <c r="G46" s="1">
        <v>5</v>
      </c>
      <c r="H46" s="1">
        <v>5</v>
      </c>
      <c r="N46" s="1" t="str">
        <f t="shared" si="0"/>
        <v>55</v>
      </c>
    </row>
    <row r="47" spans="1:14" x14ac:dyDescent="0.25">
      <c r="A47" s="1">
        <v>146</v>
      </c>
      <c r="B47" s="1" t="s">
        <v>323</v>
      </c>
      <c r="C47" t="s">
        <v>279</v>
      </c>
      <c r="D47" t="s">
        <v>344</v>
      </c>
      <c r="F47" s="1">
        <v>4</v>
      </c>
      <c r="G47" s="1">
        <v>4</v>
      </c>
      <c r="H47" s="1">
        <v>5</v>
      </c>
      <c r="I47" s="1">
        <v>5</v>
      </c>
      <c r="N47" s="1" t="str">
        <f t="shared" si="0"/>
        <v>45</v>
      </c>
    </row>
    <row r="48" spans="1:14" x14ac:dyDescent="0.25">
      <c r="A48" s="1">
        <v>147</v>
      </c>
      <c r="B48" s="1" t="s">
        <v>270</v>
      </c>
      <c r="C48" t="s">
        <v>299</v>
      </c>
      <c r="D48" t="s">
        <v>300</v>
      </c>
      <c r="F48" s="1">
        <v>5</v>
      </c>
      <c r="G48" s="1">
        <v>4</v>
      </c>
      <c r="H48" s="1">
        <v>3</v>
      </c>
      <c r="N48" s="1" t="str">
        <f t="shared" si="0"/>
        <v>43</v>
      </c>
    </row>
    <row r="49" spans="1:14" x14ac:dyDescent="0.25">
      <c r="A49" s="1">
        <v>148</v>
      </c>
      <c r="B49" s="1" t="s">
        <v>270</v>
      </c>
      <c r="C49" t="s">
        <v>301</v>
      </c>
      <c r="D49" t="s">
        <v>302</v>
      </c>
      <c r="F49" s="1">
        <v>4</v>
      </c>
      <c r="G49" s="1">
        <v>5</v>
      </c>
      <c r="I49" s="1">
        <v>5</v>
      </c>
      <c r="N49" s="1" t="str">
        <f t="shared" si="0"/>
        <v>5</v>
      </c>
    </row>
    <row r="50" spans="1:14" x14ac:dyDescent="0.25">
      <c r="A50" s="1">
        <v>149</v>
      </c>
      <c r="B50" s="1" t="s">
        <v>417</v>
      </c>
      <c r="C50" t="s">
        <v>430</v>
      </c>
      <c r="D50" t="s">
        <v>431</v>
      </c>
      <c r="F50" s="56">
        <v>3</v>
      </c>
      <c r="G50" s="1">
        <v>4</v>
      </c>
      <c r="I50" s="1">
        <v>4</v>
      </c>
      <c r="N50" s="1" t="str">
        <f t="shared" si="0"/>
        <v>4</v>
      </c>
    </row>
    <row r="51" spans="1:14" x14ac:dyDescent="0.25">
      <c r="A51" s="1">
        <v>150</v>
      </c>
      <c r="B51" s="1" t="s">
        <v>369</v>
      </c>
      <c r="C51" t="s">
        <v>389</v>
      </c>
      <c r="D51" t="s">
        <v>390</v>
      </c>
      <c r="F51" s="1">
        <v>5</v>
      </c>
      <c r="G51" s="1">
        <v>4</v>
      </c>
      <c r="H51" s="1">
        <v>5</v>
      </c>
      <c r="I51" s="1">
        <v>5</v>
      </c>
      <c r="N51" s="1" t="str">
        <f t="shared" si="0"/>
        <v>45</v>
      </c>
    </row>
    <row r="52" spans="1:14" x14ac:dyDescent="0.25">
      <c r="A52" s="1">
        <v>151</v>
      </c>
      <c r="B52" s="1" t="s">
        <v>369</v>
      </c>
      <c r="C52" t="s">
        <v>391</v>
      </c>
      <c r="D52" t="s">
        <v>392</v>
      </c>
      <c r="E52" t="s">
        <v>471</v>
      </c>
      <c r="F52" s="1" t="s">
        <v>471</v>
      </c>
      <c r="G52" s="1">
        <v>3</v>
      </c>
      <c r="I52" s="1" t="s">
        <v>468</v>
      </c>
      <c r="N52" s="1" t="str">
        <f t="shared" si="0"/>
        <v>3</v>
      </c>
    </row>
    <row r="53" spans="1:14" x14ac:dyDescent="0.25">
      <c r="A53" s="1">
        <v>152</v>
      </c>
      <c r="B53" s="1" t="s">
        <v>323</v>
      </c>
      <c r="C53" t="s">
        <v>345</v>
      </c>
      <c r="D53" t="s">
        <v>346</v>
      </c>
      <c r="F53" s="1">
        <v>5</v>
      </c>
      <c r="G53" s="1">
        <v>4</v>
      </c>
      <c r="H53" s="1">
        <v>4</v>
      </c>
      <c r="I53" s="1">
        <v>5</v>
      </c>
      <c r="N53" s="1" t="str">
        <f t="shared" si="0"/>
        <v>44</v>
      </c>
    </row>
    <row r="54" spans="1:14" x14ac:dyDescent="0.25">
      <c r="A54" s="1">
        <v>153</v>
      </c>
      <c r="B54" s="1" t="s">
        <v>323</v>
      </c>
      <c r="C54" t="s">
        <v>347</v>
      </c>
      <c r="D54" t="s">
        <v>348</v>
      </c>
      <c r="F54" s="56">
        <v>5</v>
      </c>
      <c r="G54" s="1">
        <v>4</v>
      </c>
      <c r="H54" s="1">
        <v>4</v>
      </c>
      <c r="I54" s="1">
        <v>5</v>
      </c>
      <c r="N54" s="1" t="str">
        <f t="shared" si="0"/>
        <v>44</v>
      </c>
    </row>
    <row r="55" spans="1:14" x14ac:dyDescent="0.25">
      <c r="A55" s="1">
        <v>154</v>
      </c>
      <c r="B55" s="1" t="s">
        <v>323</v>
      </c>
      <c r="C55" t="s">
        <v>527</v>
      </c>
      <c r="D55"/>
      <c r="N55" s="1" t="str">
        <f t="shared" si="0"/>
        <v/>
      </c>
    </row>
    <row r="56" spans="1:14" x14ac:dyDescent="0.25">
      <c r="A56" s="1">
        <v>155</v>
      </c>
      <c r="B56" s="1" t="s">
        <v>323</v>
      </c>
      <c r="C56" t="s">
        <v>349</v>
      </c>
      <c r="D56" t="s">
        <v>350</v>
      </c>
      <c r="F56" s="56"/>
      <c r="G56" s="1">
        <v>3</v>
      </c>
      <c r="H56" s="1">
        <v>4</v>
      </c>
      <c r="I56" s="1">
        <v>5</v>
      </c>
      <c r="N56" s="1" t="str">
        <f t="shared" si="0"/>
        <v>34</v>
      </c>
    </row>
    <row r="57" spans="1:14" x14ac:dyDescent="0.25">
      <c r="A57" s="1">
        <v>156</v>
      </c>
      <c r="B57" s="1" t="s">
        <v>417</v>
      </c>
      <c r="C57" t="s">
        <v>130</v>
      </c>
      <c r="D57" t="s">
        <v>432</v>
      </c>
      <c r="E57" t="s">
        <v>470</v>
      </c>
      <c r="F57" s="1" t="s">
        <v>470</v>
      </c>
      <c r="G57" s="1">
        <v>5</v>
      </c>
      <c r="H57" s="1">
        <v>4</v>
      </c>
      <c r="I57" s="1">
        <v>4</v>
      </c>
      <c r="N57" s="1" t="str">
        <f t="shared" si="0"/>
        <v>54</v>
      </c>
    </row>
    <row r="58" spans="1:14" x14ac:dyDescent="0.25">
      <c r="A58" s="1">
        <v>157</v>
      </c>
      <c r="B58" s="1" t="s">
        <v>270</v>
      </c>
      <c r="C58" t="s">
        <v>303</v>
      </c>
      <c r="D58" t="s">
        <v>304</v>
      </c>
      <c r="F58" s="1">
        <v>2</v>
      </c>
      <c r="G58" s="1">
        <v>1</v>
      </c>
      <c r="H58" s="1">
        <v>4</v>
      </c>
      <c r="I58" s="1">
        <v>5</v>
      </c>
      <c r="N58" s="1" t="str">
        <f t="shared" si="0"/>
        <v>14</v>
      </c>
    </row>
    <row r="59" spans="1:14" x14ac:dyDescent="0.25">
      <c r="A59" s="1">
        <v>158</v>
      </c>
      <c r="B59" s="1" t="s">
        <v>270</v>
      </c>
      <c r="C59" t="s">
        <v>305</v>
      </c>
      <c r="D59" t="s">
        <v>306</v>
      </c>
      <c r="E59" t="s">
        <v>470</v>
      </c>
      <c r="F59" s="1" t="s">
        <v>470</v>
      </c>
      <c r="H59" s="1">
        <v>5</v>
      </c>
      <c r="I59" s="1">
        <v>5</v>
      </c>
      <c r="N59" s="1" t="str">
        <f t="shared" si="0"/>
        <v>5</v>
      </c>
    </row>
    <row r="60" spans="1:14" x14ac:dyDescent="0.25">
      <c r="A60" s="1">
        <v>159</v>
      </c>
      <c r="B60" s="1" t="s">
        <v>270</v>
      </c>
      <c r="C60" t="s">
        <v>307</v>
      </c>
      <c r="D60" t="s">
        <v>308</v>
      </c>
      <c r="F60" s="1">
        <v>3</v>
      </c>
      <c r="G60" s="1">
        <v>4</v>
      </c>
      <c r="H60" s="1">
        <v>4</v>
      </c>
      <c r="I60" s="1">
        <v>5</v>
      </c>
      <c r="N60" s="1" t="str">
        <f t="shared" si="0"/>
        <v>44</v>
      </c>
    </row>
    <row r="61" spans="1:14" x14ac:dyDescent="0.25">
      <c r="A61" s="1">
        <v>160</v>
      </c>
      <c r="B61" s="1" t="s">
        <v>417</v>
      </c>
      <c r="C61" t="s">
        <v>433</v>
      </c>
      <c r="D61" t="s">
        <v>434</v>
      </c>
      <c r="F61" s="1">
        <v>2</v>
      </c>
      <c r="G61" s="1">
        <v>3</v>
      </c>
      <c r="N61" s="1" t="str">
        <f t="shared" si="0"/>
        <v>3</v>
      </c>
    </row>
    <row r="62" spans="1:14" x14ac:dyDescent="0.25">
      <c r="A62" s="1">
        <v>161</v>
      </c>
      <c r="B62" s="1" t="s">
        <v>270</v>
      </c>
      <c r="C62" t="s">
        <v>309</v>
      </c>
      <c r="D62" t="s">
        <v>310</v>
      </c>
      <c r="F62" s="1">
        <v>5</v>
      </c>
      <c r="H62" s="1">
        <v>5</v>
      </c>
      <c r="I62" s="1">
        <v>4</v>
      </c>
      <c r="N62" s="1" t="str">
        <f t="shared" si="0"/>
        <v>5</v>
      </c>
    </row>
    <row r="63" spans="1:14" x14ac:dyDescent="0.25">
      <c r="A63" s="1">
        <v>162</v>
      </c>
      <c r="B63" s="1" t="s">
        <v>463</v>
      </c>
      <c r="C63" t="s">
        <v>528</v>
      </c>
      <c r="D63"/>
      <c r="N63" s="1" t="str">
        <f t="shared" si="0"/>
        <v/>
      </c>
    </row>
    <row r="64" spans="1:14" x14ac:dyDescent="0.25">
      <c r="A64" s="1">
        <v>163</v>
      </c>
      <c r="B64" s="1" t="s">
        <v>369</v>
      </c>
      <c r="C64" t="s">
        <v>393</v>
      </c>
      <c r="D64" t="s">
        <v>394</v>
      </c>
      <c r="F64" s="1">
        <v>5</v>
      </c>
      <c r="G64" s="1">
        <v>4</v>
      </c>
      <c r="I64" s="1">
        <v>5</v>
      </c>
      <c r="N64" s="1" t="str">
        <f t="shared" si="0"/>
        <v>4</v>
      </c>
    </row>
    <row r="65" spans="1:14" x14ac:dyDescent="0.25">
      <c r="A65" s="1">
        <v>164</v>
      </c>
      <c r="B65" s="1" t="s">
        <v>417</v>
      </c>
      <c r="C65" t="s">
        <v>435</v>
      </c>
      <c r="D65" t="s">
        <v>436</v>
      </c>
      <c r="F65" s="1">
        <v>4</v>
      </c>
      <c r="H65" s="1">
        <v>5</v>
      </c>
      <c r="I65" s="1">
        <v>5</v>
      </c>
      <c r="N65" s="1" t="str">
        <f t="shared" si="0"/>
        <v>5</v>
      </c>
    </row>
    <row r="66" spans="1:14" x14ac:dyDescent="0.25">
      <c r="A66" s="1">
        <v>165</v>
      </c>
      <c r="B66" s="1" t="s">
        <v>417</v>
      </c>
      <c r="C66" t="s">
        <v>437</v>
      </c>
      <c r="D66" t="s">
        <v>438</v>
      </c>
      <c r="F66" s="1">
        <v>5</v>
      </c>
      <c r="G66" s="1">
        <v>4</v>
      </c>
      <c r="H66" s="1">
        <v>5</v>
      </c>
      <c r="I66" s="1" t="s">
        <v>470</v>
      </c>
      <c r="N66" s="1" t="str">
        <f t="shared" si="0"/>
        <v>45</v>
      </c>
    </row>
    <row r="67" spans="1:14" x14ac:dyDescent="0.25">
      <c r="A67" s="1">
        <v>166</v>
      </c>
      <c r="B67" s="1" t="s">
        <v>417</v>
      </c>
      <c r="C67" t="s">
        <v>439</v>
      </c>
      <c r="D67" t="s">
        <v>438</v>
      </c>
      <c r="E67" t="s">
        <v>472</v>
      </c>
      <c r="F67" s="1" t="s">
        <v>472</v>
      </c>
      <c r="G67" s="1">
        <v>5</v>
      </c>
      <c r="I67" s="1" t="s">
        <v>532</v>
      </c>
      <c r="N67" s="1" t="str">
        <f t="shared" si="0"/>
        <v>5</v>
      </c>
    </row>
    <row r="68" spans="1:14" x14ac:dyDescent="0.25">
      <c r="A68" s="1">
        <v>167</v>
      </c>
      <c r="B68" s="1" t="s">
        <v>323</v>
      </c>
      <c r="C68" t="s">
        <v>351</v>
      </c>
      <c r="D68" t="s">
        <v>352</v>
      </c>
      <c r="F68" s="1">
        <v>4</v>
      </c>
      <c r="G68" s="1">
        <v>4</v>
      </c>
      <c r="H68" s="1">
        <v>4</v>
      </c>
      <c r="I68" s="1">
        <v>5</v>
      </c>
      <c r="N68" s="1" t="str">
        <f t="shared" si="0"/>
        <v>44</v>
      </c>
    </row>
    <row r="69" spans="1:14" x14ac:dyDescent="0.25">
      <c r="A69" s="1">
        <v>168</v>
      </c>
      <c r="B69" s="1" t="s">
        <v>369</v>
      </c>
      <c r="C69" t="s">
        <v>395</v>
      </c>
      <c r="D69" t="s">
        <v>396</v>
      </c>
      <c r="F69" s="1">
        <v>4</v>
      </c>
      <c r="G69" s="1">
        <v>5</v>
      </c>
      <c r="H69" s="1">
        <v>4</v>
      </c>
      <c r="I69" s="1">
        <v>5</v>
      </c>
      <c r="N69" s="1" t="str">
        <f t="shared" si="0"/>
        <v>54</v>
      </c>
    </row>
    <row r="70" spans="1:14" x14ac:dyDescent="0.25">
      <c r="A70" s="1">
        <v>169</v>
      </c>
      <c r="B70" s="1" t="s">
        <v>323</v>
      </c>
      <c r="C70" t="s">
        <v>353</v>
      </c>
      <c r="D70" t="s">
        <v>354</v>
      </c>
      <c r="F70" s="1">
        <v>4</v>
      </c>
      <c r="G70" s="1">
        <v>5</v>
      </c>
      <c r="H70" s="1">
        <v>4</v>
      </c>
      <c r="N70" s="1" t="str">
        <f t="shared" si="0"/>
        <v>54</v>
      </c>
    </row>
    <row r="71" spans="1:14" x14ac:dyDescent="0.25">
      <c r="A71" s="1">
        <v>170</v>
      </c>
      <c r="B71" s="1" t="s">
        <v>369</v>
      </c>
      <c r="C71" t="s">
        <v>397</v>
      </c>
      <c r="D71" t="s">
        <v>398</v>
      </c>
      <c r="F71" s="1">
        <v>4</v>
      </c>
      <c r="G71" s="1">
        <v>4</v>
      </c>
      <c r="N71" s="1" t="str">
        <f t="shared" si="0"/>
        <v>4</v>
      </c>
    </row>
    <row r="72" spans="1:14" x14ac:dyDescent="0.25">
      <c r="A72" s="1">
        <v>171</v>
      </c>
      <c r="B72" s="1" t="s">
        <v>270</v>
      </c>
      <c r="C72" t="s">
        <v>311</v>
      </c>
      <c r="D72" t="s">
        <v>312</v>
      </c>
      <c r="F72" s="1">
        <v>5</v>
      </c>
      <c r="G72" s="1">
        <v>5</v>
      </c>
      <c r="H72" s="1">
        <v>5</v>
      </c>
      <c r="I72" s="1">
        <v>5</v>
      </c>
      <c r="N72" s="1" t="str">
        <f t="shared" si="0"/>
        <v>55</v>
      </c>
    </row>
    <row r="73" spans="1:14" x14ac:dyDescent="0.25">
      <c r="A73" s="1">
        <v>172</v>
      </c>
      <c r="B73" s="1" t="s">
        <v>369</v>
      </c>
      <c r="C73" t="s">
        <v>399</v>
      </c>
      <c r="D73" t="s">
        <v>400</v>
      </c>
      <c r="F73" s="1">
        <v>5</v>
      </c>
      <c r="G73" s="1">
        <v>4</v>
      </c>
      <c r="H73" s="1">
        <v>4</v>
      </c>
      <c r="I73" s="1">
        <v>5</v>
      </c>
      <c r="N73" s="1" t="str">
        <f t="shared" si="0"/>
        <v>44</v>
      </c>
    </row>
    <row r="74" spans="1:14" x14ac:dyDescent="0.25">
      <c r="A74" s="1">
        <v>173</v>
      </c>
      <c r="B74" s="1" t="s">
        <v>417</v>
      </c>
      <c r="C74" t="s">
        <v>440</v>
      </c>
      <c r="D74" t="s">
        <v>441</v>
      </c>
      <c r="F74" s="1">
        <v>5</v>
      </c>
      <c r="G74" s="1">
        <v>3</v>
      </c>
      <c r="H74" s="1">
        <v>5</v>
      </c>
      <c r="I74" s="1">
        <v>4</v>
      </c>
      <c r="N74" s="1" t="str">
        <f t="shared" si="0"/>
        <v>35</v>
      </c>
    </row>
    <row r="75" spans="1:14" x14ac:dyDescent="0.25">
      <c r="A75" s="1">
        <v>174</v>
      </c>
      <c r="B75" s="1" t="s">
        <v>369</v>
      </c>
      <c r="C75" t="s">
        <v>401</v>
      </c>
      <c r="D75" t="s">
        <v>402</v>
      </c>
      <c r="F75" s="1">
        <v>5</v>
      </c>
      <c r="G75" s="1">
        <v>4</v>
      </c>
      <c r="I75" s="1" t="s">
        <v>532</v>
      </c>
      <c r="N75" s="1" t="str">
        <f t="shared" si="0"/>
        <v>4</v>
      </c>
    </row>
    <row r="76" spans="1:14" x14ac:dyDescent="0.25">
      <c r="A76" s="1">
        <v>175</v>
      </c>
      <c r="B76" s="1" t="s">
        <v>417</v>
      </c>
      <c r="C76" t="s">
        <v>442</v>
      </c>
      <c r="D76" t="s">
        <v>443</v>
      </c>
      <c r="F76" s="1">
        <v>5</v>
      </c>
      <c r="H76" s="1">
        <v>5</v>
      </c>
      <c r="I76" s="1" t="s">
        <v>468</v>
      </c>
      <c r="N76" s="1" t="str">
        <f t="shared" si="0"/>
        <v>5</v>
      </c>
    </row>
    <row r="77" spans="1:14" x14ac:dyDescent="0.25">
      <c r="A77" s="1">
        <v>176</v>
      </c>
      <c r="B77" s="1" t="s">
        <v>270</v>
      </c>
      <c r="C77" t="s">
        <v>313</v>
      </c>
      <c r="D77" t="s">
        <v>314</v>
      </c>
      <c r="F77" s="1">
        <v>4</v>
      </c>
      <c r="G77" s="1">
        <v>1</v>
      </c>
      <c r="H77" s="1">
        <v>5</v>
      </c>
      <c r="N77" s="1" t="str">
        <f t="shared" si="0"/>
        <v>15</v>
      </c>
    </row>
    <row r="78" spans="1:14" x14ac:dyDescent="0.25">
      <c r="A78" s="1">
        <v>177</v>
      </c>
      <c r="B78" s="1" t="s">
        <v>323</v>
      </c>
      <c r="C78" t="s">
        <v>355</v>
      </c>
      <c r="D78" t="s">
        <v>314</v>
      </c>
      <c r="H78" s="1">
        <v>3</v>
      </c>
      <c r="N78" s="1" t="str">
        <f t="shared" si="0"/>
        <v>3</v>
      </c>
    </row>
    <row r="79" spans="1:14" x14ac:dyDescent="0.25">
      <c r="A79" s="1">
        <v>178</v>
      </c>
      <c r="B79" s="1" t="s">
        <v>417</v>
      </c>
      <c r="C79" t="s">
        <v>444</v>
      </c>
      <c r="D79" t="s">
        <v>314</v>
      </c>
      <c r="F79" s="1">
        <v>2</v>
      </c>
      <c r="H79" s="1">
        <v>3</v>
      </c>
      <c r="I79" s="1">
        <v>0</v>
      </c>
      <c r="N79" s="1" t="str">
        <f t="shared" si="0"/>
        <v>3</v>
      </c>
    </row>
    <row r="80" spans="1:14" x14ac:dyDescent="0.25">
      <c r="A80" s="1">
        <v>179</v>
      </c>
      <c r="B80" s="1" t="s">
        <v>323</v>
      </c>
      <c r="C80" t="s">
        <v>356</v>
      </c>
      <c r="D80" t="s">
        <v>357</v>
      </c>
      <c r="F80" s="56">
        <v>4</v>
      </c>
      <c r="G80" s="1">
        <v>5</v>
      </c>
      <c r="H80" s="56">
        <v>5</v>
      </c>
      <c r="I80" s="56">
        <v>4</v>
      </c>
      <c r="J80" s="56"/>
      <c r="N80" s="1" t="str">
        <f t="shared" si="0"/>
        <v>55</v>
      </c>
    </row>
    <row r="81" spans="1:14" x14ac:dyDescent="0.25">
      <c r="A81" s="1">
        <v>180</v>
      </c>
      <c r="B81" s="1" t="s">
        <v>369</v>
      </c>
      <c r="C81" t="s">
        <v>403</v>
      </c>
      <c r="D81" t="s">
        <v>357</v>
      </c>
      <c r="F81" s="1">
        <v>4</v>
      </c>
      <c r="G81" s="1">
        <v>4</v>
      </c>
      <c r="H81" s="1">
        <v>5</v>
      </c>
      <c r="I81" s="1">
        <v>5</v>
      </c>
      <c r="N81" s="1" t="str">
        <f t="shared" si="0"/>
        <v>45</v>
      </c>
    </row>
    <row r="82" spans="1:14" x14ac:dyDescent="0.25">
      <c r="A82" s="1">
        <v>181</v>
      </c>
      <c r="B82" s="1" t="s">
        <v>270</v>
      </c>
      <c r="C82" t="s">
        <v>315</v>
      </c>
      <c r="D82" t="s">
        <v>316</v>
      </c>
      <c r="F82" s="1">
        <v>4</v>
      </c>
      <c r="G82" s="1">
        <v>4</v>
      </c>
      <c r="H82" s="1">
        <v>5</v>
      </c>
      <c r="I82" s="1">
        <v>5</v>
      </c>
      <c r="N82" s="1" t="str">
        <f t="shared" si="0"/>
        <v>45</v>
      </c>
    </row>
    <row r="83" spans="1:14" x14ac:dyDescent="0.25">
      <c r="A83" s="1">
        <v>182</v>
      </c>
      <c r="B83" s="1" t="s">
        <v>417</v>
      </c>
      <c r="C83" t="s">
        <v>445</v>
      </c>
      <c r="D83" t="s">
        <v>446</v>
      </c>
      <c r="F83" s="1">
        <v>5</v>
      </c>
      <c r="I83" s="1">
        <v>5</v>
      </c>
      <c r="N83" s="1" t="str">
        <f t="shared" si="0"/>
        <v/>
      </c>
    </row>
    <row r="84" spans="1:14" x14ac:dyDescent="0.25">
      <c r="A84" s="1">
        <v>183</v>
      </c>
      <c r="B84" s="1" t="s">
        <v>369</v>
      </c>
      <c r="C84" t="s">
        <v>404</v>
      </c>
      <c r="D84" t="s">
        <v>405</v>
      </c>
      <c r="F84" s="1">
        <v>5</v>
      </c>
      <c r="G84" s="1">
        <v>4</v>
      </c>
      <c r="H84" s="1">
        <v>4</v>
      </c>
      <c r="I84" s="1">
        <v>5</v>
      </c>
      <c r="N84" s="1" t="str">
        <f t="shared" ref="N84:N110" si="1">G84&amp;H84</f>
        <v>44</v>
      </c>
    </row>
    <row r="85" spans="1:14" x14ac:dyDescent="0.25">
      <c r="A85" s="1">
        <v>184</v>
      </c>
      <c r="B85" s="1" t="s">
        <v>270</v>
      </c>
      <c r="C85" t="s">
        <v>317</v>
      </c>
      <c r="D85" t="s">
        <v>318</v>
      </c>
      <c r="F85" s="1">
        <v>3</v>
      </c>
      <c r="G85" s="1">
        <v>4</v>
      </c>
      <c r="I85" s="1">
        <v>5</v>
      </c>
      <c r="N85" s="1" t="str">
        <f t="shared" si="1"/>
        <v>4</v>
      </c>
    </row>
    <row r="86" spans="1:14" x14ac:dyDescent="0.25">
      <c r="A86" s="1">
        <v>185</v>
      </c>
      <c r="B86" s="1" t="s">
        <v>417</v>
      </c>
      <c r="C86" t="s">
        <v>447</v>
      </c>
      <c r="D86" t="s">
        <v>448</v>
      </c>
      <c r="F86" s="1">
        <v>4</v>
      </c>
      <c r="G86" s="1">
        <v>3</v>
      </c>
      <c r="H86" s="1">
        <v>4</v>
      </c>
      <c r="I86" s="1">
        <v>4</v>
      </c>
      <c r="N86" s="1" t="str">
        <f t="shared" si="1"/>
        <v>34</v>
      </c>
    </row>
    <row r="87" spans="1:14" x14ac:dyDescent="0.25">
      <c r="A87" s="1">
        <v>186</v>
      </c>
      <c r="B87" s="1" t="s">
        <v>323</v>
      </c>
      <c r="C87" t="s">
        <v>358</v>
      </c>
      <c r="D87" t="s">
        <v>359</v>
      </c>
      <c r="F87" s="1">
        <v>4</v>
      </c>
      <c r="G87" s="1">
        <v>5</v>
      </c>
      <c r="I87" s="1">
        <v>5</v>
      </c>
      <c r="N87" s="1" t="str">
        <f t="shared" si="1"/>
        <v>5</v>
      </c>
    </row>
    <row r="88" spans="1:14" x14ac:dyDescent="0.25">
      <c r="A88" s="1">
        <v>187</v>
      </c>
      <c r="B88" s="1" t="s">
        <v>417</v>
      </c>
      <c r="C88" t="s">
        <v>449</v>
      </c>
      <c r="D88" t="s">
        <v>450</v>
      </c>
      <c r="E88" t="s">
        <v>468</v>
      </c>
      <c r="F88" s="1" t="s">
        <v>468</v>
      </c>
      <c r="H88" s="1">
        <v>5</v>
      </c>
      <c r="I88" s="1" t="s">
        <v>468</v>
      </c>
      <c r="N88" s="1" t="str">
        <f t="shared" si="1"/>
        <v>5</v>
      </c>
    </row>
    <row r="89" spans="1:14" x14ac:dyDescent="0.25">
      <c r="A89" s="1">
        <v>188</v>
      </c>
      <c r="B89" s="1" t="s">
        <v>270</v>
      </c>
      <c r="C89" t="s">
        <v>319</v>
      </c>
      <c r="D89" t="s">
        <v>320</v>
      </c>
      <c r="F89" s="1">
        <v>5</v>
      </c>
      <c r="G89" s="1">
        <v>4</v>
      </c>
      <c r="H89" s="1">
        <v>4</v>
      </c>
      <c r="I89" s="1">
        <v>5</v>
      </c>
      <c r="N89" s="1" t="str">
        <f t="shared" si="1"/>
        <v>44</v>
      </c>
    </row>
    <row r="90" spans="1:14" x14ac:dyDescent="0.25">
      <c r="A90" s="1">
        <v>189</v>
      </c>
      <c r="B90" s="1" t="s">
        <v>270</v>
      </c>
      <c r="C90" t="s">
        <v>321</v>
      </c>
      <c r="D90" t="s">
        <v>322</v>
      </c>
      <c r="F90" s="1">
        <v>4</v>
      </c>
      <c r="G90" s="1">
        <v>4</v>
      </c>
      <c r="H90" s="1">
        <v>3</v>
      </c>
      <c r="I90" s="1">
        <v>5</v>
      </c>
      <c r="N90" s="1" t="str">
        <f t="shared" si="1"/>
        <v>43</v>
      </c>
    </row>
    <row r="91" spans="1:14" x14ac:dyDescent="0.25">
      <c r="A91" s="1">
        <v>190</v>
      </c>
      <c r="B91" s="1" t="s">
        <v>323</v>
      </c>
      <c r="C91" t="s">
        <v>360</v>
      </c>
      <c r="D91" t="s">
        <v>361</v>
      </c>
      <c r="H91" s="1">
        <v>5</v>
      </c>
      <c r="I91" s="1">
        <v>5</v>
      </c>
      <c r="N91" s="1" t="str">
        <f t="shared" si="1"/>
        <v>5</v>
      </c>
    </row>
    <row r="92" spans="1:14" x14ac:dyDescent="0.25">
      <c r="A92" s="1">
        <v>191</v>
      </c>
      <c r="B92" s="1" t="s">
        <v>323</v>
      </c>
      <c r="C92" t="s">
        <v>362</v>
      </c>
      <c r="D92" t="s">
        <v>363</v>
      </c>
      <c r="F92" s="1">
        <v>2</v>
      </c>
      <c r="G92" s="1">
        <v>5</v>
      </c>
      <c r="H92" s="1">
        <v>4</v>
      </c>
      <c r="I92" s="1">
        <v>5</v>
      </c>
      <c r="N92" s="1" t="str">
        <f t="shared" si="1"/>
        <v>54</v>
      </c>
    </row>
    <row r="93" spans="1:14" x14ac:dyDescent="0.25">
      <c r="A93" s="1">
        <v>192</v>
      </c>
      <c r="B93" s="1" t="s">
        <v>417</v>
      </c>
      <c r="C93" t="s">
        <v>451</v>
      </c>
      <c r="D93" t="s">
        <v>452</v>
      </c>
      <c r="F93" s="1">
        <v>5</v>
      </c>
      <c r="G93" s="1">
        <v>5</v>
      </c>
      <c r="H93" s="1">
        <v>5</v>
      </c>
      <c r="I93" s="1">
        <v>4</v>
      </c>
      <c r="N93" s="1" t="str">
        <f t="shared" si="1"/>
        <v>55</v>
      </c>
    </row>
    <row r="94" spans="1:14" x14ac:dyDescent="0.25">
      <c r="A94" s="1">
        <v>193</v>
      </c>
      <c r="B94" s="1" t="s">
        <v>417</v>
      </c>
      <c r="C94" t="s">
        <v>453</v>
      </c>
      <c r="D94" t="s">
        <v>454</v>
      </c>
      <c r="G94" s="1">
        <v>5</v>
      </c>
      <c r="H94" s="1">
        <v>5</v>
      </c>
      <c r="N94" s="1" t="str">
        <f t="shared" si="1"/>
        <v>55</v>
      </c>
    </row>
    <row r="95" spans="1:14" x14ac:dyDescent="0.25">
      <c r="A95" s="1">
        <v>194</v>
      </c>
      <c r="B95" s="1" t="s">
        <v>323</v>
      </c>
      <c r="C95" t="s">
        <v>132</v>
      </c>
      <c r="D95" t="s">
        <v>364</v>
      </c>
      <c r="F95" s="1">
        <v>4</v>
      </c>
      <c r="G95" s="1">
        <v>2</v>
      </c>
      <c r="H95" s="1">
        <v>4</v>
      </c>
      <c r="I95" s="1">
        <v>3</v>
      </c>
      <c r="N95" s="1" t="str">
        <f t="shared" si="1"/>
        <v>24</v>
      </c>
    </row>
    <row r="96" spans="1:14" x14ac:dyDescent="0.25">
      <c r="A96" s="1">
        <v>195</v>
      </c>
      <c r="B96" s="1" t="s">
        <v>417</v>
      </c>
      <c r="C96" t="s">
        <v>455</v>
      </c>
      <c r="D96" t="s">
        <v>456</v>
      </c>
      <c r="F96" s="1">
        <v>5</v>
      </c>
      <c r="N96" s="1" t="str">
        <f t="shared" si="1"/>
        <v/>
      </c>
    </row>
    <row r="97" spans="1:14" x14ac:dyDescent="0.25">
      <c r="A97" s="1">
        <v>196</v>
      </c>
      <c r="B97" s="1" t="s">
        <v>417</v>
      </c>
      <c r="C97" t="s">
        <v>271</v>
      </c>
      <c r="D97" t="s">
        <v>457</v>
      </c>
      <c r="F97" s="1">
        <v>4</v>
      </c>
      <c r="G97" s="1">
        <v>3</v>
      </c>
      <c r="H97" s="1">
        <v>4</v>
      </c>
      <c r="N97" s="1" t="str">
        <f t="shared" si="1"/>
        <v>34</v>
      </c>
    </row>
    <row r="98" spans="1:14" x14ac:dyDescent="0.25">
      <c r="A98" s="1">
        <v>197</v>
      </c>
      <c r="B98" s="1" t="s">
        <v>369</v>
      </c>
      <c r="C98" t="s">
        <v>271</v>
      </c>
      <c r="D98" t="s">
        <v>406</v>
      </c>
      <c r="F98" s="1">
        <v>3</v>
      </c>
      <c r="G98" s="1">
        <v>4</v>
      </c>
      <c r="H98" s="1">
        <v>5</v>
      </c>
      <c r="I98" s="1">
        <v>5</v>
      </c>
      <c r="N98" s="1" t="str">
        <f t="shared" si="1"/>
        <v>45</v>
      </c>
    </row>
    <row r="99" spans="1:14" x14ac:dyDescent="0.25">
      <c r="A99" s="1">
        <v>198</v>
      </c>
      <c r="B99" s="1" t="s">
        <v>369</v>
      </c>
      <c r="C99" t="s">
        <v>407</v>
      </c>
      <c r="D99" t="s">
        <v>408</v>
      </c>
      <c r="F99" s="1">
        <v>5</v>
      </c>
      <c r="G99" s="1">
        <v>4</v>
      </c>
      <c r="H99" s="1">
        <v>4</v>
      </c>
      <c r="I99" s="1">
        <v>5</v>
      </c>
      <c r="N99" s="1" t="str">
        <f t="shared" si="1"/>
        <v>44</v>
      </c>
    </row>
    <row r="100" spans="1:14" x14ac:dyDescent="0.25">
      <c r="A100" s="1">
        <v>199</v>
      </c>
      <c r="B100" s="1" t="s">
        <v>417</v>
      </c>
      <c r="C100" t="s">
        <v>458</v>
      </c>
      <c r="D100" t="s">
        <v>459</v>
      </c>
      <c r="F100" s="1">
        <v>5</v>
      </c>
      <c r="G100" s="1">
        <v>5</v>
      </c>
      <c r="N100" s="1" t="str">
        <f t="shared" si="1"/>
        <v>5</v>
      </c>
    </row>
    <row r="101" spans="1:14" x14ac:dyDescent="0.25">
      <c r="A101" s="1">
        <v>200</v>
      </c>
      <c r="B101" s="1" t="s">
        <v>369</v>
      </c>
      <c r="C101" t="s">
        <v>409</v>
      </c>
      <c r="D101" t="s">
        <v>410</v>
      </c>
      <c r="F101" s="56">
        <v>3</v>
      </c>
      <c r="G101" s="1">
        <v>3</v>
      </c>
      <c r="H101" s="1">
        <v>5</v>
      </c>
      <c r="I101" s="1">
        <v>5</v>
      </c>
      <c r="N101" s="1" t="str">
        <f t="shared" si="1"/>
        <v>35</v>
      </c>
    </row>
    <row r="102" spans="1:14" x14ac:dyDescent="0.25">
      <c r="A102" s="1">
        <v>201</v>
      </c>
      <c r="B102" s="1" t="s">
        <v>417</v>
      </c>
      <c r="C102" t="s">
        <v>460</v>
      </c>
      <c r="D102" t="s">
        <v>461</v>
      </c>
      <c r="F102" s="1">
        <v>3</v>
      </c>
      <c r="G102" s="1">
        <v>3</v>
      </c>
      <c r="H102" s="1">
        <v>4</v>
      </c>
      <c r="I102" s="1">
        <v>5</v>
      </c>
      <c r="N102" s="1" t="str">
        <f t="shared" si="1"/>
        <v>34</v>
      </c>
    </row>
    <row r="103" spans="1:14" x14ac:dyDescent="0.25">
      <c r="A103" s="1">
        <v>202</v>
      </c>
      <c r="B103" s="1" t="s">
        <v>369</v>
      </c>
      <c r="C103" t="s">
        <v>411</v>
      </c>
      <c r="D103" t="s">
        <v>412</v>
      </c>
      <c r="F103" s="1">
        <v>5</v>
      </c>
      <c r="G103" s="1">
        <v>4</v>
      </c>
      <c r="H103" s="1">
        <v>5</v>
      </c>
      <c r="I103" s="1">
        <v>5</v>
      </c>
      <c r="N103" s="1" t="str">
        <f t="shared" si="1"/>
        <v>45</v>
      </c>
    </row>
    <row r="104" spans="1:14" x14ac:dyDescent="0.25">
      <c r="A104" s="1">
        <v>203</v>
      </c>
      <c r="B104" s="1" t="s">
        <v>323</v>
      </c>
      <c r="C104" t="s">
        <v>365</v>
      </c>
      <c r="D104" t="s">
        <v>366</v>
      </c>
      <c r="F104" s="56">
        <v>5</v>
      </c>
      <c r="G104" s="1">
        <v>4</v>
      </c>
      <c r="H104" s="1">
        <v>5</v>
      </c>
      <c r="I104" s="1">
        <v>5</v>
      </c>
      <c r="N104" s="1" t="str">
        <f t="shared" si="1"/>
        <v>45</v>
      </c>
    </row>
    <row r="105" spans="1:14" x14ac:dyDescent="0.25">
      <c r="A105" s="1">
        <v>204</v>
      </c>
      <c r="B105" s="1" t="s">
        <v>369</v>
      </c>
      <c r="C105" t="s">
        <v>413</v>
      </c>
      <c r="D105" t="s">
        <v>414</v>
      </c>
      <c r="F105" s="1">
        <v>5</v>
      </c>
      <c r="G105" s="1">
        <v>4</v>
      </c>
      <c r="I105" s="1">
        <v>4</v>
      </c>
      <c r="N105" s="1" t="str">
        <f t="shared" si="1"/>
        <v>4</v>
      </c>
    </row>
    <row r="106" spans="1:14" x14ac:dyDescent="0.25">
      <c r="A106" s="1">
        <v>205</v>
      </c>
      <c r="B106" s="1" t="s">
        <v>417</v>
      </c>
      <c r="C106" t="s">
        <v>529</v>
      </c>
      <c r="D106"/>
      <c r="N106" s="1" t="str">
        <f t="shared" si="1"/>
        <v/>
      </c>
    </row>
    <row r="107" spans="1:14" x14ac:dyDescent="0.25">
      <c r="A107" s="1">
        <v>206</v>
      </c>
      <c r="B107" s="1" t="s">
        <v>323</v>
      </c>
      <c r="C107" t="s">
        <v>367</v>
      </c>
      <c r="D107" t="s">
        <v>368</v>
      </c>
      <c r="E107" t="s">
        <v>470</v>
      </c>
      <c r="F107" s="70" t="s">
        <v>470</v>
      </c>
      <c r="G107" s="1">
        <v>5</v>
      </c>
      <c r="I107" s="1">
        <v>5</v>
      </c>
      <c r="N107" s="1" t="str">
        <f t="shared" si="1"/>
        <v>5</v>
      </c>
    </row>
    <row r="108" spans="1:14" x14ac:dyDescent="0.25">
      <c r="A108" s="1">
        <v>207</v>
      </c>
      <c r="B108" s="1" t="s">
        <v>369</v>
      </c>
      <c r="C108" t="s">
        <v>415</v>
      </c>
      <c r="D108" t="s">
        <v>416</v>
      </c>
      <c r="E108" t="s">
        <v>470</v>
      </c>
      <c r="F108" s="70" t="s">
        <v>470</v>
      </c>
      <c r="G108" s="1">
        <v>5</v>
      </c>
      <c r="I108" s="1">
        <v>5</v>
      </c>
      <c r="N108" s="1" t="str">
        <f t="shared" si="1"/>
        <v>5</v>
      </c>
    </row>
    <row r="109" spans="1:14" x14ac:dyDescent="0.25">
      <c r="A109" s="1">
        <v>208</v>
      </c>
      <c r="B109" s="1" t="s">
        <v>417</v>
      </c>
      <c r="C109" t="s">
        <v>462</v>
      </c>
      <c r="D109" t="s">
        <v>416</v>
      </c>
      <c r="F109" s="1">
        <v>5</v>
      </c>
      <c r="G109" s="1">
        <v>3</v>
      </c>
      <c r="H109" s="1">
        <v>5</v>
      </c>
      <c r="I109" s="1">
        <v>4</v>
      </c>
      <c r="N109" s="1" t="str">
        <f t="shared" si="1"/>
        <v>35</v>
      </c>
    </row>
    <row r="110" spans="1:14" x14ac:dyDescent="0.25">
      <c r="A110" s="1">
        <v>209</v>
      </c>
      <c r="B110" s="1" t="s">
        <v>463</v>
      </c>
      <c r="C110" t="s">
        <v>530</v>
      </c>
      <c r="D110"/>
      <c r="F110" s="1">
        <v>4</v>
      </c>
      <c r="N110" s="1" t="str">
        <f t="shared" si="1"/>
        <v/>
      </c>
    </row>
    <row r="111" spans="1:14" x14ac:dyDescent="0.25">
      <c r="C111" s="9" t="s">
        <v>496</v>
      </c>
      <c r="D111" s="9">
        <f>COUNTA(D2:D110)</f>
        <v>101</v>
      </c>
      <c r="F111" s="1">
        <f>COUNTA(F2:F110)</f>
        <v>97</v>
      </c>
      <c r="G111" s="1">
        <f t="shared" ref="G111:I111" si="2">COUNTA(G2:G110)</f>
        <v>81</v>
      </c>
      <c r="H111" s="1">
        <f t="shared" si="2"/>
        <v>73</v>
      </c>
      <c r="I111" s="1">
        <f t="shared" si="2"/>
        <v>85</v>
      </c>
      <c r="K111">
        <f>D111-N111</f>
        <v>90</v>
      </c>
      <c r="N111" s="1">
        <f>COUNTIF(N2:N110, "")</f>
        <v>11</v>
      </c>
    </row>
    <row r="112" spans="1:14" x14ac:dyDescent="0.25">
      <c r="C112" s="9" t="s">
        <v>499</v>
      </c>
      <c r="F112" s="1">
        <f>COUNTIF(F2:F110,"&gt;0")</f>
        <v>86</v>
      </c>
      <c r="G112" s="1">
        <f>COUNTIF(G2:G110,"&gt;0")</f>
        <v>81</v>
      </c>
      <c r="H112" s="1">
        <f>COUNTIF(H2:H110,"&gt;0")</f>
        <v>73</v>
      </c>
      <c r="I112" s="1">
        <f>COUNTIF(I2:I110,"&gt;-1")</f>
        <v>77</v>
      </c>
    </row>
    <row r="113" spans="3:10" x14ac:dyDescent="0.25">
      <c r="C113" s="9" t="s">
        <v>497</v>
      </c>
      <c r="F113" s="57">
        <f>F111/D111</f>
        <v>0.96039603960396036</v>
      </c>
      <c r="G113" s="57">
        <f>K111/D111</f>
        <v>0.8910891089108911</v>
      </c>
      <c r="H113" s="57"/>
      <c r="I113" s="71">
        <f>I111/D111</f>
        <v>0.84158415841584155</v>
      </c>
    </row>
    <row r="114" spans="3:10" x14ac:dyDescent="0.25">
      <c r="C114" s="9" t="s">
        <v>498</v>
      </c>
      <c r="F114" s="2">
        <f>COUNTIF(F2:F110,"&gt;2")/F112</f>
        <v>0.90697674418604646</v>
      </c>
      <c r="G114" s="2">
        <f>COUNTIF(G2:G110,"&gt;2")/G112</f>
        <v>0.92592592592592593</v>
      </c>
      <c r="H114" s="57">
        <f>COUNTIF(H2:H110,"&gt;2")/H112</f>
        <v>1</v>
      </c>
      <c r="I114" s="57">
        <f>COUNTIF(I2:I110,"&gt;2")/I112</f>
        <v>0.98701298701298701</v>
      </c>
      <c r="J114" s="57"/>
    </row>
  </sheetData>
  <autoFilter ref="A1:I114"/>
  <customSheetViews>
    <customSheetView guid="{95B9DE93-5E26-48CF-B2F2-F6D6799F59EE}" scale="115" showPageBreaks="1" printArea="1" showAutoFilter="1" view="pageBreakPreview" topLeftCell="A73">
      <selection activeCell="J108" sqref="J108"/>
      <pageMargins left="0.7" right="0.7" top="0.75" bottom="0.75" header="0.3" footer="0.3"/>
      <pageSetup paperSize="9" scale="54" orientation="portrait" r:id="rId1"/>
      <autoFilter ref="A1:H107"/>
    </customSheetView>
  </customSheetViews>
  <conditionalFormatting sqref="F1:J106 G107:J108 F109:J1048576">
    <cfRule type="containsBlanks" dxfId="1" priority="1">
      <formula>LEN(TRIM(F1))=0</formula>
    </cfRule>
  </conditionalFormatting>
  <conditionalFormatting sqref="A2:A110">
    <cfRule type="duplicateValues" dxfId="0" priority="10"/>
  </conditionalFormatting>
  <pageMargins left="0.7" right="0.7" top="0.75" bottom="0.75" header="0.3" footer="0.3"/>
  <pageSetup paperSize="9" scale="54" orientation="portrait" r:id="rId2"/>
  <drawing r:id="rId3"/>
  <legacyDrawing r:id="rId4"/>
  <controls>
    <mc:AlternateContent xmlns:mc="http://schemas.openxmlformats.org/markup-compatibility/2006">
      <mc:Choice Requires="x14">
        <control shapeId="9217" r:id="rId5" name="CommandButton1">
          <controlPr defaultSize="0" autoLine="0" r:id="rId6">
            <anchor moveWithCells="1">
              <from>
                <xdr:col>10</xdr:col>
                <xdr:colOff>38100</xdr:colOff>
                <xdr:row>2</xdr:row>
                <xdr:rowOff>152400</xdr:rowOff>
              </from>
              <to>
                <xdr:col>12</xdr:col>
                <xdr:colOff>123825</xdr:colOff>
                <xdr:row>4</xdr:row>
                <xdr:rowOff>171450</xdr:rowOff>
              </to>
            </anchor>
          </controlPr>
        </control>
      </mc:Choice>
      <mc:Fallback>
        <control shapeId="9217" r:id="rId5"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F19"/>
  <sheetViews>
    <sheetView view="pageBreakPreview" topLeftCell="D1" zoomScaleNormal="70" zoomScaleSheetLayoutView="100" workbookViewId="0">
      <selection activeCell="S6" sqref="S6"/>
    </sheetView>
  </sheetViews>
  <sheetFormatPr defaultRowHeight="15" x14ac:dyDescent="0.25"/>
  <cols>
    <col min="1" max="1" width="9.140625" style="37" customWidth="1"/>
    <col min="2" max="2" width="27.85546875" style="36" customWidth="1"/>
    <col min="3" max="3" width="31.85546875" style="73" bestFit="1" customWidth="1"/>
    <col min="4" max="4" width="54" style="31" bestFit="1" customWidth="1"/>
    <col min="5" max="5" width="20" style="32" customWidth="1"/>
    <col min="6" max="8" width="8.140625" style="32" bestFit="1" customWidth="1"/>
    <col min="9" max="20" width="8.7109375" customWidth="1"/>
  </cols>
  <sheetData>
    <row r="1" spans="1:32" ht="30.75" thickBot="1" x14ac:dyDescent="0.3">
      <c r="A1" s="37" t="s">
        <v>489</v>
      </c>
      <c r="B1" s="35" t="s">
        <v>488</v>
      </c>
      <c r="C1" s="73" t="s">
        <v>482</v>
      </c>
      <c r="D1" s="30" t="s">
        <v>483</v>
      </c>
      <c r="E1" s="37" t="s">
        <v>484</v>
      </c>
      <c r="F1" s="37" t="s">
        <v>485</v>
      </c>
      <c r="G1" s="32" t="s">
        <v>493</v>
      </c>
      <c r="H1" s="37" t="s">
        <v>486</v>
      </c>
      <c r="I1" s="37" t="s">
        <v>14</v>
      </c>
      <c r="J1" s="37" t="s">
        <v>15</v>
      </c>
      <c r="K1" s="37" t="s">
        <v>16</v>
      </c>
      <c r="L1" s="37" t="s">
        <v>17</v>
      </c>
      <c r="M1" s="37" t="s">
        <v>18</v>
      </c>
      <c r="N1" s="37" t="s">
        <v>19</v>
      </c>
      <c r="O1" s="37" t="s">
        <v>20</v>
      </c>
      <c r="P1" s="37" t="s">
        <v>21</v>
      </c>
      <c r="Q1" s="37" t="s">
        <v>22</v>
      </c>
      <c r="R1" s="37" t="s">
        <v>23</v>
      </c>
      <c r="S1" s="37" t="s">
        <v>24</v>
      </c>
      <c r="T1" s="37" t="s">
        <v>25</v>
      </c>
    </row>
    <row r="2" spans="1:32" ht="102" x14ac:dyDescent="0.25">
      <c r="A2" s="37">
        <v>2.1</v>
      </c>
      <c r="B2" s="74" t="s">
        <v>571</v>
      </c>
      <c r="C2" s="94" t="s">
        <v>571</v>
      </c>
      <c r="D2" s="31" t="s">
        <v>558</v>
      </c>
      <c r="E2" s="31" t="s">
        <v>585</v>
      </c>
      <c r="F2" s="32" t="s">
        <v>481</v>
      </c>
      <c r="G2" s="32">
        <f>SUM(I2:T2)</f>
        <v>1</v>
      </c>
      <c r="H2" s="32">
        <f>LOOKUP(2,1/(I2:T2&lt;&gt;""),I2:T2)</f>
        <v>0</v>
      </c>
      <c r="I2" s="38">
        <v>1</v>
      </c>
      <c r="J2" s="39">
        <v>0</v>
      </c>
      <c r="K2" s="40">
        <v>0</v>
      </c>
    </row>
    <row r="3" spans="1:32" ht="102.75" thickBot="1" x14ac:dyDescent="0.3">
      <c r="A3" s="37">
        <v>2.1</v>
      </c>
      <c r="B3" s="75" t="str">
        <f>B2</f>
        <v>2.1 Promotion of  equipment safety based on safety audit(observation) for activities related to serious accident risks (such as falling, caught by, heavy equipment, chemical burns, burns, and electric shock)</v>
      </c>
      <c r="C3" s="96"/>
      <c r="D3" s="31" t="s">
        <v>559</v>
      </c>
      <c r="E3" s="31" t="s">
        <v>586</v>
      </c>
      <c r="F3" s="32">
        <v>0</v>
      </c>
      <c r="G3" s="32">
        <f>SUM(U3:AF3)</f>
        <v>6</v>
      </c>
      <c r="H3" s="32">
        <f t="shared" ref="H3:H19" si="0">LOOKUP(2,1/(I3:T3&lt;&gt;""),I3:T3)</f>
        <v>0</v>
      </c>
      <c r="I3" s="41" t="s">
        <v>494</v>
      </c>
      <c r="J3" s="42" t="s">
        <v>557</v>
      </c>
      <c r="K3" s="43">
        <v>0</v>
      </c>
      <c r="U3">
        <f>IFERROR(LEFT(I3, SEARCH("/", I3)-1)*1, 0)</f>
        <v>4</v>
      </c>
      <c r="V3">
        <f t="shared" ref="V3" si="1">IFERROR(LEFT(J3, SEARCH("/", J3)-1)*1, 0)</f>
        <v>2</v>
      </c>
      <c r="W3">
        <f t="shared" ref="W3" si="2">IFERROR(LEFT(K3, SEARCH("/", K3)-1)*1, 0)</f>
        <v>0</v>
      </c>
      <c r="X3">
        <f t="shared" ref="X3" si="3">IFERROR(LEFT(L3, SEARCH("/", L3)-1)*1, 0)</f>
        <v>0</v>
      </c>
      <c r="Y3">
        <f t="shared" ref="Y3" si="4">IFERROR(LEFT(M3, SEARCH("/", M3)-1)*1, 0)</f>
        <v>0</v>
      </c>
      <c r="Z3">
        <f t="shared" ref="Z3" si="5">IFERROR(LEFT(N3, SEARCH("/", N3)-1)*1, 0)</f>
        <v>0</v>
      </c>
      <c r="AA3">
        <f t="shared" ref="AA3" si="6">IFERROR(LEFT(O3, SEARCH("/", O3)-1)*1, 0)</f>
        <v>0</v>
      </c>
      <c r="AB3">
        <f t="shared" ref="AB3" si="7">IFERROR(LEFT(P3, SEARCH("/", P3)-1)*1, 0)</f>
        <v>0</v>
      </c>
      <c r="AC3">
        <f t="shared" ref="AC3" si="8">IFERROR(LEFT(Q3, SEARCH("/", Q3)-1)*1, 0)</f>
        <v>0</v>
      </c>
      <c r="AD3">
        <f t="shared" ref="AD3" si="9">IFERROR(LEFT(R3, SEARCH("/", R3)-1)*1, 0)</f>
        <v>0</v>
      </c>
      <c r="AE3">
        <f t="shared" ref="AE3" si="10">IFERROR(LEFT(S3, SEARCH("/", S3)-1)*1, 0)</f>
        <v>0</v>
      </c>
      <c r="AF3">
        <f t="shared" ref="AF3" si="11">IFERROR(LEFT(T3, SEARCH("/", T3)-1)*1, 0)</f>
        <v>0</v>
      </c>
    </row>
    <row r="4" spans="1:32" ht="75.75" thickBot="1" x14ac:dyDescent="0.3">
      <c r="A4" s="37">
        <v>2.2000000000000002</v>
      </c>
      <c r="B4" s="75" t="s">
        <v>572</v>
      </c>
      <c r="C4" s="72" t="s">
        <v>572</v>
      </c>
      <c r="D4" s="31" t="s">
        <v>560</v>
      </c>
      <c r="E4" s="31" t="s">
        <v>587</v>
      </c>
      <c r="F4" s="32">
        <v>2</v>
      </c>
      <c r="G4" s="32">
        <f t="shared" ref="G4:G5" si="12">SUM(I4:T4)</f>
        <v>1</v>
      </c>
      <c r="H4" s="32">
        <f t="shared" si="0"/>
        <v>0</v>
      </c>
      <c r="I4" s="42">
        <v>0</v>
      </c>
      <c r="J4" s="42">
        <v>1</v>
      </c>
      <c r="K4" s="43">
        <v>0</v>
      </c>
    </row>
    <row r="5" spans="1:32" ht="63.75" x14ac:dyDescent="0.25">
      <c r="A5" s="37">
        <v>2.2999999999999998</v>
      </c>
      <c r="B5" s="74" t="s">
        <v>573</v>
      </c>
      <c r="C5" s="94" t="s">
        <v>573</v>
      </c>
      <c r="D5" s="31" t="s">
        <v>561</v>
      </c>
      <c r="E5" s="31" t="s">
        <v>588</v>
      </c>
      <c r="F5" s="33">
        <v>0.9</v>
      </c>
      <c r="G5" s="34">
        <f t="shared" si="12"/>
        <v>0.95</v>
      </c>
      <c r="H5" s="34">
        <f t="shared" si="0"/>
        <v>0.95</v>
      </c>
      <c r="I5" s="87" t="s">
        <v>490</v>
      </c>
      <c r="J5" s="44" t="s">
        <v>490</v>
      </c>
      <c r="K5" s="88">
        <v>0.95</v>
      </c>
      <c r="L5" s="10"/>
      <c r="M5" s="10"/>
      <c r="N5" s="10"/>
      <c r="O5" s="10"/>
      <c r="P5" s="10"/>
      <c r="Q5" s="10"/>
      <c r="R5" s="10"/>
      <c r="S5" s="10"/>
      <c r="T5" s="10"/>
    </row>
    <row r="6" spans="1:32" ht="64.5" thickBot="1" x14ac:dyDescent="0.3">
      <c r="A6" s="37">
        <v>2.2999999999999998</v>
      </c>
      <c r="B6" s="75" t="str">
        <f>B5</f>
        <v>2.3 Preventing similar incidents by reorganizing the safety education system for supervisors to provide effective safety instruction</v>
      </c>
      <c r="C6" s="96"/>
      <c r="D6" s="31" t="s">
        <v>562</v>
      </c>
      <c r="E6" s="31" t="s">
        <v>589</v>
      </c>
      <c r="F6" s="32">
        <v>6</v>
      </c>
      <c r="G6" s="89">
        <f>SUM(I6:T6)</f>
        <v>2</v>
      </c>
      <c r="H6" s="32" t="str">
        <f t="shared" si="0"/>
        <v>-</v>
      </c>
      <c r="I6" s="53">
        <v>1</v>
      </c>
      <c r="J6" s="55">
        <v>1</v>
      </c>
      <c r="K6" s="43" t="s">
        <v>490</v>
      </c>
      <c r="L6" s="54"/>
      <c r="M6" s="54"/>
      <c r="N6" s="54"/>
      <c r="O6" s="54"/>
      <c r="P6" s="54"/>
      <c r="Q6" s="54"/>
      <c r="R6" s="54"/>
      <c r="S6" s="54"/>
      <c r="T6" s="54"/>
    </row>
    <row r="7" spans="1:32" ht="51" x14ac:dyDescent="0.25">
      <c r="A7" s="37">
        <v>2.4</v>
      </c>
      <c r="B7" s="74" t="s">
        <v>574</v>
      </c>
      <c r="C7" s="94" t="s">
        <v>574</v>
      </c>
      <c r="D7" s="31" t="s">
        <v>563</v>
      </c>
      <c r="E7" s="31" t="s">
        <v>590</v>
      </c>
      <c r="F7" s="33">
        <v>0.97</v>
      </c>
      <c r="G7" s="84">
        <f>AVERAGE(I7:T7)</f>
        <v>0.98766666666666669</v>
      </c>
      <c r="H7" s="84">
        <f t="shared" si="0"/>
        <v>0.98499999999999999</v>
      </c>
      <c r="I7" s="85">
        <v>0.99099999999999999</v>
      </c>
      <c r="J7" s="86">
        <v>0.98699999999999999</v>
      </c>
      <c r="K7" s="86">
        <v>0.98499999999999999</v>
      </c>
      <c r="L7" s="63"/>
      <c r="M7" s="63"/>
      <c r="N7" s="63"/>
      <c r="O7" s="63"/>
      <c r="P7" s="63"/>
      <c r="Q7" s="63"/>
      <c r="R7" s="63"/>
      <c r="S7" s="63"/>
      <c r="T7" s="63"/>
    </row>
    <row r="8" spans="1:32" ht="51" x14ac:dyDescent="0.25">
      <c r="A8" s="37">
        <v>2.4</v>
      </c>
      <c r="B8" s="76" t="str">
        <f t="shared" ref="B8:B9" si="13">B7</f>
        <v>2.4  Improving risk management capabilities through effective KY education for each department member</v>
      </c>
      <c r="C8" s="95"/>
      <c r="D8" s="31" t="s">
        <v>564</v>
      </c>
      <c r="E8" s="31" t="s">
        <v>591</v>
      </c>
      <c r="F8" s="82">
        <v>12</v>
      </c>
      <c r="G8" s="82">
        <f>SUM(I8:T8)</f>
        <v>2</v>
      </c>
      <c r="H8" s="82">
        <f t="shared" si="0"/>
        <v>1</v>
      </c>
      <c r="I8" s="45">
        <v>0</v>
      </c>
      <c r="J8" s="48">
        <v>1</v>
      </c>
      <c r="K8" s="83">
        <v>1</v>
      </c>
    </row>
    <row r="9" spans="1:32" ht="51.75" thickBot="1" x14ac:dyDescent="0.3">
      <c r="A9" s="37">
        <v>2.4</v>
      </c>
      <c r="B9" s="75" t="str">
        <f t="shared" si="13"/>
        <v>2.4  Improving risk management capabilities through effective KY education for each department member</v>
      </c>
      <c r="C9" s="96"/>
      <c r="D9" s="31" t="s">
        <v>565</v>
      </c>
      <c r="E9" s="31" t="s">
        <v>592</v>
      </c>
      <c r="F9" s="34">
        <v>1</v>
      </c>
      <c r="G9" s="34">
        <f t="shared" ref="G9:G16" si="14">AVERAGE(I9:T9)</f>
        <v>1</v>
      </c>
      <c r="H9" s="34">
        <f t="shared" si="0"/>
        <v>1</v>
      </c>
      <c r="I9" s="47">
        <v>1</v>
      </c>
      <c r="J9" s="46">
        <v>1</v>
      </c>
      <c r="K9" s="46">
        <v>1</v>
      </c>
    </row>
    <row r="10" spans="1:32" ht="51" x14ac:dyDescent="0.25">
      <c r="A10" s="37">
        <v>2.5</v>
      </c>
      <c r="B10" s="74" t="s">
        <v>575</v>
      </c>
      <c r="C10" s="94" t="s">
        <v>575</v>
      </c>
      <c r="D10" s="31" t="s">
        <v>582</v>
      </c>
      <c r="E10" s="31" t="s">
        <v>593</v>
      </c>
      <c r="F10" s="33">
        <v>0.85</v>
      </c>
      <c r="G10" s="33">
        <f t="shared" si="14"/>
        <v>0.66266666666666663</v>
      </c>
      <c r="H10" s="34">
        <f t="shared" si="0"/>
        <v>0.67</v>
      </c>
      <c r="I10" s="47">
        <v>0.72799999999999998</v>
      </c>
      <c r="J10" s="46">
        <v>0.59</v>
      </c>
      <c r="K10" s="46">
        <v>0.67</v>
      </c>
    </row>
    <row r="11" spans="1:32" ht="75" x14ac:dyDescent="0.25">
      <c r="A11" s="37">
        <v>2.5</v>
      </c>
      <c r="B11" s="76" t="str">
        <f t="shared" ref="B11:B12" si="15">B10</f>
        <v>2.5 Improve employees' knowledge and awareness on safety through continuous education</v>
      </c>
      <c r="C11" s="95"/>
      <c r="D11" s="31" t="s">
        <v>583</v>
      </c>
      <c r="E11" s="31" t="s">
        <v>594</v>
      </c>
      <c r="F11" s="33">
        <v>0.9</v>
      </c>
      <c r="G11" s="33">
        <f>AVERAGE(I11:T11)</f>
        <v>0.92554999999999998</v>
      </c>
      <c r="H11" s="34">
        <f t="shared" si="0"/>
        <v>0.8911</v>
      </c>
      <c r="I11" s="47" t="s">
        <v>490</v>
      </c>
      <c r="J11" s="52">
        <v>0.96</v>
      </c>
      <c r="K11" s="47">
        <v>0.8911</v>
      </c>
    </row>
    <row r="12" spans="1:32" ht="75.75" thickBot="1" x14ac:dyDescent="0.3">
      <c r="A12" s="37">
        <v>2.5</v>
      </c>
      <c r="B12" s="75" t="str">
        <f t="shared" si="15"/>
        <v>2.5 Improve employees' knowledge and awareness on safety through continuous education</v>
      </c>
      <c r="C12" s="96"/>
      <c r="D12" s="31" t="s">
        <v>584</v>
      </c>
      <c r="E12" s="31" t="s">
        <v>595</v>
      </c>
      <c r="F12" s="33">
        <v>0.7</v>
      </c>
      <c r="G12" s="33">
        <f t="shared" si="14"/>
        <v>0.93500000000000005</v>
      </c>
      <c r="H12" s="34">
        <f t="shared" si="0"/>
        <v>0.96</v>
      </c>
      <c r="I12" s="47" t="s">
        <v>490</v>
      </c>
      <c r="J12" s="46">
        <v>0.91</v>
      </c>
      <c r="K12" s="49">
        <v>0.96</v>
      </c>
    </row>
    <row r="13" spans="1:32" ht="63.75" x14ac:dyDescent="0.25">
      <c r="A13" s="37">
        <v>2.6</v>
      </c>
      <c r="B13" s="74" t="s">
        <v>601</v>
      </c>
      <c r="C13" s="94" t="s">
        <v>601</v>
      </c>
      <c r="D13" s="31" t="s">
        <v>566</v>
      </c>
      <c r="E13" s="31" t="s">
        <v>596</v>
      </c>
      <c r="F13" s="34">
        <v>1</v>
      </c>
      <c r="G13" s="34">
        <f t="shared" si="14"/>
        <v>1</v>
      </c>
      <c r="H13" s="34">
        <f t="shared" si="0"/>
        <v>1</v>
      </c>
      <c r="I13" s="41" t="s">
        <v>490</v>
      </c>
      <c r="J13" s="46">
        <v>1</v>
      </c>
      <c r="K13" s="50">
        <v>1</v>
      </c>
    </row>
    <row r="14" spans="1:32" ht="64.5" thickBot="1" x14ac:dyDescent="0.3">
      <c r="A14" s="37">
        <v>2.6</v>
      </c>
      <c r="B14" s="76" t="str">
        <f>B13</f>
        <v>2.6 Promotion of measures to make up for weaknesses in each department that were identified during Safety Discussion</v>
      </c>
      <c r="C14" s="95"/>
      <c r="D14" s="31" t="s">
        <v>567</v>
      </c>
      <c r="E14" s="31" t="s">
        <v>592</v>
      </c>
      <c r="F14" s="34">
        <v>1</v>
      </c>
      <c r="G14" s="34">
        <f t="shared" si="14"/>
        <v>1</v>
      </c>
      <c r="H14" s="34">
        <f t="shared" si="0"/>
        <v>1</v>
      </c>
      <c r="I14" s="51">
        <v>1</v>
      </c>
      <c r="J14" s="51">
        <v>1</v>
      </c>
      <c r="K14" s="50">
        <v>1</v>
      </c>
    </row>
    <row r="15" spans="1:32" ht="51" x14ac:dyDescent="0.25">
      <c r="A15" s="37">
        <v>2.7</v>
      </c>
      <c r="B15" s="74" t="s">
        <v>576</v>
      </c>
      <c r="C15" s="94" t="s">
        <v>576</v>
      </c>
      <c r="D15" s="31" t="s">
        <v>568</v>
      </c>
      <c r="E15" s="31" t="s">
        <v>597</v>
      </c>
      <c r="F15" s="34">
        <v>1</v>
      </c>
      <c r="G15" s="34">
        <f>AVERAGE(I15:T15)</f>
        <v>1</v>
      </c>
      <c r="H15" s="34">
        <f t="shared" si="0"/>
        <v>1</v>
      </c>
      <c r="I15" s="51">
        <v>1</v>
      </c>
      <c r="J15" s="90">
        <v>1</v>
      </c>
      <c r="K15" s="88">
        <v>1</v>
      </c>
      <c r="L15" s="10"/>
      <c r="M15" s="10"/>
      <c r="N15" s="10"/>
      <c r="O15" s="10"/>
      <c r="P15" s="10"/>
      <c r="Q15" s="10"/>
      <c r="R15" s="10"/>
      <c r="S15" s="10"/>
      <c r="T15" s="10"/>
    </row>
    <row r="16" spans="1:32" ht="51" x14ac:dyDescent="0.25">
      <c r="A16" s="37">
        <v>2.7</v>
      </c>
      <c r="B16" s="76" t="str">
        <f t="shared" ref="B16:B17" si="16">B15</f>
        <v>2.7 Reduce risk and maintain safe working conditions by conducting scheduled safety activities</v>
      </c>
      <c r="C16" s="95"/>
      <c r="D16" s="31" t="s">
        <v>569</v>
      </c>
      <c r="E16" s="31" t="s">
        <v>590</v>
      </c>
      <c r="F16" s="34">
        <v>1</v>
      </c>
      <c r="G16" s="34">
        <f t="shared" si="14"/>
        <v>1</v>
      </c>
      <c r="H16" s="34">
        <f t="shared" si="0"/>
        <v>1</v>
      </c>
      <c r="I16" s="51">
        <v>1</v>
      </c>
      <c r="J16" s="51">
        <v>1</v>
      </c>
      <c r="K16" s="51">
        <v>1</v>
      </c>
    </row>
    <row r="17" spans="1:20" ht="51.75" thickBot="1" x14ac:dyDescent="0.3">
      <c r="A17" s="37">
        <v>2.7</v>
      </c>
      <c r="B17" s="75" t="str">
        <f t="shared" si="16"/>
        <v>2.7 Reduce risk and maintain safe working conditions by conducting scheduled safety activities</v>
      </c>
      <c r="C17" s="96"/>
      <c r="D17" s="31" t="s">
        <v>570</v>
      </c>
      <c r="E17" s="31" t="s">
        <v>598</v>
      </c>
      <c r="F17" s="33" t="s">
        <v>581</v>
      </c>
      <c r="G17" s="82">
        <f>SUM(I17:T17)</f>
        <v>3</v>
      </c>
      <c r="H17" s="91">
        <f t="shared" si="0"/>
        <v>1</v>
      </c>
      <c r="I17" s="91">
        <v>1</v>
      </c>
      <c r="J17" s="91">
        <v>1</v>
      </c>
      <c r="K17" s="91">
        <v>1</v>
      </c>
      <c r="L17" s="92"/>
      <c r="M17" s="92"/>
      <c r="N17" s="92"/>
      <c r="O17" s="92"/>
      <c r="P17" s="92"/>
      <c r="Q17" s="92"/>
      <c r="R17" s="92"/>
      <c r="S17" s="92"/>
      <c r="T17" s="92"/>
    </row>
    <row r="18" spans="1:20" ht="166.5" x14ac:dyDescent="0.25">
      <c r="A18" s="37">
        <v>3.1</v>
      </c>
      <c r="B18" s="79" t="s">
        <v>577</v>
      </c>
      <c r="C18" s="79" t="s">
        <v>577</v>
      </c>
      <c r="D18" s="77" t="s">
        <v>599</v>
      </c>
      <c r="E18" s="81" t="s">
        <v>579</v>
      </c>
      <c r="F18" s="32">
        <v>2</v>
      </c>
      <c r="G18" s="82">
        <f>SUM(I18:T18)</f>
        <v>1</v>
      </c>
      <c r="H18" s="91">
        <f t="shared" si="0"/>
        <v>1</v>
      </c>
      <c r="I18" s="93" t="s">
        <v>490</v>
      </c>
      <c r="J18" s="93" t="s">
        <v>490</v>
      </c>
      <c r="K18" s="82">
        <v>1</v>
      </c>
      <c r="L18" s="92"/>
      <c r="M18" s="92"/>
      <c r="N18" s="92"/>
      <c r="O18" s="92"/>
      <c r="P18" s="92"/>
      <c r="Q18" s="92"/>
      <c r="R18" s="92"/>
      <c r="S18" s="92"/>
      <c r="T18" s="92"/>
    </row>
    <row r="19" spans="1:20" ht="60.75" thickBot="1" x14ac:dyDescent="0.3">
      <c r="A19" s="37">
        <v>3.2</v>
      </c>
      <c r="B19" s="80" t="s">
        <v>578</v>
      </c>
      <c r="C19" s="80" t="s">
        <v>578</v>
      </c>
      <c r="D19" s="78" t="s">
        <v>600</v>
      </c>
      <c r="E19" s="32" t="s">
        <v>580</v>
      </c>
      <c r="F19" s="32">
        <v>12</v>
      </c>
      <c r="G19" s="82">
        <f>SUM(I19:T19)</f>
        <v>2</v>
      </c>
      <c r="H19" s="91">
        <f t="shared" si="0"/>
        <v>1</v>
      </c>
      <c r="I19" s="93" t="s">
        <v>490</v>
      </c>
      <c r="J19" s="82">
        <v>1</v>
      </c>
      <c r="K19" s="82">
        <v>1</v>
      </c>
      <c r="L19" s="92"/>
      <c r="M19" s="92"/>
      <c r="N19" s="92"/>
      <c r="O19" s="92"/>
      <c r="P19" s="92"/>
      <c r="Q19" s="92"/>
      <c r="R19" s="92"/>
      <c r="S19" s="92"/>
      <c r="T19" s="92"/>
    </row>
  </sheetData>
  <customSheetViews>
    <customSheetView guid="{95B9DE93-5E26-48CF-B2F2-F6D6799F59EE}" showPageBreaks="1" printArea="1" view="pageBreakPreview" topLeftCell="C1">
      <selection activeCell="G17" sqref="G17"/>
      <pageMargins left="0.7" right="0.7" top="0.75" bottom="0.75" header="0.3" footer="0.3"/>
      <pageSetup paperSize="9" scale="31" orientation="portrait" r:id="rId1"/>
    </customSheetView>
  </customSheetViews>
  <mergeCells count="6">
    <mergeCell ref="C15:C17"/>
    <mergeCell ref="C2:C3"/>
    <mergeCell ref="C5:C6"/>
    <mergeCell ref="C7:C9"/>
    <mergeCell ref="C10:C12"/>
    <mergeCell ref="C13:C14"/>
  </mergeCells>
  <pageMargins left="0.7" right="0.7" top="0.75" bottom="0.75" header="0.3" footer="0.3"/>
  <pageSetup paperSize="9" scale="31" orientation="portrait" r:id="rId2"/>
  <drawing r:id="rId3"/>
  <legacyDrawing r:id="rId4"/>
  <controls>
    <mc:AlternateContent xmlns:mc="http://schemas.openxmlformats.org/markup-compatibility/2006">
      <mc:Choice Requires="x14">
        <control shapeId="10241" r:id="rId5" name="CommandButton1">
          <controlPr defaultSize="0" autoLine="0" autoPict="0" r:id="rId6">
            <anchor moveWithCells="1">
              <from>
                <xdr:col>20</xdr:col>
                <xdr:colOff>428625</xdr:colOff>
                <xdr:row>1</xdr:row>
                <xdr:rowOff>342900</xdr:rowOff>
              </from>
              <to>
                <xdr:col>22</xdr:col>
                <xdr:colOff>561975</xdr:colOff>
                <xdr:row>1</xdr:row>
                <xdr:rowOff>733425</xdr:rowOff>
              </to>
            </anchor>
          </controlPr>
        </control>
      </mc:Choice>
      <mc:Fallback>
        <control shapeId="10241" r:id="rId5"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SafetyCalendar</vt:lpstr>
      <vt:lpstr>SafetyAudit</vt:lpstr>
      <vt:lpstr>Safety_Declaration</vt:lpstr>
      <vt:lpstr>KY</vt:lpstr>
      <vt:lpstr>KY2</vt:lpstr>
      <vt:lpstr>4RKY</vt:lpstr>
      <vt:lpstr>Unusual Ky</vt:lpstr>
      <vt:lpstr>Exam_Results</vt:lpstr>
      <vt:lpstr>Core Objectives</vt:lpstr>
      <vt:lpstr>FNTRL</vt:lpstr>
      <vt:lpstr>H2S</vt:lpstr>
      <vt:lpstr>LS</vt:lpstr>
      <vt:lpstr>MDCS</vt:lpstr>
      <vt:lpstr>MS</vt:lpstr>
      <vt:lpstr>'Core Objectives'!Print_Area</vt:lpstr>
      <vt:lpstr>Exam_Results!Print_Area</vt:lpstr>
      <vt:lpstr>KY!Print_Area</vt:lpstr>
      <vt:lpstr>'KY2'!Print_Area</vt:lpstr>
      <vt:lpstr>Safety_Declaration!Print_Area</vt:lpstr>
      <vt:lpstr>SafetyAudit!Print_Area</vt:lpstr>
      <vt:lpstr>SafetyCalendar!Print_Area</vt:lpstr>
      <vt:lpstr>SDCS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Christian P. Baclayo</dc:creator>
  <cp:lastModifiedBy>Christian P. Baclayo</cp:lastModifiedBy>
  <dcterms:created xsi:type="dcterms:W3CDTF">2015-06-05T18:17:20Z</dcterms:created>
  <dcterms:modified xsi:type="dcterms:W3CDTF">2025-04-21T14:15:23Z</dcterms:modified>
</cp:coreProperties>
</file>