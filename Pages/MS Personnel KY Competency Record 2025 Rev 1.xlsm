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1.xml" ContentType="application/vnd.openxmlformats-officedocument.drawingml.chartshapes+xml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.p.baclayo\Desktop\Safety\"/>
    </mc:Choice>
  </mc:AlternateContent>
  <bookViews>
    <workbookView xWindow="0" yWindow="60" windowWidth="2040" windowHeight="1125" tabRatio="850" activeTab="2"/>
  </bookViews>
  <sheets>
    <sheet name="Guidelines" sheetId="4" r:id="rId1"/>
    <sheet name="Performance Trend 1" sheetId="142" r:id="rId2"/>
    <sheet name="KY Monitoring" sheetId="145" r:id="rId3"/>
    <sheet name="Jan" sheetId="133" r:id="rId4"/>
    <sheet name="Feb" sheetId="143" r:id="rId5"/>
    <sheet name="Performance trend- Summary" sheetId="141" state="hidden" r:id="rId6"/>
    <sheet name="Graph" sheetId="136" state="hidden" r:id="rId7"/>
    <sheet name="List of Wall of Fame" sheetId="138" state="hidden" r:id="rId8"/>
    <sheet name="Performance trend" sheetId="137" state="hidden" r:id="rId9"/>
    <sheet name="template" sheetId="140" state="hidden" r:id="rId10"/>
    <sheet name="Sheet2" sheetId="102" state="hidden" r:id="rId11"/>
    <sheet name="March" sheetId="105" state="hidden" r:id="rId12"/>
    <sheet name="Sheet3" sheetId="107" state="hidden" r:id="rId13"/>
    <sheet name="Sheet4" sheetId="108" state="hidden" r:id="rId14"/>
    <sheet name="Sheet5" sheetId="110" state="hidden" r:id="rId15"/>
  </sheets>
  <externalReferences>
    <externalReference r:id="rId16"/>
    <externalReference r:id="rId17"/>
  </externalReferences>
  <definedNames>
    <definedName name="_xlnm._FilterDatabase" localSheetId="4" hidden="1">Feb!$G$34:$AH$55</definedName>
    <definedName name="_xlnm._FilterDatabase" localSheetId="3" hidden="1">Jan!$G$34:$AK$55</definedName>
    <definedName name="_xlnm._FilterDatabase" localSheetId="2" hidden="1">'KY Monitoring'!$A$1:$E$84</definedName>
    <definedName name="_xlnm._FilterDatabase" localSheetId="11" hidden="1">March!$G$39:$AJ$60</definedName>
    <definedName name="DEC" localSheetId="4">#REF!</definedName>
    <definedName name="DEC" localSheetId="3">#REF!</definedName>
    <definedName name="DEC" localSheetId="5">#REF!</definedName>
    <definedName name="DEC">#REF!</definedName>
    <definedName name="Dec_updated" localSheetId="4">#REF!</definedName>
    <definedName name="Dec_updated" localSheetId="5">#REF!</definedName>
    <definedName name="Dec_updated">#REF!</definedName>
    <definedName name="DECSafety" localSheetId="4">#REF!</definedName>
    <definedName name="DECSafety" localSheetId="5">#REF!</definedName>
    <definedName name="DECSafety">#REF!</definedName>
    <definedName name="MAR" localSheetId="4">#REF!</definedName>
    <definedName name="MAR" localSheetId="3">#REF!</definedName>
    <definedName name="MAR" localSheetId="5">#REF!</definedName>
    <definedName name="MAR">#REF!</definedName>
    <definedName name="may" localSheetId="4">#REF!</definedName>
    <definedName name="may">#REF!</definedName>
    <definedName name="NOV" localSheetId="4">#REF!</definedName>
    <definedName name="NOV" localSheetId="3">#REF!</definedName>
    <definedName name="NOV" localSheetId="5">#REF!</definedName>
    <definedName name="NOV">#REF!</definedName>
    <definedName name="Oct" localSheetId="4">#REF!</definedName>
    <definedName name="Oct" localSheetId="3">#REF!</definedName>
    <definedName name="Oct" localSheetId="5">#REF!</definedName>
    <definedName name="Oct">#REF!</definedName>
    <definedName name="OCTT" localSheetId="4">#REF!</definedName>
    <definedName name="OCTT" localSheetId="3">#REF!</definedName>
    <definedName name="OCTT" localSheetId="5">#REF!</definedName>
    <definedName name="OCTT">#REF!</definedName>
    <definedName name="OCTTT" localSheetId="4">#REF!</definedName>
    <definedName name="OCTTT" localSheetId="3">#REF!</definedName>
    <definedName name="OCTTT" localSheetId="5">#REF!</definedName>
    <definedName name="OCTTT">#REF!</definedName>
    <definedName name="rng" localSheetId="4">#REF!</definedName>
    <definedName name="rng" localSheetId="3">#REF!</definedName>
    <definedName name="rng" localSheetId="11">#REF!</definedName>
    <definedName name="rng" localSheetId="5">#REF!</definedName>
    <definedName name="rng">#REF!</definedName>
    <definedName name="sdaeqa" localSheetId="4">#REF!</definedName>
    <definedName name="sdaeqa" localSheetId="5">#REF!</definedName>
    <definedName name="sdaeqa">#REF!</definedName>
    <definedName name="UserName" localSheetId="4">#REF!</definedName>
    <definedName name="UserName" localSheetId="3">#REF!</definedName>
    <definedName name="UserName" localSheetId="5">#REF!</definedName>
    <definedName name="UserName">#REF!</definedName>
    <definedName name="UserTable" localSheetId="4">#REF!</definedName>
    <definedName name="UserTable" localSheetId="3">#REF!</definedName>
    <definedName name="UserTable" localSheetId="5">#REF!</definedName>
    <definedName name="UserTable">#REF!</definedName>
  </definedNames>
  <calcPr calcId="162913"/>
</workbook>
</file>

<file path=xl/calcChain.xml><?xml version="1.0" encoding="utf-8"?>
<calcChain xmlns="http://schemas.openxmlformats.org/spreadsheetml/2006/main">
  <c r="B64" i="145" l="1"/>
  <c r="B65" i="145"/>
  <c r="B66" i="145"/>
  <c r="B67" i="145"/>
  <c r="B68" i="145"/>
  <c r="B69" i="145"/>
  <c r="B70" i="145"/>
  <c r="B71" i="145"/>
  <c r="B72" i="145"/>
  <c r="B73" i="145"/>
  <c r="B74" i="145"/>
  <c r="B75" i="145"/>
  <c r="B76" i="145"/>
  <c r="B77" i="145"/>
  <c r="B78" i="145"/>
  <c r="B79" i="145"/>
  <c r="B80" i="145"/>
  <c r="B81" i="145"/>
  <c r="B82" i="145"/>
  <c r="B83" i="145"/>
  <c r="B84" i="145"/>
  <c r="B44" i="145"/>
  <c r="B45" i="145"/>
  <c r="B46" i="145"/>
  <c r="B47" i="145"/>
  <c r="B48" i="145"/>
  <c r="B49" i="145"/>
  <c r="B50" i="145"/>
  <c r="B51" i="145"/>
  <c r="B52" i="145"/>
  <c r="B53" i="145"/>
  <c r="B54" i="145"/>
  <c r="B55" i="145"/>
  <c r="B56" i="145"/>
  <c r="B57" i="145"/>
  <c r="B58" i="145"/>
  <c r="B59" i="145"/>
  <c r="B60" i="145"/>
  <c r="B61" i="145"/>
  <c r="B62" i="145"/>
  <c r="B63" i="145"/>
  <c r="B23" i="145"/>
  <c r="B24" i="145"/>
  <c r="B25" i="145"/>
  <c r="B26" i="145"/>
  <c r="B27" i="145"/>
  <c r="B28" i="145"/>
  <c r="B29" i="145"/>
  <c r="B30" i="145"/>
  <c r="B31" i="145"/>
  <c r="B32" i="145"/>
  <c r="B33" i="145"/>
  <c r="B34" i="145"/>
  <c r="B35" i="145"/>
  <c r="B36" i="145"/>
  <c r="B37" i="145"/>
  <c r="B38" i="145"/>
  <c r="B39" i="145"/>
  <c r="B40" i="145"/>
  <c r="B41" i="145"/>
  <c r="B42" i="145"/>
  <c r="B43" i="145"/>
  <c r="B2" i="145"/>
  <c r="C89" i="145" s="1"/>
  <c r="B3" i="145"/>
  <c r="B4" i="145"/>
  <c r="B5" i="145"/>
  <c r="B6" i="145"/>
  <c r="B7" i="145"/>
  <c r="B8" i="145"/>
  <c r="B9" i="145"/>
  <c r="B10" i="145"/>
  <c r="B11" i="145"/>
  <c r="B12" i="145"/>
  <c r="B13" i="145"/>
  <c r="B14" i="145"/>
  <c r="B15" i="145"/>
  <c r="B16" i="145"/>
  <c r="B17" i="145"/>
  <c r="B18" i="145"/>
  <c r="B19" i="145"/>
  <c r="B20" i="145"/>
  <c r="B21" i="145"/>
  <c r="B22" i="145"/>
  <c r="D5" i="133"/>
  <c r="D36" i="145"/>
  <c r="D13" i="145"/>
  <c r="D14" i="145"/>
  <c r="D78" i="145"/>
  <c r="D15" i="145"/>
  <c r="D79" i="145"/>
  <c r="D8" i="145"/>
  <c r="D81" i="145"/>
  <c r="C32" i="145"/>
  <c r="C42" i="145"/>
  <c r="C71" i="145"/>
  <c r="C26" i="145"/>
  <c r="C14" i="145"/>
  <c r="D40" i="145"/>
  <c r="D35" i="145"/>
  <c r="C46" i="145"/>
  <c r="D76" i="145"/>
  <c r="D43" i="145"/>
  <c r="C84" i="145"/>
  <c r="C21" i="145"/>
  <c r="D44" i="145"/>
  <c r="D21" i="145"/>
  <c r="D22" i="145"/>
  <c r="D34" i="145"/>
  <c r="D23" i="145"/>
  <c r="D26" i="145"/>
  <c r="D16" i="145"/>
  <c r="D80" i="145"/>
  <c r="D25" i="145"/>
  <c r="D18" i="145"/>
  <c r="C40" i="145"/>
  <c r="C66" i="145"/>
  <c r="C83" i="145"/>
  <c r="C52" i="145"/>
  <c r="C25" i="145"/>
  <c r="C29" i="145"/>
  <c r="C74" i="145"/>
  <c r="C65" i="145"/>
  <c r="C12" i="145"/>
  <c r="C22" i="145"/>
  <c r="C2" i="145"/>
  <c r="C48" i="145"/>
  <c r="C33" i="145"/>
  <c r="C30" i="145"/>
  <c r="C20" i="145"/>
  <c r="D27" i="145"/>
  <c r="C76" i="145"/>
  <c r="C17" i="145"/>
  <c r="D59" i="145"/>
  <c r="C79" i="145"/>
  <c r="D52" i="145"/>
  <c r="D29" i="145"/>
  <c r="D30" i="145"/>
  <c r="D42" i="145"/>
  <c r="D31" i="145"/>
  <c r="D58" i="145"/>
  <c r="D24" i="145"/>
  <c r="D10" i="145"/>
  <c r="D33" i="145"/>
  <c r="D50" i="145"/>
  <c r="C27" i="145"/>
  <c r="C31" i="145"/>
  <c r="C60" i="145"/>
  <c r="C37" i="145"/>
  <c r="C50" i="145"/>
  <c r="D47" i="145"/>
  <c r="C63" i="145"/>
  <c r="C13" i="145"/>
  <c r="D54" i="145"/>
  <c r="D57" i="145"/>
  <c r="C57" i="145"/>
  <c r="C10" i="145"/>
  <c r="D60" i="145"/>
  <c r="D37" i="145"/>
  <c r="D38" i="145"/>
  <c r="D74" i="145"/>
  <c r="D39" i="145"/>
  <c r="D82" i="145"/>
  <c r="D32" i="145"/>
  <c r="D66" i="145"/>
  <c r="D41" i="145"/>
  <c r="D3" i="145"/>
  <c r="C56" i="145"/>
  <c r="C35" i="145"/>
  <c r="C47" i="145"/>
  <c r="C68" i="145"/>
  <c r="C41" i="145"/>
  <c r="C45" i="145"/>
  <c r="C38" i="145"/>
  <c r="C82" i="145"/>
  <c r="C5" i="145"/>
  <c r="C9" i="145"/>
  <c r="D4" i="145"/>
  <c r="D68" i="145"/>
  <c r="D46" i="145"/>
  <c r="D19" i="145"/>
  <c r="C64" i="145"/>
  <c r="C53" i="145"/>
  <c r="D51" i="145"/>
  <c r="D75" i="145"/>
  <c r="C61" i="145"/>
  <c r="D20" i="145"/>
  <c r="D84" i="145"/>
  <c r="D61" i="145"/>
  <c r="D62" i="145"/>
  <c r="D67" i="145"/>
  <c r="D63" i="145"/>
  <c r="D83" i="145"/>
  <c r="D56" i="145"/>
  <c r="D69" i="145"/>
  <c r="D65" i="145"/>
  <c r="D2" i="145"/>
  <c r="C80" i="145"/>
  <c r="C59" i="145"/>
  <c r="C28" i="145"/>
  <c r="C39" i="145"/>
  <c r="C81" i="145"/>
  <c r="C69" i="145"/>
  <c r="C62" i="145"/>
  <c r="C11" i="145"/>
  <c r="C15" i="145"/>
  <c r="C18" i="145"/>
  <c r="D72" i="145"/>
  <c r="C44" i="145"/>
  <c r="C58" i="145"/>
  <c r="C4" i="145"/>
  <c r="C7" i="145"/>
  <c r="D11" i="145"/>
  <c r="D49" i="145"/>
  <c r="C49" i="145"/>
  <c r="D12" i="145"/>
  <c r="D55" i="145"/>
  <c r="C72" i="145"/>
  <c r="C54" i="145"/>
  <c r="D28" i="145"/>
  <c r="D5" i="145"/>
  <c r="D6" i="145"/>
  <c r="D70" i="145"/>
  <c r="D7" i="145"/>
  <c r="D71" i="145"/>
  <c r="D77" i="145"/>
  <c r="D64" i="145"/>
  <c r="D9" i="145"/>
  <c r="D73" i="145"/>
  <c r="C24" i="145"/>
  <c r="C73" i="145"/>
  <c r="C67" i="145"/>
  <c r="C36" i="145"/>
  <c r="C55" i="145"/>
  <c r="C34" i="145"/>
  <c r="C77" i="145"/>
  <c r="C70" i="145"/>
  <c r="C19" i="145"/>
  <c r="C6" i="145"/>
  <c r="C8" i="145"/>
  <c r="D17" i="145"/>
  <c r="C75" i="145"/>
  <c r="C78" i="145"/>
  <c r="C16" i="145"/>
  <c r="D45" i="145"/>
  <c r="C43" i="145"/>
  <c r="C23" i="145"/>
  <c r="D53" i="145"/>
  <c r="D48" i="145"/>
  <c r="C51" i="145"/>
  <c r="C3" i="145"/>
  <c r="C97" i="145" l="1"/>
  <c r="C102" i="145"/>
  <c r="C96" i="145"/>
  <c r="C103" i="145"/>
  <c r="C101" i="145"/>
  <c r="C95" i="145"/>
  <c r="C87" i="145"/>
  <c r="C92" i="145" s="1"/>
  <c r="C94" i="145"/>
  <c r="C88" i="145"/>
  <c r="C100" i="145"/>
  <c r="C91" i="145" l="1"/>
  <c r="C86" i="145"/>
  <c r="G4" i="143" l="1"/>
  <c r="AO116" i="105" l="1"/>
  <c r="AM116" i="105"/>
  <c r="AO115" i="105"/>
  <c r="AM115" i="105"/>
  <c r="AO114" i="105"/>
  <c r="AM114" i="105"/>
  <c r="AO113" i="105"/>
  <c r="AM113" i="105"/>
  <c r="AO112" i="105"/>
  <c r="AM112" i="105"/>
  <c r="AO111" i="105"/>
  <c r="AM111" i="105"/>
  <c r="AO110" i="105"/>
  <c r="AM110" i="105"/>
  <c r="AO109" i="105"/>
  <c r="AM109" i="105"/>
  <c r="AO108" i="105"/>
  <c r="AM108" i="105"/>
  <c r="AO107" i="105"/>
  <c r="AM107" i="105"/>
  <c r="AO106" i="105"/>
  <c r="AM106" i="105"/>
  <c r="AO105" i="105"/>
  <c r="AM105" i="105"/>
  <c r="AO104" i="105"/>
  <c r="AM104" i="105"/>
  <c r="AO103" i="105"/>
  <c r="AM103" i="105"/>
  <c r="AO102" i="105"/>
  <c r="AM102" i="105"/>
  <c r="AO101" i="105"/>
  <c r="AM101" i="105"/>
  <c r="AO100" i="105"/>
  <c r="AM100" i="105"/>
  <c r="AO99" i="105"/>
  <c r="AM99" i="105"/>
  <c r="AO98" i="105"/>
  <c r="AM98" i="105"/>
  <c r="AO97" i="105"/>
  <c r="AM97" i="105"/>
  <c r="AO96" i="105"/>
  <c r="AM96" i="105"/>
  <c r="AO95" i="105"/>
  <c r="AM95" i="105"/>
  <c r="D95" i="105"/>
  <c r="D96" i="105" s="1"/>
  <c r="D97" i="105" s="1"/>
  <c r="D98" i="105" s="1"/>
  <c r="D99" i="105" s="1"/>
  <c r="D100" i="105" s="1"/>
  <c r="D101" i="105" s="1"/>
  <c r="D102" i="105" s="1"/>
  <c r="D103" i="105" s="1"/>
  <c r="D104" i="105" s="1"/>
  <c r="D105" i="105" s="1"/>
  <c r="D106" i="105" s="1"/>
  <c r="D107" i="105" s="1"/>
  <c r="D108" i="105" s="1"/>
  <c r="D109" i="105" s="1"/>
  <c r="D110" i="105" s="1"/>
  <c r="D111" i="105" s="1"/>
  <c r="D112" i="105" s="1"/>
  <c r="D113" i="105" s="1"/>
  <c r="D114" i="105" s="1"/>
  <c r="D115" i="105" s="1"/>
  <c r="D116" i="105" s="1"/>
  <c r="AO94" i="105"/>
  <c r="AM94" i="105"/>
  <c r="J92" i="105"/>
  <c r="J93" i="105" s="1"/>
  <c r="AL90" i="105"/>
  <c r="AL92" i="105" s="1"/>
  <c r="AK90" i="105"/>
  <c r="AK92" i="105" s="1"/>
  <c r="AJ90" i="105"/>
  <c r="AJ92" i="105" s="1"/>
  <c r="AI90" i="105"/>
  <c r="AI92" i="105" s="1"/>
  <c r="AH90" i="105"/>
  <c r="AH92" i="105" s="1"/>
  <c r="AG90" i="105"/>
  <c r="AG92" i="105" s="1"/>
  <c r="AF90" i="105"/>
  <c r="AF92" i="105" s="1"/>
  <c r="AE90" i="105"/>
  <c r="AE92" i="105" s="1"/>
  <c r="AD90" i="105"/>
  <c r="AD92" i="105" s="1"/>
  <c r="AC90" i="105"/>
  <c r="AC92" i="105" s="1"/>
  <c r="AB90" i="105"/>
  <c r="AB92" i="105" s="1"/>
  <c r="AA90" i="105"/>
  <c r="AA92" i="105" s="1"/>
  <c r="Z90" i="105"/>
  <c r="Z92" i="105" s="1"/>
  <c r="Y90" i="105"/>
  <c r="Y92" i="105" s="1"/>
  <c r="X90" i="105"/>
  <c r="X92" i="105" s="1"/>
  <c r="W90" i="105"/>
  <c r="W92" i="105" s="1"/>
  <c r="V90" i="105"/>
  <c r="V92" i="105" s="1"/>
  <c r="U90" i="105"/>
  <c r="U92" i="105" s="1"/>
  <c r="T90" i="105"/>
  <c r="T92" i="105" s="1"/>
  <c r="S90" i="105"/>
  <c r="S92" i="105" s="1"/>
  <c r="R90" i="105"/>
  <c r="R92" i="105" s="1"/>
  <c r="Q90" i="105"/>
  <c r="Q92" i="105" s="1"/>
  <c r="P90" i="105"/>
  <c r="P92" i="105" s="1"/>
  <c r="O90" i="105"/>
  <c r="O92" i="105" s="1"/>
  <c r="N90" i="105"/>
  <c r="N92" i="105" s="1"/>
  <c r="M90" i="105"/>
  <c r="M92" i="105" s="1"/>
  <c r="L90" i="105"/>
  <c r="L92" i="105" s="1"/>
  <c r="K90" i="105"/>
  <c r="K92" i="105" s="1"/>
  <c r="I90" i="105"/>
  <c r="I92" i="105" s="1"/>
  <c r="H90" i="105"/>
  <c r="H92" i="105" s="1"/>
  <c r="G90" i="105"/>
  <c r="G92" i="105" s="1"/>
  <c r="AO88" i="105"/>
  <c r="AM88" i="105"/>
  <c r="AO87" i="105"/>
  <c r="AM87" i="105"/>
  <c r="AO86" i="105"/>
  <c r="AM86" i="105"/>
  <c r="AO85" i="105"/>
  <c r="AM85" i="105"/>
  <c r="AO84" i="105"/>
  <c r="AM84" i="105"/>
  <c r="AO83" i="105"/>
  <c r="AM83" i="105"/>
  <c r="AO82" i="105"/>
  <c r="AM82" i="105"/>
  <c r="AO81" i="105"/>
  <c r="AM81" i="105"/>
  <c r="AO80" i="105"/>
  <c r="AM80" i="105"/>
  <c r="AO79" i="105"/>
  <c r="AM79" i="105"/>
  <c r="AO78" i="105"/>
  <c r="AM78" i="105"/>
  <c r="AO77" i="105"/>
  <c r="AM77" i="105"/>
  <c r="AO76" i="105"/>
  <c r="AM76" i="105"/>
  <c r="AO75" i="105"/>
  <c r="AM75" i="105"/>
  <c r="AO74" i="105"/>
  <c r="AM74" i="105"/>
  <c r="AO73" i="105"/>
  <c r="AM73" i="105"/>
  <c r="AO72" i="105"/>
  <c r="AM72" i="105"/>
  <c r="AO71" i="105"/>
  <c r="AM71" i="105"/>
  <c r="AO70" i="105"/>
  <c r="AM70" i="105"/>
  <c r="AO69" i="105"/>
  <c r="AM69" i="105"/>
  <c r="AO68" i="105"/>
  <c r="AM68" i="105"/>
  <c r="D68" i="105"/>
  <c r="D69" i="105" s="1"/>
  <c r="D70" i="105" s="1"/>
  <c r="D71" i="105" s="1"/>
  <c r="D72" i="105" s="1"/>
  <c r="D73" i="105" s="1"/>
  <c r="D74" i="105" s="1"/>
  <c r="D75" i="105" s="1"/>
  <c r="D76" i="105" s="1"/>
  <c r="D77" i="105" s="1"/>
  <c r="D78" i="105" s="1"/>
  <c r="D79" i="105" s="1"/>
  <c r="D80" i="105" s="1"/>
  <c r="D81" i="105" s="1"/>
  <c r="D82" i="105" s="1"/>
  <c r="D83" i="105" s="1"/>
  <c r="D84" i="105" s="1"/>
  <c r="D85" i="105" s="1"/>
  <c r="D86" i="105" s="1"/>
  <c r="D87" i="105" s="1"/>
  <c r="D88" i="105" s="1"/>
  <c r="AO67" i="105"/>
  <c r="AM67" i="105"/>
  <c r="AL63" i="105"/>
  <c r="AL65" i="105" s="1"/>
  <c r="AK63" i="105"/>
  <c r="AK65" i="105" s="1"/>
  <c r="AJ63" i="105"/>
  <c r="AJ65" i="105" s="1"/>
  <c r="AI63" i="105"/>
  <c r="AI65" i="105" s="1"/>
  <c r="AH63" i="105"/>
  <c r="AH65" i="105" s="1"/>
  <c r="AG63" i="105"/>
  <c r="AG65" i="105" s="1"/>
  <c r="AF63" i="105"/>
  <c r="AF65" i="105" s="1"/>
  <c r="AE63" i="105"/>
  <c r="AE65" i="105" s="1"/>
  <c r="AD63" i="105"/>
  <c r="AD65" i="105" s="1"/>
  <c r="AC63" i="105"/>
  <c r="AC65" i="105" s="1"/>
  <c r="AB63" i="105"/>
  <c r="AB65" i="105" s="1"/>
  <c r="AA63" i="105"/>
  <c r="AA65" i="105" s="1"/>
  <c r="Z63" i="105"/>
  <c r="Z65" i="105" s="1"/>
  <c r="Y63" i="105"/>
  <c r="Y65" i="105" s="1"/>
  <c r="X63" i="105"/>
  <c r="X65" i="105" s="1"/>
  <c r="W63" i="105"/>
  <c r="W65" i="105" s="1"/>
  <c r="V63" i="105"/>
  <c r="V65" i="105" s="1"/>
  <c r="U63" i="105"/>
  <c r="U65" i="105" s="1"/>
  <c r="T63" i="105"/>
  <c r="T65" i="105" s="1"/>
  <c r="S63" i="105"/>
  <c r="S65" i="105" s="1"/>
  <c r="R63" i="105"/>
  <c r="R65" i="105" s="1"/>
  <c r="Q63" i="105"/>
  <c r="Q65" i="105" s="1"/>
  <c r="P63" i="105"/>
  <c r="P65" i="105" s="1"/>
  <c r="O63" i="105"/>
  <c r="O65" i="105" s="1"/>
  <c r="N63" i="105"/>
  <c r="N65" i="105" s="1"/>
  <c r="M63" i="105"/>
  <c r="M65" i="105" s="1"/>
  <c r="L63" i="105"/>
  <c r="L65" i="105" s="1"/>
  <c r="K63" i="105"/>
  <c r="K65" i="105" s="1"/>
  <c r="J63" i="105"/>
  <c r="J65" i="105" s="1"/>
  <c r="I63" i="105"/>
  <c r="I65" i="105" s="1"/>
  <c r="H63" i="105"/>
  <c r="H65" i="105" s="1"/>
  <c r="G63" i="105"/>
  <c r="G65" i="105" s="1"/>
  <c r="AO60" i="105"/>
  <c r="AM60" i="105"/>
  <c r="AO59" i="105"/>
  <c r="AM59" i="105"/>
  <c r="AO58" i="105"/>
  <c r="AM58" i="105"/>
  <c r="AO57" i="105"/>
  <c r="AM57" i="105"/>
  <c r="AO56" i="105"/>
  <c r="AM56" i="105"/>
  <c r="AO55" i="105"/>
  <c r="AM55" i="105"/>
  <c r="AO54" i="105"/>
  <c r="AM54" i="105"/>
  <c r="AO53" i="105"/>
  <c r="AM53" i="105"/>
  <c r="AO52" i="105"/>
  <c r="AM52" i="105"/>
  <c r="AO51" i="105"/>
  <c r="AM51" i="105"/>
  <c r="AO50" i="105"/>
  <c r="AM50" i="105"/>
  <c r="AO49" i="105"/>
  <c r="AM49" i="105"/>
  <c r="AO48" i="105"/>
  <c r="AM48" i="105"/>
  <c r="AO47" i="105"/>
  <c r="AM47" i="105"/>
  <c r="AO46" i="105"/>
  <c r="AM46" i="105"/>
  <c r="AO45" i="105"/>
  <c r="AM45" i="105"/>
  <c r="AO44" i="105"/>
  <c r="AM44" i="105"/>
  <c r="AO43" i="105"/>
  <c r="AM43" i="105"/>
  <c r="AO42" i="105"/>
  <c r="AM42" i="105"/>
  <c r="AO41" i="105"/>
  <c r="AM41" i="105"/>
  <c r="D41" i="105"/>
  <c r="D42" i="105" s="1"/>
  <c r="D43" i="105" s="1"/>
  <c r="D44" i="105" s="1"/>
  <c r="D45" i="105" s="1"/>
  <c r="D46" i="105" s="1"/>
  <c r="D47" i="105" s="1"/>
  <c r="D48" i="105" s="1"/>
  <c r="D49" i="105" s="1"/>
  <c r="D50" i="105" s="1"/>
  <c r="D51" i="105" s="1"/>
  <c r="D52" i="105" s="1"/>
  <c r="D53" i="105" s="1"/>
  <c r="D54" i="105" s="1"/>
  <c r="D55" i="105" s="1"/>
  <c r="D56" i="105" s="1"/>
  <c r="D57" i="105" s="1"/>
  <c r="D58" i="105" s="1"/>
  <c r="D59" i="105" s="1"/>
  <c r="D60" i="105" s="1"/>
  <c r="AO40" i="105"/>
  <c r="AM40" i="105"/>
  <c r="D40" i="105"/>
  <c r="AO39" i="105"/>
  <c r="AM39" i="105"/>
  <c r="AK37" i="105"/>
  <c r="AL36" i="105"/>
  <c r="AL37" i="105" s="1"/>
  <c r="AL38" i="105" s="1"/>
  <c r="AK36" i="105"/>
  <c r="AJ36" i="105"/>
  <c r="AJ37" i="105" s="1"/>
  <c r="AJ38" i="105" s="1"/>
  <c r="AI36" i="105"/>
  <c r="AI37" i="105" s="1"/>
  <c r="AI38" i="105" s="1"/>
  <c r="AH36" i="105"/>
  <c r="AH37" i="105" s="1"/>
  <c r="AH38" i="105" s="1"/>
  <c r="AG36" i="105"/>
  <c r="AG37" i="105" s="1"/>
  <c r="AG38" i="105" s="1"/>
  <c r="AF36" i="105"/>
  <c r="AF37" i="105" s="1"/>
  <c r="AF38" i="105" s="1"/>
  <c r="AE36" i="105"/>
  <c r="AE37" i="105" s="1"/>
  <c r="AE38" i="105" s="1"/>
  <c r="AD36" i="105"/>
  <c r="AD37" i="105" s="1"/>
  <c r="AD38" i="105" s="1"/>
  <c r="AC36" i="105"/>
  <c r="AC37" i="105" s="1"/>
  <c r="AC38" i="105" s="1"/>
  <c r="AB36" i="105"/>
  <c r="AB37" i="105" s="1"/>
  <c r="AB38" i="105" s="1"/>
  <c r="AA36" i="105"/>
  <c r="AA37" i="105" s="1"/>
  <c r="AA38" i="105" s="1"/>
  <c r="Z36" i="105"/>
  <c r="Z37" i="105" s="1"/>
  <c r="Z38" i="105" s="1"/>
  <c r="Y36" i="105"/>
  <c r="Y37" i="105" s="1"/>
  <c r="Y38" i="105" s="1"/>
  <c r="X36" i="105"/>
  <c r="X37" i="105" s="1"/>
  <c r="X38" i="105" s="1"/>
  <c r="W36" i="105"/>
  <c r="W37" i="105" s="1"/>
  <c r="W38" i="105" s="1"/>
  <c r="V36" i="105"/>
  <c r="V37" i="105" s="1"/>
  <c r="V38" i="105" s="1"/>
  <c r="U36" i="105"/>
  <c r="U37" i="105" s="1"/>
  <c r="U38" i="105" s="1"/>
  <c r="T36" i="105"/>
  <c r="T37" i="105" s="1"/>
  <c r="T38" i="105" s="1"/>
  <c r="S36" i="105"/>
  <c r="S37" i="105" s="1"/>
  <c r="S38" i="105" s="1"/>
  <c r="R36" i="105"/>
  <c r="R37" i="105" s="1"/>
  <c r="R38" i="105" s="1"/>
  <c r="Q36" i="105"/>
  <c r="Q37" i="105" s="1"/>
  <c r="Q38" i="105" s="1"/>
  <c r="P36" i="105"/>
  <c r="P37" i="105" s="1"/>
  <c r="P38" i="105" s="1"/>
  <c r="O36" i="105"/>
  <c r="O37" i="105" s="1"/>
  <c r="O38" i="105" s="1"/>
  <c r="N36" i="105"/>
  <c r="N37" i="105" s="1"/>
  <c r="N38" i="105" s="1"/>
  <c r="M36" i="105"/>
  <c r="M37" i="105" s="1"/>
  <c r="M38" i="105" s="1"/>
  <c r="L36" i="105"/>
  <c r="L37" i="105" s="1"/>
  <c r="L38" i="105" s="1"/>
  <c r="K36" i="105"/>
  <c r="K37" i="105" s="1"/>
  <c r="K38" i="105" s="1"/>
  <c r="J36" i="105"/>
  <c r="J37" i="105" s="1"/>
  <c r="J38" i="105" s="1"/>
  <c r="I36" i="105"/>
  <c r="I37" i="105" s="1"/>
  <c r="I38" i="105" s="1"/>
  <c r="H36" i="105"/>
  <c r="H37" i="105" s="1"/>
  <c r="H38" i="105" s="1"/>
  <c r="G36" i="105"/>
  <c r="G37" i="105" s="1"/>
  <c r="G38" i="105" s="1"/>
  <c r="AO33" i="105"/>
  <c r="AM33" i="105"/>
  <c r="AO32" i="105"/>
  <c r="AM32" i="105"/>
  <c r="AO31" i="105"/>
  <c r="AM31" i="105"/>
  <c r="AO30" i="105"/>
  <c r="AM30" i="105"/>
  <c r="AO29" i="105"/>
  <c r="AM29" i="105"/>
  <c r="AO28" i="105"/>
  <c r="AM28" i="105"/>
  <c r="AO27" i="105"/>
  <c r="AM27" i="105"/>
  <c r="AO26" i="105"/>
  <c r="AM26" i="105"/>
  <c r="AO25" i="105"/>
  <c r="AM25" i="105"/>
  <c r="AO24" i="105"/>
  <c r="AM24" i="105"/>
  <c r="AO23" i="105"/>
  <c r="AM23" i="105"/>
  <c r="AO22" i="105"/>
  <c r="AM22" i="105"/>
  <c r="AO21" i="105"/>
  <c r="AM21" i="105"/>
  <c r="AO20" i="105"/>
  <c r="AM20" i="105"/>
  <c r="AO19" i="105"/>
  <c r="AM19" i="105"/>
  <c r="AO18" i="105"/>
  <c r="AM18" i="105"/>
  <c r="AO17" i="105"/>
  <c r="AM17" i="105"/>
  <c r="AO16" i="105"/>
  <c r="AM16" i="105"/>
  <c r="AO15" i="105"/>
  <c r="AM15" i="105"/>
  <c r="AO14" i="105"/>
  <c r="AM14" i="105"/>
  <c r="AO13" i="105"/>
  <c r="AM13" i="105"/>
  <c r="AQ12" i="105"/>
  <c r="AU11" i="105" s="1"/>
  <c r="AO12" i="105"/>
  <c r="AM12" i="105"/>
  <c r="D12" i="105"/>
  <c r="AY11" i="105"/>
  <c r="AQ11" i="105"/>
  <c r="AS11" i="105" s="1"/>
  <c r="AO11" i="105"/>
  <c r="AM11" i="105"/>
  <c r="AQ10" i="105"/>
  <c r="AE10" i="105"/>
  <c r="W10" i="105"/>
  <c r="O10" i="105"/>
  <c r="G10" i="105"/>
  <c r="AU9" i="105"/>
  <c r="AS9" i="105"/>
  <c r="AQ9" i="105"/>
  <c r="AY9" i="105" s="1"/>
  <c r="AH9" i="105"/>
  <c r="AF9" i="105"/>
  <c r="AE9" i="105"/>
  <c r="Z9" i="105"/>
  <c r="X9" i="105"/>
  <c r="W9" i="105"/>
  <c r="R9" i="105"/>
  <c r="P9" i="105"/>
  <c r="O9" i="105"/>
  <c r="J9" i="105"/>
  <c r="H9" i="105"/>
  <c r="H8" i="105" s="1"/>
  <c r="G9" i="105"/>
  <c r="G8" i="105" s="1"/>
  <c r="B9" i="105"/>
  <c r="AQ8" i="105"/>
  <c r="AS8" i="105" s="1"/>
  <c r="AZ7" i="105"/>
  <c r="AS7" i="105"/>
  <c r="AQ7" i="105"/>
  <c r="AU7" i="105" s="1"/>
  <c r="AL7" i="105"/>
  <c r="AL9" i="105" s="1"/>
  <c r="AK7" i="105"/>
  <c r="AK9" i="105" s="1"/>
  <c r="AK8" i="105" s="1"/>
  <c r="AK10" i="105" s="1"/>
  <c r="AJ7" i="105"/>
  <c r="AJ9" i="105" s="1"/>
  <c r="AI7" i="105"/>
  <c r="AI9" i="105" s="1"/>
  <c r="AH7" i="105"/>
  <c r="AG7" i="105"/>
  <c r="AG9" i="105" s="1"/>
  <c r="AF7" i="105"/>
  <c r="AE7" i="105"/>
  <c r="AD7" i="105"/>
  <c r="AD9" i="105" s="1"/>
  <c r="AC7" i="105"/>
  <c r="AC9" i="105" s="1"/>
  <c r="AB7" i="105"/>
  <c r="AB9" i="105" s="1"/>
  <c r="AA7" i="105"/>
  <c r="AA9" i="105" s="1"/>
  <c r="Z7" i="105"/>
  <c r="Y7" i="105"/>
  <c r="Y9" i="105" s="1"/>
  <c r="X7" i="105"/>
  <c r="W7" i="105"/>
  <c r="V7" i="105"/>
  <c r="V9" i="105" s="1"/>
  <c r="U7" i="105"/>
  <c r="U9" i="105" s="1"/>
  <c r="T7" i="105"/>
  <c r="T9" i="105" s="1"/>
  <c r="S7" i="105"/>
  <c r="S9" i="105" s="1"/>
  <c r="R7" i="105"/>
  <c r="Q7" i="105"/>
  <c r="Q9" i="105" s="1"/>
  <c r="P7" i="105"/>
  <c r="O7" i="105"/>
  <c r="N7" i="105"/>
  <c r="N9" i="105" s="1"/>
  <c r="M7" i="105"/>
  <c r="M9" i="105" s="1"/>
  <c r="L7" i="105"/>
  <c r="L9" i="105" s="1"/>
  <c r="K7" i="105"/>
  <c r="K9" i="105" s="1"/>
  <c r="J7" i="105"/>
  <c r="I7" i="105"/>
  <c r="I9" i="105" s="1"/>
  <c r="H7" i="105"/>
  <c r="G7" i="105"/>
  <c r="AS6" i="105"/>
  <c r="AQ6" i="105"/>
  <c r="BA5" i="105"/>
  <c r="AX5" i="105" s="1"/>
  <c r="AY5" i="105"/>
  <c r="AU5" i="105"/>
  <c r="AS5" i="105"/>
  <c r="AT5" i="105" s="1"/>
  <c r="AQ5" i="105"/>
  <c r="B5" i="105"/>
  <c r="AK3" i="105"/>
  <c r="AJ3" i="105"/>
  <c r="I3" i="105"/>
  <c r="J3" i="105" s="1"/>
  <c r="H3" i="105"/>
  <c r="B2" i="105"/>
  <c r="F1" i="105"/>
  <c r="AJ100" i="140"/>
  <c r="AI100" i="140"/>
  <c r="AH100" i="140"/>
  <c r="AG100" i="140"/>
  <c r="AF100" i="140"/>
  <c r="AE100" i="140"/>
  <c r="AD100" i="140"/>
  <c r="AC100" i="140"/>
  <c r="AB100" i="140"/>
  <c r="AA100" i="140"/>
  <c r="Z100" i="140"/>
  <c r="Y100" i="140"/>
  <c r="X100" i="140"/>
  <c r="W100" i="140"/>
  <c r="V100" i="140"/>
  <c r="U100" i="140"/>
  <c r="T100" i="140"/>
  <c r="S100" i="140"/>
  <c r="R100" i="140"/>
  <c r="Q100" i="140"/>
  <c r="P100" i="140"/>
  <c r="O100" i="140"/>
  <c r="N100" i="140"/>
  <c r="M100" i="140"/>
  <c r="L100" i="140"/>
  <c r="K100" i="140"/>
  <c r="J100" i="140"/>
  <c r="I100" i="140"/>
  <c r="H100" i="140"/>
  <c r="G100" i="140"/>
  <c r="F100" i="140"/>
  <c r="AO99" i="140"/>
  <c r="AK99" i="140"/>
  <c r="AM99" i="140" s="1"/>
  <c r="AO98" i="140"/>
  <c r="AK98" i="140"/>
  <c r="AO97" i="140"/>
  <c r="AK97" i="140"/>
  <c r="AO96" i="140"/>
  <c r="AK96" i="140"/>
  <c r="AO95" i="140"/>
  <c r="AK95" i="140"/>
  <c r="AM95" i="140" s="1"/>
  <c r="AO94" i="140"/>
  <c r="AK94" i="140"/>
  <c r="AM94" i="140" s="1"/>
  <c r="AO93" i="140"/>
  <c r="AK93" i="140"/>
  <c r="AM93" i="140" s="1"/>
  <c r="AO92" i="140"/>
  <c r="AK92" i="140"/>
  <c r="AM92" i="140" s="1"/>
  <c r="AO91" i="140"/>
  <c r="AK91" i="140"/>
  <c r="AM91" i="140" s="1"/>
  <c r="AO90" i="140"/>
  <c r="AK90" i="140"/>
  <c r="AO89" i="140"/>
  <c r="AK89" i="140"/>
  <c r="AO88" i="140"/>
  <c r="AK88" i="140"/>
  <c r="AO87" i="140"/>
  <c r="AK87" i="140"/>
  <c r="AM87" i="140" s="1"/>
  <c r="AO86" i="140"/>
  <c r="AK86" i="140"/>
  <c r="AM86" i="140" s="1"/>
  <c r="AO85" i="140"/>
  <c r="AK85" i="140"/>
  <c r="AM85" i="140" s="1"/>
  <c r="AO84" i="140"/>
  <c r="AK84" i="140"/>
  <c r="AM84" i="140" s="1"/>
  <c r="AO83" i="140"/>
  <c r="AK83" i="140"/>
  <c r="AM83" i="140" s="1"/>
  <c r="AO82" i="140"/>
  <c r="AK82" i="140"/>
  <c r="AO81" i="140"/>
  <c r="AK81" i="140"/>
  <c r="AO80" i="140"/>
  <c r="AK80" i="140"/>
  <c r="AO79" i="140"/>
  <c r="AK79" i="140"/>
  <c r="AN77" i="140" s="1"/>
  <c r="AO78" i="140"/>
  <c r="AO77" i="140"/>
  <c r="AP100" i="140" s="1"/>
  <c r="AJ76" i="140"/>
  <c r="AI76" i="140"/>
  <c r="AH76" i="140"/>
  <c r="AG76" i="140"/>
  <c r="AF76" i="140"/>
  <c r="AE76" i="140"/>
  <c r="AD76" i="140"/>
  <c r="AC76" i="140"/>
  <c r="AB76" i="140"/>
  <c r="AA76" i="140"/>
  <c r="Z76" i="140"/>
  <c r="Y76" i="140"/>
  <c r="X76" i="140"/>
  <c r="W76" i="140"/>
  <c r="V76" i="140"/>
  <c r="U76" i="140"/>
  <c r="R76" i="140"/>
  <c r="N76" i="140"/>
  <c r="M76" i="140"/>
  <c r="L76" i="140"/>
  <c r="K76" i="140"/>
  <c r="J76" i="140"/>
  <c r="I76" i="140"/>
  <c r="H76" i="140"/>
  <c r="G76" i="140"/>
  <c r="F76" i="140"/>
  <c r="AO75" i="140"/>
  <c r="AK75" i="140"/>
  <c r="AM75" i="140" s="1"/>
  <c r="AO74" i="140"/>
  <c r="AK74" i="140"/>
  <c r="AM74" i="140" s="1"/>
  <c r="AO73" i="140"/>
  <c r="AK73" i="140"/>
  <c r="AM73" i="140" s="1"/>
  <c r="AO72" i="140"/>
  <c r="AK72" i="140"/>
  <c r="AO71" i="140"/>
  <c r="AK71" i="140"/>
  <c r="AO70" i="140"/>
  <c r="AK70" i="140"/>
  <c r="AO69" i="140"/>
  <c r="AK69" i="140"/>
  <c r="AO68" i="140"/>
  <c r="AK68" i="140"/>
  <c r="AO67" i="140"/>
  <c r="AK67" i="140"/>
  <c r="AM67" i="140" s="1"/>
  <c r="AO66" i="140"/>
  <c r="AK66" i="140"/>
  <c r="AM66" i="140" s="1"/>
  <c r="AO65" i="140"/>
  <c r="AK65" i="140"/>
  <c r="AM65" i="140" s="1"/>
  <c r="AO64" i="140"/>
  <c r="AK64" i="140"/>
  <c r="AN53" i="140" s="1"/>
  <c r="AO63" i="140"/>
  <c r="AK63" i="140"/>
  <c r="AO62" i="140"/>
  <c r="AK62" i="140"/>
  <c r="AO61" i="140"/>
  <c r="AK61" i="140"/>
  <c r="AO60" i="140"/>
  <c r="AM60" i="140"/>
  <c r="AK60" i="140"/>
  <c r="AO59" i="140"/>
  <c r="AK59" i="140"/>
  <c r="AM59" i="140" s="1"/>
  <c r="AO58" i="140"/>
  <c r="AP76" i="140" s="1"/>
  <c r="T76" i="140" s="1"/>
  <c r="AK58" i="140"/>
  <c r="AM58" i="140" s="1"/>
  <c r="A58" i="140"/>
  <c r="A59" i="140" s="1"/>
  <c r="A60" i="140" s="1"/>
  <c r="A61" i="140" s="1"/>
  <c r="A62" i="140" s="1"/>
  <c r="A63" i="140" s="1"/>
  <c r="A64" i="140" s="1"/>
  <c r="A65" i="140" s="1"/>
  <c r="A66" i="140" s="1"/>
  <c r="A67" i="140" s="1"/>
  <c r="A68" i="140" s="1"/>
  <c r="A69" i="140" s="1"/>
  <c r="A70" i="140" s="1"/>
  <c r="A71" i="140" s="1"/>
  <c r="A72" i="140" s="1"/>
  <c r="A73" i="140" s="1"/>
  <c r="A74" i="140" s="1"/>
  <c r="A75" i="140" s="1"/>
  <c r="AO57" i="140"/>
  <c r="AK57" i="140"/>
  <c r="A57" i="140"/>
  <c r="AO56" i="140"/>
  <c r="AL56" i="140"/>
  <c r="AK56" i="140"/>
  <c r="O76" i="140" s="1"/>
  <c r="A56" i="140"/>
  <c r="AO55" i="140"/>
  <c r="AL55" i="140"/>
  <c r="AK55" i="140"/>
  <c r="AO54" i="140"/>
  <c r="AK54" i="140"/>
  <c r="A54" i="140"/>
  <c r="AO53" i="140"/>
  <c r="AJ52" i="140"/>
  <c r="AI52" i="140"/>
  <c r="AH52" i="140"/>
  <c r="AG52" i="140"/>
  <c r="AF52" i="140"/>
  <c r="AE52" i="140"/>
  <c r="AD52" i="140"/>
  <c r="AC52" i="140"/>
  <c r="AB52" i="140"/>
  <c r="AA52" i="140"/>
  <c r="Z52" i="140"/>
  <c r="Y52" i="140"/>
  <c r="X52" i="140"/>
  <c r="W52" i="140"/>
  <c r="V52" i="140"/>
  <c r="U52" i="140"/>
  <c r="T52" i="140"/>
  <c r="S52" i="140"/>
  <c r="R52" i="140"/>
  <c r="Q52" i="140"/>
  <c r="P52" i="140"/>
  <c r="O52" i="140"/>
  <c r="N52" i="140"/>
  <c r="M52" i="140"/>
  <c r="L52" i="140"/>
  <c r="K52" i="140"/>
  <c r="J52" i="140"/>
  <c r="I52" i="140"/>
  <c r="H52" i="140"/>
  <c r="G52" i="140"/>
  <c r="F52" i="140"/>
  <c r="AO51" i="140"/>
  <c r="AK51" i="140"/>
  <c r="AM51" i="140" s="1"/>
  <c r="AO50" i="140"/>
  <c r="AK50" i="140"/>
  <c r="AO49" i="140"/>
  <c r="AK49" i="140"/>
  <c r="AM49" i="140" s="1"/>
  <c r="AO48" i="140"/>
  <c r="AK48" i="140"/>
  <c r="AO47" i="140"/>
  <c r="AK47" i="140"/>
  <c r="AM47" i="140" s="1"/>
  <c r="AO46" i="140"/>
  <c r="AK46" i="140"/>
  <c r="AM46" i="140" s="1"/>
  <c r="AO45" i="140"/>
  <c r="AK45" i="140"/>
  <c r="AM45" i="140" s="1"/>
  <c r="AO44" i="140"/>
  <c r="AK44" i="140"/>
  <c r="AM44" i="140" s="1"/>
  <c r="AO43" i="140"/>
  <c r="AK43" i="140"/>
  <c r="AM43" i="140" s="1"/>
  <c r="AO42" i="140"/>
  <c r="AK42" i="140"/>
  <c r="AM42" i="140" s="1"/>
  <c r="AO41" i="140"/>
  <c r="AK41" i="140"/>
  <c r="AM41" i="140" s="1"/>
  <c r="AO40" i="140"/>
  <c r="AK40" i="140"/>
  <c r="AM40" i="140" s="1"/>
  <c r="AO39" i="140"/>
  <c r="AK39" i="140"/>
  <c r="AM39" i="140" s="1"/>
  <c r="AO38" i="140"/>
  <c r="AK38" i="140"/>
  <c r="AM38" i="140" s="1"/>
  <c r="AO37" i="140"/>
  <c r="AK37" i="140"/>
  <c r="AM37" i="140" s="1"/>
  <c r="AO36" i="140"/>
  <c r="AK36" i="140"/>
  <c r="AM36" i="140" s="1"/>
  <c r="AO35" i="140"/>
  <c r="AK35" i="140"/>
  <c r="AM35" i="140" s="1"/>
  <c r="AO34" i="140"/>
  <c r="AK34" i="140"/>
  <c r="AM34" i="140" s="1"/>
  <c r="AO33" i="140"/>
  <c r="AK33" i="140"/>
  <c r="AM33" i="140" s="1"/>
  <c r="AO32" i="140"/>
  <c r="AK32" i="140"/>
  <c r="AM32" i="140" s="1"/>
  <c r="AO31" i="140"/>
  <c r="AL31" i="140"/>
  <c r="AL32" i="140" s="1"/>
  <c r="AL33" i="140" s="1"/>
  <c r="AL34" i="140" s="1"/>
  <c r="AL35" i="140" s="1"/>
  <c r="AL36" i="140" s="1"/>
  <c r="AL37" i="140" s="1"/>
  <c r="AL38" i="140" s="1"/>
  <c r="AL39" i="140" s="1"/>
  <c r="AK31" i="140"/>
  <c r="AM31" i="140" s="1"/>
  <c r="AO30" i="140"/>
  <c r="AL30" i="140"/>
  <c r="AK30" i="140"/>
  <c r="AM30" i="140" s="1"/>
  <c r="AO29" i="140"/>
  <c r="AK29" i="140"/>
  <c r="AM29" i="140" s="1"/>
  <c r="AO28" i="140"/>
  <c r="AP52" i="140" s="1"/>
  <c r="AO27" i="140"/>
  <c r="AJ26" i="140"/>
  <c r="AI26" i="140"/>
  <c r="AH26" i="140"/>
  <c r="AG26" i="140"/>
  <c r="AF26" i="140"/>
  <c r="AE26" i="140"/>
  <c r="AD26" i="140"/>
  <c r="AC26" i="140"/>
  <c r="AB26" i="140"/>
  <c r="AA26" i="140"/>
  <c r="Z26" i="140"/>
  <c r="Y26" i="140"/>
  <c r="X26" i="140"/>
  <c r="W26" i="140"/>
  <c r="V26" i="140"/>
  <c r="U26" i="140"/>
  <c r="R26" i="140"/>
  <c r="N26" i="140"/>
  <c r="M26" i="140"/>
  <c r="L26" i="140"/>
  <c r="K26" i="140"/>
  <c r="J26" i="140"/>
  <c r="I26" i="140"/>
  <c r="H26" i="140"/>
  <c r="G26" i="140"/>
  <c r="F26" i="140"/>
  <c r="AO25" i="140"/>
  <c r="AK25" i="140"/>
  <c r="AO24" i="140"/>
  <c r="AK24" i="140"/>
  <c r="AO23" i="140"/>
  <c r="AK23" i="140"/>
  <c r="AO22" i="140"/>
  <c r="AK22" i="140"/>
  <c r="AO21" i="140"/>
  <c r="AK21" i="140"/>
  <c r="AO20" i="140"/>
  <c r="AK20" i="140"/>
  <c r="AO19" i="140"/>
  <c r="AK19" i="140"/>
  <c r="AO18" i="140"/>
  <c r="AK18" i="140"/>
  <c r="AO17" i="140"/>
  <c r="AL17" i="140"/>
  <c r="AL18" i="140" s="1"/>
  <c r="AL19" i="140" s="1"/>
  <c r="AL20" i="140" s="1"/>
  <c r="AL21" i="140" s="1"/>
  <c r="AL22" i="140" s="1"/>
  <c r="AL23" i="140" s="1"/>
  <c r="AL24" i="140" s="1"/>
  <c r="AL25" i="140" s="1"/>
  <c r="AK17" i="140"/>
  <c r="AO16" i="140"/>
  <c r="AL16" i="140"/>
  <c r="AK16" i="140"/>
  <c r="AO15" i="140"/>
  <c r="AK15" i="140"/>
  <c r="AO14" i="140"/>
  <c r="AK14" i="140"/>
  <c r="AO13" i="140"/>
  <c r="AK13" i="140"/>
  <c r="AM13" i="140" s="1"/>
  <c r="AO12" i="140"/>
  <c r="AK12" i="140"/>
  <c r="AO11" i="140"/>
  <c r="AK11" i="140"/>
  <c r="AO10" i="140"/>
  <c r="AK10" i="140"/>
  <c r="AM10" i="140" s="1"/>
  <c r="AO9" i="140"/>
  <c r="AL9" i="140"/>
  <c r="AK9" i="140"/>
  <c r="AO8" i="140"/>
  <c r="AL8" i="140"/>
  <c r="AK8" i="140"/>
  <c r="AO7" i="140"/>
  <c r="AL7" i="140"/>
  <c r="AK7" i="140"/>
  <c r="AM7" i="140" s="1"/>
  <c r="AO6" i="140"/>
  <c r="S26" i="140" s="1"/>
  <c r="AL6" i="140"/>
  <c r="AK6" i="140"/>
  <c r="AM6" i="140" s="1"/>
  <c r="AO5" i="140"/>
  <c r="AK5" i="140"/>
  <c r="AM97" i="140" s="1"/>
  <c r="A5" i="140"/>
  <c r="A6" i="140" s="1"/>
  <c r="A7" i="140" s="1"/>
  <c r="A8" i="140" s="1"/>
  <c r="A9" i="140" s="1"/>
  <c r="A10" i="140" s="1"/>
  <c r="A11" i="140" s="1"/>
  <c r="A12" i="140" s="1"/>
  <c r="A13" i="140" s="1"/>
  <c r="AO4" i="140"/>
  <c r="AP26" i="140" s="1"/>
  <c r="T26" i="140" s="1"/>
  <c r="AJ3" i="140"/>
  <c r="AI3" i="140"/>
  <c r="AH3" i="140"/>
  <c r="AG3" i="140"/>
  <c r="AF3" i="140"/>
  <c r="AE3" i="140"/>
  <c r="AD3" i="140"/>
  <c r="AC3" i="140"/>
  <c r="AB3" i="140"/>
  <c r="AA3" i="140"/>
  <c r="Z3" i="140"/>
  <c r="Y3" i="140"/>
  <c r="X3" i="140"/>
  <c r="W3" i="140"/>
  <c r="V3" i="140"/>
  <c r="U3" i="140"/>
  <c r="T3" i="140"/>
  <c r="S3" i="140"/>
  <c r="R3" i="140"/>
  <c r="Q3" i="140"/>
  <c r="P3" i="140"/>
  <c r="O3" i="140"/>
  <c r="N3" i="140"/>
  <c r="M3" i="140"/>
  <c r="L3" i="140"/>
  <c r="K3" i="140"/>
  <c r="J3" i="140"/>
  <c r="I3" i="140"/>
  <c r="H3" i="140"/>
  <c r="G3" i="140"/>
  <c r="F3" i="140"/>
  <c r="C3" i="140"/>
  <c r="G49" i="137"/>
  <c r="F49" i="137"/>
  <c r="D49" i="137"/>
  <c r="H48" i="137"/>
  <c r="I48" i="137" s="1"/>
  <c r="G48" i="137"/>
  <c r="N47" i="137"/>
  <c r="M47" i="137"/>
  <c r="L47" i="137"/>
  <c r="K47" i="137"/>
  <c r="J47" i="137"/>
  <c r="I47" i="137"/>
  <c r="H47" i="137"/>
  <c r="H49" i="137" s="1"/>
  <c r="G47" i="137"/>
  <c r="F47" i="137"/>
  <c r="E47" i="137"/>
  <c r="E49" i="137" s="1"/>
  <c r="D47" i="137"/>
  <c r="C47" i="137"/>
  <c r="C49" i="137" s="1"/>
  <c r="AP36" i="137"/>
  <c r="AN36" i="137"/>
  <c r="AK36" i="137"/>
  <c r="AI36" i="137"/>
  <c r="AH36" i="137"/>
  <c r="AF36" i="137"/>
  <c r="AP34" i="137"/>
  <c r="AO34" i="137"/>
  <c r="AO36" i="137" s="1"/>
  <c r="AN34" i="137"/>
  <c r="AM34" i="137"/>
  <c r="AM36" i="137" s="1"/>
  <c r="AL34" i="137"/>
  <c r="AL36" i="137" s="1"/>
  <c r="AK34" i="137"/>
  <c r="AJ34" i="137"/>
  <c r="AJ36" i="137" s="1"/>
  <c r="AI34" i="137"/>
  <c r="AH34" i="137"/>
  <c r="AG34" i="137"/>
  <c r="AG36" i="137" s="1"/>
  <c r="AF34" i="137"/>
  <c r="AE34" i="137"/>
  <c r="AE36" i="137" s="1"/>
  <c r="AB10" i="137"/>
  <c r="AA10" i="137"/>
  <c r="Z10" i="137"/>
  <c r="Y10" i="137"/>
  <c r="X10" i="137"/>
  <c r="W10" i="137"/>
  <c r="V10" i="137"/>
  <c r="U10" i="137"/>
  <c r="T10" i="137"/>
  <c r="S10" i="137"/>
  <c r="R10" i="137"/>
  <c r="Q10" i="137"/>
  <c r="N10" i="137"/>
  <c r="M10" i="137"/>
  <c r="L10" i="137"/>
  <c r="K10" i="137"/>
  <c r="J10" i="137"/>
  <c r="I10" i="137"/>
  <c r="H10" i="137"/>
  <c r="G10" i="137"/>
  <c r="F10" i="137"/>
  <c r="E10" i="137"/>
  <c r="D10" i="137"/>
  <c r="C10" i="137"/>
  <c r="P9" i="137"/>
  <c r="AP8" i="137"/>
  <c r="AO8" i="137"/>
  <c r="AN8" i="137"/>
  <c r="AL8" i="137"/>
  <c r="AK8" i="137"/>
  <c r="AJ8" i="137"/>
  <c r="AI8" i="137"/>
  <c r="AH8" i="137"/>
  <c r="AG8" i="137"/>
  <c r="AF8" i="137"/>
  <c r="AE8" i="137"/>
  <c r="P8" i="137"/>
  <c r="P7" i="137"/>
  <c r="P6" i="137"/>
  <c r="E7" i="136"/>
  <c r="D7" i="136"/>
  <c r="C7" i="136"/>
  <c r="E6" i="136"/>
  <c r="D6" i="136"/>
  <c r="C6" i="136"/>
  <c r="E5" i="136"/>
  <c r="D5" i="136"/>
  <c r="C5" i="136"/>
  <c r="E4" i="136"/>
  <c r="D4" i="136"/>
  <c r="C4" i="136"/>
  <c r="N55" i="141"/>
  <c r="M55" i="141"/>
  <c r="L55" i="141"/>
  <c r="K55" i="141"/>
  <c r="J55" i="141"/>
  <c r="I55" i="141"/>
  <c r="H55" i="141"/>
  <c r="G55" i="141"/>
  <c r="F55" i="141"/>
  <c r="E55" i="141"/>
  <c r="D55" i="141"/>
  <c r="C55" i="141"/>
  <c r="AN36" i="141"/>
  <c r="AL36" i="141"/>
  <c r="AK36" i="141"/>
  <c r="AI36" i="141"/>
  <c r="AF36" i="141"/>
  <c r="AP34" i="141"/>
  <c r="AP36" i="141" s="1"/>
  <c r="AO34" i="141"/>
  <c r="AO36" i="141" s="1"/>
  <c r="AN34" i="141"/>
  <c r="AM34" i="141"/>
  <c r="AM36" i="141" s="1"/>
  <c r="AL34" i="141"/>
  <c r="AK34" i="141"/>
  <c r="AJ34" i="141"/>
  <c r="AJ36" i="141" s="1"/>
  <c r="AI34" i="141"/>
  <c r="AH34" i="141"/>
  <c r="AH36" i="141" s="1"/>
  <c r="AG34" i="141"/>
  <c r="AG36" i="141" s="1"/>
  <c r="AF34" i="141"/>
  <c r="AE34" i="141"/>
  <c r="AE36" i="141" s="1"/>
  <c r="AB10" i="141"/>
  <c r="AA10" i="141"/>
  <c r="Z10" i="141"/>
  <c r="Y10" i="141"/>
  <c r="X10" i="141"/>
  <c r="W10" i="141"/>
  <c r="V10" i="141"/>
  <c r="U10" i="141"/>
  <c r="T10" i="141"/>
  <c r="S10" i="141"/>
  <c r="R10" i="141"/>
  <c r="Q10" i="141"/>
  <c r="N10" i="141"/>
  <c r="M10" i="141"/>
  <c r="L10" i="141"/>
  <c r="K10" i="141"/>
  <c r="J10" i="141"/>
  <c r="I10" i="141"/>
  <c r="H10" i="141"/>
  <c r="G10" i="141"/>
  <c r="F10" i="141"/>
  <c r="E10" i="141"/>
  <c r="D10" i="141"/>
  <c r="C10" i="141"/>
  <c r="P9" i="141"/>
  <c r="AP8" i="141"/>
  <c r="AO8" i="141"/>
  <c r="AN8" i="141"/>
  <c r="AL8" i="141"/>
  <c r="AK8" i="141"/>
  <c r="AJ8" i="141"/>
  <c r="AI8" i="141"/>
  <c r="AH8" i="141"/>
  <c r="AG8" i="141"/>
  <c r="AF8" i="141"/>
  <c r="AE8" i="141"/>
  <c r="P8" i="141"/>
  <c r="P7" i="141"/>
  <c r="P6" i="141"/>
  <c r="AJ106" i="143"/>
  <c r="AJ105" i="143"/>
  <c r="AJ104" i="143"/>
  <c r="AJ103" i="143"/>
  <c r="AJ102" i="143"/>
  <c r="AJ101" i="143"/>
  <c r="AJ100" i="143"/>
  <c r="AJ99" i="143"/>
  <c r="AJ98" i="143"/>
  <c r="AJ97" i="143"/>
  <c r="AJ96" i="143"/>
  <c r="AJ95" i="143"/>
  <c r="AJ94" i="143"/>
  <c r="AJ93" i="143"/>
  <c r="AJ92" i="143"/>
  <c r="AJ91" i="143"/>
  <c r="AJ90" i="143"/>
  <c r="AJ89" i="143"/>
  <c r="AJ88" i="143"/>
  <c r="AJ87" i="143"/>
  <c r="AJ86" i="143"/>
  <c r="D86" i="143"/>
  <c r="D87" i="143" s="1"/>
  <c r="D88" i="143" s="1"/>
  <c r="D89" i="143" s="1"/>
  <c r="D90" i="143" s="1"/>
  <c r="D91" i="143" s="1"/>
  <c r="D92" i="143" s="1"/>
  <c r="D93" i="143" s="1"/>
  <c r="D94" i="143" s="1"/>
  <c r="D95" i="143" s="1"/>
  <c r="D96" i="143" s="1"/>
  <c r="D97" i="143" s="1"/>
  <c r="D98" i="143" s="1"/>
  <c r="D99" i="143" s="1"/>
  <c r="D100" i="143" s="1"/>
  <c r="D101" i="143" s="1"/>
  <c r="D102" i="143" s="1"/>
  <c r="D103" i="143" s="1"/>
  <c r="D104" i="143" s="1"/>
  <c r="D105" i="143" s="1"/>
  <c r="D106" i="143" s="1"/>
  <c r="AJ85" i="143"/>
  <c r="AJ82" i="143"/>
  <c r="AJ81" i="143"/>
  <c r="AJ80" i="143"/>
  <c r="AJ79" i="143"/>
  <c r="AJ78" i="143"/>
  <c r="AJ77" i="143"/>
  <c r="AJ76" i="143"/>
  <c r="AJ75" i="143"/>
  <c r="AJ74" i="143"/>
  <c r="AJ73" i="143"/>
  <c r="AJ72" i="143"/>
  <c r="AJ71" i="143"/>
  <c r="AJ70" i="143"/>
  <c r="AJ69" i="143"/>
  <c r="AJ68" i="143"/>
  <c r="AJ67" i="143"/>
  <c r="AJ66" i="143"/>
  <c r="AJ65" i="143"/>
  <c r="AJ64" i="143"/>
  <c r="AJ63" i="143"/>
  <c r="D63" i="143"/>
  <c r="D64" i="143" s="1"/>
  <c r="D65" i="143" s="1"/>
  <c r="D66" i="143" s="1"/>
  <c r="D67" i="143" s="1"/>
  <c r="D68" i="143" s="1"/>
  <c r="D69" i="143" s="1"/>
  <c r="D70" i="143" s="1"/>
  <c r="D71" i="143" s="1"/>
  <c r="D72" i="143" s="1"/>
  <c r="D73" i="143" s="1"/>
  <c r="D74" i="143" s="1"/>
  <c r="D75" i="143" s="1"/>
  <c r="D76" i="143" s="1"/>
  <c r="D77" i="143" s="1"/>
  <c r="D78" i="143" s="1"/>
  <c r="D79" i="143" s="1"/>
  <c r="D80" i="143" s="1"/>
  <c r="D81" i="143" s="1"/>
  <c r="D82" i="143" s="1"/>
  <c r="AJ62" i="143"/>
  <c r="AJ56" i="143"/>
  <c r="AJ55" i="143"/>
  <c r="AJ54" i="143"/>
  <c r="AJ53" i="143"/>
  <c r="AJ52" i="143"/>
  <c r="AJ51" i="143"/>
  <c r="AJ50" i="143"/>
  <c r="AJ49" i="143"/>
  <c r="AJ48" i="143"/>
  <c r="AJ47" i="143"/>
  <c r="AJ46" i="143"/>
  <c r="AJ45" i="143"/>
  <c r="AJ44" i="143"/>
  <c r="AJ43" i="143"/>
  <c r="AJ42" i="143"/>
  <c r="AJ41" i="143"/>
  <c r="AJ40" i="143"/>
  <c r="AJ39" i="143"/>
  <c r="AJ38" i="143"/>
  <c r="AJ37" i="143"/>
  <c r="AJ36" i="143"/>
  <c r="D36" i="143"/>
  <c r="D37" i="143" s="1"/>
  <c r="D38" i="143" s="1"/>
  <c r="D39" i="143" s="1"/>
  <c r="D40" i="143" s="1"/>
  <c r="D41" i="143" s="1"/>
  <c r="D42" i="143" s="1"/>
  <c r="D43" i="143" s="1"/>
  <c r="D44" i="143" s="1"/>
  <c r="D45" i="143" s="1"/>
  <c r="D46" i="143" s="1"/>
  <c r="D47" i="143" s="1"/>
  <c r="D48" i="143" s="1"/>
  <c r="D49" i="143" s="1"/>
  <c r="D50" i="143" s="1"/>
  <c r="D51" i="143" s="1"/>
  <c r="D52" i="143" s="1"/>
  <c r="D53" i="143" s="1"/>
  <c r="D54" i="143" s="1"/>
  <c r="D55" i="143" s="1"/>
  <c r="AJ35" i="143"/>
  <c r="D35" i="143"/>
  <c r="AJ34" i="143"/>
  <c r="AJ27" i="143"/>
  <c r="AJ26" i="143"/>
  <c r="AJ25" i="143"/>
  <c r="AJ24" i="143"/>
  <c r="AJ23" i="143"/>
  <c r="AJ22" i="143"/>
  <c r="AJ21" i="143"/>
  <c r="AJ20" i="143"/>
  <c r="AJ19" i="143"/>
  <c r="AJ18" i="143"/>
  <c r="AJ17" i="143"/>
  <c r="AJ16" i="143"/>
  <c r="AJ15" i="143"/>
  <c r="AJ14" i="143"/>
  <c r="AJ13" i="143"/>
  <c r="AJ12" i="143"/>
  <c r="AJ11" i="143"/>
  <c r="AJ10" i="143"/>
  <c r="AJ9" i="143"/>
  <c r="AJ8" i="143"/>
  <c r="D8" i="143"/>
  <c r="D9" i="143" s="1"/>
  <c r="D10" i="143" s="1"/>
  <c r="D11" i="143" s="1"/>
  <c r="D12" i="143" s="1"/>
  <c r="D13" i="143" s="1"/>
  <c r="D14" i="143" s="1"/>
  <c r="D15" i="143" s="1"/>
  <c r="D16" i="143" s="1"/>
  <c r="D17" i="143" s="1"/>
  <c r="D18" i="143" s="1"/>
  <c r="D19" i="143" s="1"/>
  <c r="D20" i="143" s="1"/>
  <c r="D21" i="143" s="1"/>
  <c r="D22" i="143" s="1"/>
  <c r="D23" i="143" s="1"/>
  <c r="D24" i="143" s="1"/>
  <c r="D25" i="143" s="1"/>
  <c r="D26" i="143" s="1"/>
  <c r="D27" i="143" s="1"/>
  <c r="AJ7" i="143"/>
  <c r="D7" i="143"/>
  <c r="AJ6" i="143"/>
  <c r="H3" i="143"/>
  <c r="F1" i="143"/>
  <c r="AM106" i="133"/>
  <c r="AM105" i="133"/>
  <c r="AM104" i="133"/>
  <c r="AM103" i="133"/>
  <c r="AM102" i="133"/>
  <c r="AM101" i="133"/>
  <c r="AM100" i="133"/>
  <c r="AM99" i="133"/>
  <c r="AM98" i="133"/>
  <c r="AM97" i="133"/>
  <c r="AM96" i="133"/>
  <c r="AM95" i="133"/>
  <c r="AM94" i="133"/>
  <c r="AM93" i="133"/>
  <c r="AM92" i="133"/>
  <c r="AM91" i="133"/>
  <c r="AM90" i="133"/>
  <c r="AM89" i="133"/>
  <c r="AM88" i="133"/>
  <c r="AM87" i="133"/>
  <c r="AN85" i="133" s="1"/>
  <c r="B7" i="136" s="1"/>
  <c r="AM86" i="133"/>
  <c r="D86" i="133"/>
  <c r="D87" i="133" s="1"/>
  <c r="D88" i="133" s="1"/>
  <c r="D89" i="133" s="1"/>
  <c r="D90" i="133" s="1"/>
  <c r="D91" i="133" s="1"/>
  <c r="D92" i="133" s="1"/>
  <c r="D93" i="133" s="1"/>
  <c r="D94" i="133" s="1"/>
  <c r="D95" i="133" s="1"/>
  <c r="D96" i="133" s="1"/>
  <c r="D97" i="133" s="1"/>
  <c r="D98" i="133" s="1"/>
  <c r="D99" i="133" s="1"/>
  <c r="D100" i="133" s="1"/>
  <c r="D101" i="133" s="1"/>
  <c r="D102" i="133" s="1"/>
  <c r="D103" i="133" s="1"/>
  <c r="D104" i="133" s="1"/>
  <c r="D105" i="133" s="1"/>
  <c r="D106" i="133" s="1"/>
  <c r="AM85" i="133"/>
  <c r="AM82" i="133"/>
  <c r="AM81" i="133"/>
  <c r="AM80" i="133"/>
  <c r="AM79" i="133"/>
  <c r="AM78" i="133"/>
  <c r="AM77" i="133"/>
  <c r="AM76" i="133"/>
  <c r="AM75" i="133"/>
  <c r="AM74" i="133"/>
  <c r="AM73" i="133"/>
  <c r="AM72" i="133"/>
  <c r="AM71" i="133"/>
  <c r="AM70" i="133"/>
  <c r="AM69" i="133"/>
  <c r="AM68" i="133"/>
  <c r="AM67" i="133"/>
  <c r="AM66" i="133"/>
  <c r="AM65" i="133"/>
  <c r="AM64" i="133"/>
  <c r="AM63" i="133"/>
  <c r="D63" i="133"/>
  <c r="D64" i="133" s="1"/>
  <c r="D65" i="133" s="1"/>
  <c r="D66" i="133" s="1"/>
  <c r="D67" i="133" s="1"/>
  <c r="D68" i="133" s="1"/>
  <c r="D69" i="133" s="1"/>
  <c r="D70" i="133" s="1"/>
  <c r="D71" i="133" s="1"/>
  <c r="D72" i="133" s="1"/>
  <c r="D73" i="133" s="1"/>
  <c r="D74" i="133" s="1"/>
  <c r="D75" i="133" s="1"/>
  <c r="D76" i="133" s="1"/>
  <c r="D77" i="133" s="1"/>
  <c r="D78" i="133" s="1"/>
  <c r="D79" i="133" s="1"/>
  <c r="D80" i="133" s="1"/>
  <c r="D81" i="133" s="1"/>
  <c r="D82" i="133" s="1"/>
  <c r="AM62" i="133"/>
  <c r="AN62" i="133" s="1"/>
  <c r="B6" i="136" s="1"/>
  <c r="AM56" i="133"/>
  <c r="AM55" i="133"/>
  <c r="AM54" i="133"/>
  <c r="AM53" i="133"/>
  <c r="AM52" i="133"/>
  <c r="AM51" i="133"/>
  <c r="AM50" i="133"/>
  <c r="AM49" i="133"/>
  <c r="AM48" i="133"/>
  <c r="AM47" i="133"/>
  <c r="AM46" i="133"/>
  <c r="AM45" i="133"/>
  <c r="AM44" i="133"/>
  <c r="AM43" i="133"/>
  <c r="AM42" i="133"/>
  <c r="AM41" i="133"/>
  <c r="AM40" i="133"/>
  <c r="AM39" i="133"/>
  <c r="AM38" i="133"/>
  <c r="AM37" i="133"/>
  <c r="AM36" i="133"/>
  <c r="D36" i="133"/>
  <c r="D37" i="133" s="1"/>
  <c r="D38" i="133" s="1"/>
  <c r="D39" i="133" s="1"/>
  <c r="D40" i="133" s="1"/>
  <c r="D41" i="133" s="1"/>
  <c r="D42" i="133" s="1"/>
  <c r="D43" i="133" s="1"/>
  <c r="D44" i="133" s="1"/>
  <c r="D45" i="133" s="1"/>
  <c r="D46" i="133" s="1"/>
  <c r="D47" i="133" s="1"/>
  <c r="D48" i="133" s="1"/>
  <c r="D49" i="133" s="1"/>
  <c r="D50" i="133" s="1"/>
  <c r="D51" i="133" s="1"/>
  <c r="D52" i="133" s="1"/>
  <c r="D53" i="133" s="1"/>
  <c r="D54" i="133" s="1"/>
  <c r="D55" i="133" s="1"/>
  <c r="AM35" i="133"/>
  <c r="D35" i="133"/>
  <c r="AM34" i="133"/>
  <c r="AN34" i="133" s="1"/>
  <c r="B5" i="136" s="1"/>
  <c r="AM27" i="133"/>
  <c r="AM26" i="133"/>
  <c r="AM25" i="133"/>
  <c r="AM24" i="133"/>
  <c r="AM23" i="133"/>
  <c r="AM22" i="133"/>
  <c r="AM21" i="133"/>
  <c r="AM20" i="133"/>
  <c r="AM19" i="133"/>
  <c r="AM18" i="133"/>
  <c r="AM17" i="133"/>
  <c r="AM16" i="133"/>
  <c r="AM15" i="133"/>
  <c r="AM14" i="133"/>
  <c r="AM13" i="133"/>
  <c r="AM12" i="133"/>
  <c r="AM11" i="133"/>
  <c r="AM10" i="133"/>
  <c r="AM9" i="133"/>
  <c r="AM8" i="133"/>
  <c r="D8" i="133"/>
  <c r="D9" i="133" s="1"/>
  <c r="D10" i="133" s="1"/>
  <c r="D11" i="133" s="1"/>
  <c r="D12" i="133" s="1"/>
  <c r="D13" i="133" s="1"/>
  <c r="D14" i="133" s="1"/>
  <c r="D15" i="133" s="1"/>
  <c r="D16" i="133" s="1"/>
  <c r="D17" i="133" s="1"/>
  <c r="D18" i="133" s="1"/>
  <c r="D19" i="133" s="1"/>
  <c r="D20" i="133" s="1"/>
  <c r="D21" i="133" s="1"/>
  <c r="D22" i="133" s="1"/>
  <c r="D23" i="133" s="1"/>
  <c r="D24" i="133" s="1"/>
  <c r="D25" i="133" s="1"/>
  <c r="D26" i="133" s="1"/>
  <c r="D27" i="133" s="1"/>
  <c r="AM7" i="133"/>
  <c r="D7" i="133"/>
  <c r="AM6" i="133"/>
  <c r="H3" i="133"/>
  <c r="I3" i="133" s="1"/>
  <c r="J3" i="133" s="1"/>
  <c r="K3" i="133" s="1"/>
  <c r="L3" i="133" s="1"/>
  <c r="M3" i="133" s="1"/>
  <c r="N3" i="133" s="1"/>
  <c r="O3" i="133" s="1"/>
  <c r="P3" i="133" s="1"/>
  <c r="Q3" i="133" s="1"/>
  <c r="R3" i="133" s="1"/>
  <c r="S3" i="133" s="1"/>
  <c r="T3" i="133" s="1"/>
  <c r="U3" i="133" s="1"/>
  <c r="V3" i="133" s="1"/>
  <c r="W3" i="133" s="1"/>
  <c r="X3" i="133" s="1"/>
  <c r="Y3" i="133" s="1"/>
  <c r="Z3" i="133" s="1"/>
  <c r="AA3" i="133" s="1"/>
  <c r="AB3" i="133" s="1"/>
  <c r="AC3" i="133" s="1"/>
  <c r="AD3" i="133" s="1"/>
  <c r="AE3" i="133" s="1"/>
  <c r="AF3" i="133" s="1"/>
  <c r="AG3" i="133" s="1"/>
  <c r="AH3" i="133" s="1"/>
  <c r="AI3" i="133" s="1"/>
  <c r="AJ3" i="133" s="1"/>
  <c r="AK3" i="133" s="1"/>
  <c r="AL3" i="133" s="1"/>
  <c r="F1" i="133"/>
  <c r="N44" i="142"/>
  <c r="M44" i="142"/>
  <c r="L44" i="142"/>
  <c r="K44" i="142"/>
  <c r="J44" i="142"/>
  <c r="I44" i="142"/>
  <c r="H44" i="142"/>
  <c r="G44" i="142"/>
  <c r="F44" i="142"/>
  <c r="E44" i="142"/>
  <c r="D44" i="142"/>
  <c r="C44" i="142"/>
  <c r="AP36" i="142"/>
  <c r="AN36" i="142"/>
  <c r="AK36" i="142"/>
  <c r="AI36" i="142"/>
  <c r="AH36" i="142"/>
  <c r="AF36" i="142"/>
  <c r="AP34" i="142"/>
  <c r="AO34" i="142"/>
  <c r="AO36" i="142" s="1"/>
  <c r="AN34" i="142"/>
  <c r="AM34" i="142"/>
  <c r="AM36" i="142" s="1"/>
  <c r="AL34" i="142"/>
  <c r="AL36" i="142" s="1"/>
  <c r="AK34" i="142"/>
  <c r="AJ34" i="142"/>
  <c r="AJ36" i="142" s="1"/>
  <c r="AI34" i="142"/>
  <c r="AH34" i="142"/>
  <c r="AG34" i="142"/>
  <c r="AG36" i="142" s="1"/>
  <c r="AF34" i="142"/>
  <c r="AE34" i="142"/>
  <c r="AE36" i="142" s="1"/>
  <c r="AB10" i="142"/>
  <c r="AA10" i="142"/>
  <c r="Z10" i="142"/>
  <c r="Y10" i="142"/>
  <c r="X10" i="142"/>
  <c r="W10" i="142"/>
  <c r="V10" i="142"/>
  <c r="U10" i="142"/>
  <c r="T10" i="142"/>
  <c r="S10" i="142"/>
  <c r="R10" i="142"/>
  <c r="Q10" i="142"/>
  <c r="N10" i="142"/>
  <c r="M10" i="142"/>
  <c r="L10" i="142"/>
  <c r="K10" i="142"/>
  <c r="J10" i="142"/>
  <c r="I10" i="142"/>
  <c r="H10" i="142"/>
  <c r="G10" i="142"/>
  <c r="F10" i="142"/>
  <c r="E10" i="142"/>
  <c r="D10" i="142"/>
  <c r="C10" i="142"/>
  <c r="P9" i="142"/>
  <c r="AP8" i="142"/>
  <c r="AO8" i="142"/>
  <c r="AN8" i="142"/>
  <c r="AL8" i="142"/>
  <c r="AK8" i="142"/>
  <c r="AJ8" i="142"/>
  <c r="AI8" i="142"/>
  <c r="AH8" i="142"/>
  <c r="AG8" i="142"/>
  <c r="AF8" i="142"/>
  <c r="AE8" i="142"/>
  <c r="P8" i="142"/>
  <c r="P7" i="142"/>
  <c r="P6" i="142"/>
  <c r="AN11" i="105"/>
  <c r="AN94" i="105"/>
  <c r="AN67" i="105"/>
  <c r="AE8" i="105" l="1"/>
  <c r="K66" i="105"/>
  <c r="S66" i="105"/>
  <c r="S64" i="105"/>
  <c r="AA66" i="105"/>
  <c r="AI66" i="105"/>
  <c r="AI64" i="105"/>
  <c r="O93" i="105"/>
  <c r="AE93" i="105"/>
  <c r="AE91" i="105"/>
  <c r="AQ100" i="140"/>
  <c r="N10" i="105"/>
  <c r="N8" i="105"/>
  <c r="V10" i="105"/>
  <c r="AD10" i="105"/>
  <c r="AL10" i="105"/>
  <c r="AL8" i="105"/>
  <c r="J8" i="105"/>
  <c r="AF8" i="105"/>
  <c r="L66" i="105"/>
  <c r="T66" i="105"/>
  <c r="AB66" i="105"/>
  <c r="AJ66" i="105"/>
  <c r="AJ64" i="105"/>
  <c r="G93" i="105"/>
  <c r="G91" i="105"/>
  <c r="P93" i="105"/>
  <c r="X93" i="105"/>
  <c r="AF93" i="105"/>
  <c r="AF91" i="105"/>
  <c r="M10" i="105"/>
  <c r="AC10" i="105"/>
  <c r="W93" i="105"/>
  <c r="I49" i="137"/>
  <c r="J48" i="137"/>
  <c r="K48" i="137" s="1"/>
  <c r="L48" i="137" s="1"/>
  <c r="AL49" i="140"/>
  <c r="AL50" i="140" s="1"/>
  <c r="AL51" i="140" s="1"/>
  <c r="AL40" i="140"/>
  <c r="AL41" i="140" s="1"/>
  <c r="AL42" i="140" s="1"/>
  <c r="AH8" i="105"/>
  <c r="M66" i="105"/>
  <c r="M64" i="105"/>
  <c r="U66" i="105"/>
  <c r="AC66" i="105"/>
  <c r="AK66" i="105"/>
  <c r="AK64" i="105"/>
  <c r="H93" i="105"/>
  <c r="H91" i="105"/>
  <c r="Q93" i="105"/>
  <c r="Y93" i="105"/>
  <c r="AG93" i="105"/>
  <c r="AT7" i="105"/>
  <c r="P8" i="105"/>
  <c r="N66" i="105"/>
  <c r="V66" i="105"/>
  <c r="AD66" i="105"/>
  <c r="AL66" i="105"/>
  <c r="AL64" i="105"/>
  <c r="I93" i="105"/>
  <c r="I91" i="105"/>
  <c r="R93" i="105"/>
  <c r="Z93" i="105"/>
  <c r="AH93" i="105"/>
  <c r="AH91" i="105"/>
  <c r="P26" i="140"/>
  <c r="I8" i="105"/>
  <c r="I10" i="105"/>
  <c r="Q8" i="105"/>
  <c r="Q10" i="105"/>
  <c r="Y10" i="105"/>
  <c r="AG8" i="105"/>
  <c r="AG10" i="105"/>
  <c r="AT9" i="105"/>
  <c r="G66" i="105"/>
  <c r="G64" i="105"/>
  <c r="O66" i="105"/>
  <c r="O64" i="105"/>
  <c r="W66" i="105"/>
  <c r="AE66" i="105"/>
  <c r="AE64" i="105"/>
  <c r="K93" i="105"/>
  <c r="S93" i="105"/>
  <c r="S91" i="105"/>
  <c r="AA93" i="105"/>
  <c r="AI93" i="105"/>
  <c r="AI91" i="105"/>
  <c r="AT11" i="105"/>
  <c r="H66" i="105"/>
  <c r="H64" i="105"/>
  <c r="P66" i="105"/>
  <c r="X66" i="105"/>
  <c r="AF66" i="105"/>
  <c r="AF64" i="105"/>
  <c r="L93" i="105"/>
  <c r="L91" i="105"/>
  <c r="T93" i="105"/>
  <c r="AB93" i="105"/>
  <c r="AJ93" i="105"/>
  <c r="AJ91" i="105"/>
  <c r="K10" i="105"/>
  <c r="K8" i="105"/>
  <c r="S10" i="105"/>
  <c r="AA10" i="105"/>
  <c r="AI10" i="105"/>
  <c r="AI8" i="105"/>
  <c r="X8" i="105"/>
  <c r="I66" i="105"/>
  <c r="I64" i="105"/>
  <c r="Q66" i="105"/>
  <c r="Q64" i="105"/>
  <c r="Y66" i="105"/>
  <c r="AG66" i="105"/>
  <c r="AG64" i="105"/>
  <c r="M93" i="105"/>
  <c r="U93" i="105"/>
  <c r="U91" i="105"/>
  <c r="AC93" i="105"/>
  <c r="AK93" i="105"/>
  <c r="AK91" i="105"/>
  <c r="U10" i="105"/>
  <c r="J91" i="105"/>
  <c r="K3" i="105"/>
  <c r="L3" i="105" s="1"/>
  <c r="M3" i="105" s="1"/>
  <c r="N3" i="105" s="1"/>
  <c r="O3" i="105" s="1"/>
  <c r="P3" i="105" s="1"/>
  <c r="Q3" i="105" s="1"/>
  <c r="R3" i="105" s="1"/>
  <c r="S3" i="105" s="1"/>
  <c r="T3" i="105" s="1"/>
  <c r="U3" i="105" s="1"/>
  <c r="V3" i="105" s="1"/>
  <c r="W3" i="105" s="1"/>
  <c r="X3" i="105" s="1"/>
  <c r="Y3" i="105" s="1"/>
  <c r="Z3" i="105" s="1"/>
  <c r="AA3" i="105" s="1"/>
  <c r="AB3" i="105" s="1"/>
  <c r="AC3" i="105" s="1"/>
  <c r="AD3" i="105" s="1"/>
  <c r="AE3" i="105" s="1"/>
  <c r="AF3" i="105" s="1"/>
  <c r="AG3" i="105" s="1"/>
  <c r="AH3" i="105" s="1"/>
  <c r="L10" i="105"/>
  <c r="L8" i="105"/>
  <c r="T10" i="105"/>
  <c r="AB10" i="105"/>
  <c r="AB8" i="105"/>
  <c r="AJ10" i="105"/>
  <c r="AJ8" i="105"/>
  <c r="Z8" i="105"/>
  <c r="J66" i="105"/>
  <c r="J64" i="105"/>
  <c r="R66" i="105"/>
  <c r="Z66" i="105"/>
  <c r="Z64" i="105"/>
  <c r="AH66" i="105"/>
  <c r="AH64" i="105"/>
  <c r="N93" i="105"/>
  <c r="N91" i="105"/>
  <c r="V93" i="105"/>
  <c r="AD93" i="105"/>
  <c r="AD91" i="105"/>
  <c r="AL93" i="105"/>
  <c r="AL91" i="105"/>
  <c r="AM8" i="140"/>
  <c r="Q26" i="140" s="1"/>
  <c r="AM15" i="140"/>
  <c r="AM17" i="140"/>
  <c r="AM19" i="140"/>
  <c r="AM21" i="140"/>
  <c r="AM23" i="140"/>
  <c r="AM25" i="140"/>
  <c r="AM55" i="140"/>
  <c r="AM68" i="140"/>
  <c r="AK102" i="140"/>
  <c r="AM5" i="140"/>
  <c r="AL10" i="140"/>
  <c r="AL11" i="140" s="1"/>
  <c r="AL12" i="140" s="1"/>
  <c r="AL13" i="140" s="1"/>
  <c r="AL14" i="140" s="1"/>
  <c r="AL57" i="140"/>
  <c r="AL59" i="140" s="1"/>
  <c r="AL60" i="140" s="1"/>
  <c r="AL61" i="140" s="1"/>
  <c r="AL62" i="140" s="1"/>
  <c r="AL63" i="140" s="1"/>
  <c r="AL64" i="140" s="1"/>
  <c r="AL65" i="140" s="1"/>
  <c r="AL66" i="140" s="1"/>
  <c r="AL67" i="140" s="1"/>
  <c r="AL68" i="140" s="1"/>
  <c r="AL69" i="140" s="1"/>
  <c r="AL70" i="140" s="1"/>
  <c r="AL71" i="140" s="1"/>
  <c r="AL72" i="140" s="1"/>
  <c r="AL73" i="140" s="1"/>
  <c r="AL74" i="140" s="1"/>
  <c r="AL75" i="140" s="1"/>
  <c r="AM79" i="140"/>
  <c r="AY7" i="105"/>
  <c r="H10" i="105"/>
  <c r="P10" i="105"/>
  <c r="X10" i="105"/>
  <c r="AF10" i="105"/>
  <c r="AS10" i="105"/>
  <c r="AS12" i="105"/>
  <c r="S76" i="140"/>
  <c r="AN27" i="140"/>
  <c r="AM48" i="140"/>
  <c r="AM50" i="140"/>
  <c r="AM57" i="140"/>
  <c r="AM62" i="140"/>
  <c r="AM70" i="140"/>
  <c r="AM82" i="140"/>
  <c r="AM90" i="140"/>
  <c r="AM98" i="140"/>
  <c r="O26" i="140"/>
  <c r="BA7" i="105"/>
  <c r="AZ9" i="105" s="1"/>
  <c r="J10" i="105"/>
  <c r="R10" i="105"/>
  <c r="Z10" i="105"/>
  <c r="AH10" i="105"/>
  <c r="AM12" i="140"/>
  <c r="AM16" i="140"/>
  <c r="AM18" i="140"/>
  <c r="AM20" i="140"/>
  <c r="AM22" i="140"/>
  <c r="AM24" i="140"/>
  <c r="AM54" i="140"/>
  <c r="AM64" i="140"/>
  <c r="AM72" i="140"/>
  <c r="AM80" i="140"/>
  <c r="AM88" i="140"/>
  <c r="AM96" i="140"/>
  <c r="AM14" i="140"/>
  <c r="AM56" i="140"/>
  <c r="AM69" i="140"/>
  <c r="AW5" i="105"/>
  <c r="AN6" i="133"/>
  <c r="B4" i="136" s="1"/>
  <c r="AN4" i="140"/>
  <c r="AM9" i="140"/>
  <c r="AM61" i="140"/>
  <c r="AM11" i="140"/>
  <c r="AM63" i="140"/>
  <c r="AM71" i="140"/>
  <c r="AM81" i="140"/>
  <c r="AM89" i="140"/>
  <c r="AK62" i="143"/>
  <c r="AK6" i="143"/>
  <c r="AK85" i="143"/>
  <c r="AK34" i="143"/>
  <c r="I3" i="143"/>
  <c r="H4" i="143"/>
  <c r="AN39" i="105"/>
  <c r="AX9" i="105" l="1"/>
  <c r="AW9" i="105"/>
  <c r="AC91" i="105"/>
  <c r="Y64" i="105"/>
  <c r="W8" i="105"/>
  <c r="K91" i="105"/>
  <c r="Y8" i="105"/>
  <c r="AA64" i="105"/>
  <c r="AA8" i="105"/>
  <c r="AB91" i="105"/>
  <c r="X64" i="105"/>
  <c r="K49" i="137"/>
  <c r="Z91" i="105"/>
  <c r="AD64" i="105"/>
  <c r="AG91" i="105"/>
  <c r="BA9" i="105"/>
  <c r="AZ11" i="105" s="1"/>
  <c r="W91" i="105"/>
  <c r="X91" i="105"/>
  <c r="AB64" i="105"/>
  <c r="V91" i="105"/>
  <c r="R64" i="105"/>
  <c r="J49" i="137"/>
  <c r="S8" i="105"/>
  <c r="T91" i="105"/>
  <c r="P64" i="105"/>
  <c r="R8" i="105"/>
  <c r="R91" i="105"/>
  <c r="V64" i="105"/>
  <c r="Y91" i="105"/>
  <c r="AC64" i="105"/>
  <c r="O8" i="105"/>
  <c r="AC8" i="105"/>
  <c r="P91" i="105"/>
  <c r="T64" i="105"/>
  <c r="AD8" i="105"/>
  <c r="M48" i="137"/>
  <c r="L49" i="137"/>
  <c r="AX7" i="105"/>
  <c r="T8" i="105"/>
  <c r="U8" i="105"/>
  <c r="M91" i="105"/>
  <c r="AA91" i="105"/>
  <c r="W64" i="105"/>
  <c r="AW7" i="105"/>
  <c r="AL43" i="140"/>
  <c r="AL44" i="140" s="1"/>
  <c r="AL45" i="140" s="1"/>
  <c r="AL48" i="140"/>
  <c r="O91" i="105"/>
  <c r="K64" i="105"/>
  <c r="Q76" i="140"/>
  <c r="P76" i="140"/>
  <c r="N64" i="105"/>
  <c r="Q91" i="105"/>
  <c r="U64" i="105"/>
  <c r="M8" i="105"/>
  <c r="L64" i="105"/>
  <c r="V8" i="105"/>
  <c r="J3" i="143"/>
  <c r="I4" i="143"/>
  <c r="BA11" i="105" l="1"/>
  <c r="AX11" i="105" s="1"/>
  <c r="AL47" i="140"/>
  <c r="AL46" i="140"/>
  <c r="N48" i="137"/>
  <c r="N49" i="137" s="1"/>
  <c r="M49" i="137"/>
  <c r="K3" i="143"/>
  <c r="J4" i="143"/>
  <c r="AW11" i="105" l="1"/>
  <c r="L3" i="143"/>
  <c r="K4" i="143"/>
  <c r="M3" i="143" l="1"/>
  <c r="L4" i="143"/>
  <c r="N3" i="143" l="1"/>
  <c r="M4" i="143"/>
  <c r="O3" i="143" l="1"/>
  <c r="N4" i="143"/>
  <c r="P3" i="143" l="1"/>
  <c r="O4" i="143"/>
  <c r="Q3" i="143" l="1"/>
  <c r="P4" i="143"/>
  <c r="R3" i="143" l="1"/>
  <c r="Q4" i="143"/>
  <c r="S3" i="143" l="1"/>
  <c r="R4" i="143"/>
  <c r="T3" i="143" l="1"/>
  <c r="S4" i="143"/>
  <c r="U3" i="143" l="1"/>
  <c r="T4" i="143"/>
  <c r="V3" i="143" l="1"/>
  <c r="U4" i="143"/>
  <c r="W3" i="143" l="1"/>
  <c r="V4" i="143"/>
  <c r="X3" i="143" l="1"/>
  <c r="W4" i="143"/>
  <c r="Y3" i="143" l="1"/>
  <c r="X4" i="143"/>
  <c r="Z3" i="143" l="1"/>
  <c r="Y4" i="143"/>
  <c r="AA3" i="143" l="1"/>
  <c r="Z4" i="143"/>
  <c r="AB3" i="143" l="1"/>
  <c r="AA4" i="143"/>
  <c r="AC3" i="143" l="1"/>
  <c r="AB4" i="143"/>
  <c r="AD3" i="143" l="1"/>
  <c r="AC4" i="143"/>
  <c r="AE3" i="143" l="1"/>
  <c r="AD4" i="143"/>
  <c r="AF3" i="143" l="1"/>
  <c r="AE4" i="143"/>
  <c r="AG3" i="143" l="1"/>
  <c r="AF4" i="143"/>
  <c r="AH3" i="143" l="1"/>
  <c r="AG4" i="143"/>
  <c r="AI3" i="143" l="1"/>
  <c r="AH4" i="143"/>
</calcChain>
</file>

<file path=xl/comments1.xml><?xml version="1.0" encoding="utf-8"?>
<comments xmlns="http://schemas.openxmlformats.org/spreadsheetml/2006/main">
  <authors>
    <author>Jillian Marie D. Capiña</author>
  </authors>
  <commentList>
    <comment ref="I77" authorId="0" shapeId="0">
      <text>
        <r>
          <rPr>
            <b/>
            <sz val="9"/>
            <color indexed="81"/>
            <rFont val="Tahoma"/>
            <family val="2"/>
          </rPr>
          <t>JNY: 
Staright duty no manpower 3rd shiift of 1/2/2025</t>
        </r>
      </text>
    </comment>
  </commentList>
</comments>
</file>

<file path=xl/comments2.xml><?xml version="1.0" encoding="utf-8"?>
<comments xmlns="http://schemas.openxmlformats.org/spreadsheetml/2006/main">
  <authors>
    <author>Prod-Process-B DCS</author>
  </authors>
  <commentList>
    <comment ref="W64" authorId="0" shapeId="0">
      <text>
        <r>
          <rPr>
            <b/>
            <sz val="9"/>
            <color indexed="81"/>
            <rFont val="Tahoma"/>
            <family val="2"/>
          </rPr>
          <t>Prod-Process-B DCS:</t>
        </r>
        <r>
          <rPr>
            <sz val="9"/>
            <color indexed="81"/>
            <rFont val="Tahoma"/>
            <family val="2"/>
          </rPr>
          <t xml:space="preserve">
Sickleave</t>
        </r>
      </text>
    </comment>
  </commentList>
</comments>
</file>

<file path=xl/sharedStrings.xml><?xml version="1.0" encoding="utf-8"?>
<sst xmlns="http://schemas.openxmlformats.org/spreadsheetml/2006/main" count="2591" uniqueCount="395">
  <si>
    <t>GAYAPA, Joseph Kent</t>
  </si>
  <si>
    <t xml:space="preserve">CORBO, Peter Ramje </t>
  </si>
  <si>
    <t>AQUINO, Michael</t>
  </si>
  <si>
    <t>JORTA, Jowei C.</t>
  </si>
  <si>
    <t>CINCO, Richard</t>
  </si>
  <si>
    <t>COCAMAS, Louie R</t>
  </si>
  <si>
    <t>H2S</t>
  </si>
  <si>
    <t>ELCULLADA, Junmor S.</t>
  </si>
  <si>
    <t>NECESARIO, Nhergil</t>
  </si>
  <si>
    <t>CATONG, Abel</t>
  </si>
  <si>
    <t>ARTAZO, Catherine Joelor C.</t>
  </si>
  <si>
    <t>LAUREJAS, Eduardo Jr. A</t>
  </si>
  <si>
    <t>BAYANG, Algemero</t>
  </si>
  <si>
    <t xml:space="preserve">Month </t>
  </si>
  <si>
    <t>Date</t>
  </si>
  <si>
    <t>Day</t>
  </si>
  <si>
    <t>Average</t>
  </si>
  <si>
    <t>GERALDINO, Chuck Neko T.</t>
  </si>
  <si>
    <t xml:space="preserve">BELARMINO, Arniel </t>
  </si>
  <si>
    <t>LUMAPAT, Victor Jr.</t>
  </si>
  <si>
    <t>GALOS, Marlon</t>
  </si>
  <si>
    <t>CABREROS, Jhed Mherson T.</t>
  </si>
  <si>
    <t>BUTRON, Joanahs Jayson Rey L.</t>
  </si>
  <si>
    <t>DELCORRO, Edgar S., Jr.</t>
  </si>
  <si>
    <t>LAURON, Novie Jessan</t>
  </si>
  <si>
    <t>BILAD, Marvin A.</t>
  </si>
  <si>
    <t>CAGAMPANG, Josan C.</t>
  </si>
  <si>
    <t>PADILLA, Chris Anthony</t>
  </si>
  <si>
    <t>NASAYAO, Flordecante</t>
  </si>
  <si>
    <t xml:space="preserve">BACLAYO, Christian Cesar P. </t>
  </si>
  <si>
    <t>DAVIS, Jaybert E.</t>
  </si>
  <si>
    <t>SANCHEZ, Pablo</t>
  </si>
  <si>
    <t>VALLEJOS, Ronelo</t>
  </si>
  <si>
    <t>GASAPO, Alladin</t>
  </si>
  <si>
    <t>BANZON Jr., Nicanor R.</t>
  </si>
  <si>
    <t xml:space="preserve">LAMANILAO, Joey B. </t>
  </si>
  <si>
    <t>ENTOC, Roberto Jr.</t>
  </si>
  <si>
    <t>ACA-AC, Alvin T.</t>
  </si>
  <si>
    <t>JOVITA, Roseanne S.</t>
  </si>
  <si>
    <t>PAGATPAT, Jeffrey C.</t>
  </si>
  <si>
    <t>NASAYAO, Jesus</t>
  </si>
  <si>
    <t>OCON, Jonathan P.</t>
  </si>
  <si>
    <t>DOROTEO, Jillian Marie B.</t>
  </si>
  <si>
    <t>LIMIN, Ricmar B.</t>
  </si>
  <si>
    <t>CAGATA, Renan A.</t>
  </si>
  <si>
    <t>BAYETA, Louie</t>
  </si>
  <si>
    <t>ABUBAKAR, Ismael O.</t>
  </si>
  <si>
    <t>DELA PENA, Rapie S.</t>
  </si>
  <si>
    <t>YAMIT, John Paul P.</t>
  </si>
  <si>
    <t>SAPANING, Aikie D.</t>
  </si>
  <si>
    <t>LUMAYNO, Junrey</t>
  </si>
  <si>
    <t>VL</t>
  </si>
  <si>
    <t>x</t>
  </si>
  <si>
    <t>NAME</t>
  </si>
  <si>
    <t>May</t>
  </si>
  <si>
    <t>JS</t>
  </si>
  <si>
    <t>As a Group</t>
  </si>
  <si>
    <t>REMARKS</t>
  </si>
  <si>
    <t>PERSONNEL</t>
  </si>
  <si>
    <t>IS PRESENT</t>
  </si>
  <si>
    <t>RF</t>
  </si>
  <si>
    <t>VILLAMOR, Ephraim</t>
  </si>
  <si>
    <t>PRESILDA, Winston</t>
  </si>
  <si>
    <t>Each personnel of MS Section will comply the "Daily KY Card" every working day.</t>
  </si>
  <si>
    <t>a)</t>
  </si>
  <si>
    <t>Daily KY card must be submitted on the 1st hour of the shift prior to activities.</t>
  </si>
  <si>
    <t>Compliance -</t>
  </si>
  <si>
    <t>2nd Shift</t>
  </si>
  <si>
    <t>3rd Shift</t>
  </si>
  <si>
    <t>07:00 - 08:00</t>
  </si>
  <si>
    <t>15:00 - 16:00</t>
  </si>
  <si>
    <t>23:00 - 24:00</t>
  </si>
  <si>
    <t>b)</t>
  </si>
  <si>
    <t>1st Shift</t>
  </si>
  <si>
    <t xml:space="preserve">Submission- </t>
  </si>
  <si>
    <t>Daily KY card must be submitted to Shift Leader/Foreman for collection.</t>
  </si>
  <si>
    <t>c)</t>
  </si>
  <si>
    <t>Recording-</t>
  </si>
  <si>
    <t>Daily KY card will be checked and evaluated by Shift Leader/Foreman. It will be then</t>
  </si>
  <si>
    <t>recorded on "Personnel KY Competency" as a proof.</t>
  </si>
  <si>
    <t>d)</t>
  </si>
  <si>
    <t>Numbers-</t>
  </si>
  <si>
    <t>One(1) Daily KY card will only be accepted per working shift. But, personnel can</t>
  </si>
  <si>
    <t>make as many as he/she can depending on the no. of activities he/she be engage.</t>
  </si>
  <si>
    <t>Performances Trend and Awards:</t>
  </si>
  <si>
    <t>Ranking-</t>
  </si>
  <si>
    <t>Every month, personnel are ranked in ascending order to evaluate and compare</t>
  </si>
  <si>
    <t>his/her performance of every member of the group. Also, group evaluation and</t>
  </si>
  <si>
    <t>performances are ranked.</t>
  </si>
  <si>
    <t>GUIDELINES (Rev. 02)</t>
  </si>
  <si>
    <t>Recognition-</t>
  </si>
  <si>
    <t>Every month, the best performer in each category is awarded.</t>
  </si>
  <si>
    <t>Best Team/Group</t>
  </si>
  <si>
    <t>*The highest % per group compliance (w/o SL/VL/etc).</t>
  </si>
  <si>
    <t xml:space="preserve">*If tie breaker occurs, the highest % per group compliance w/ SL/VL/etc. </t>
  </si>
  <si>
    <t>will be used as deciding factor.</t>
  </si>
  <si>
    <t>*If tie breaker occurs, individual not in the winning Team is eliminated in</t>
  </si>
  <si>
    <t>the selection.</t>
  </si>
  <si>
    <t>*If tie breaker still occurs, the number of the individual  SL/VL/etc will be</t>
  </si>
  <si>
    <t>deducted to have a winner.</t>
  </si>
  <si>
    <t>*If tie breaker still occurs, safety committee will decide the winner.</t>
  </si>
  <si>
    <t>*The highest % per JS individual will be used.</t>
  </si>
  <si>
    <t>*The highest % per RF individual will be used.</t>
  </si>
  <si>
    <t>Best Safety Declaration</t>
  </si>
  <si>
    <t>*Each week, one winner of daily declaration will be recognized. The judge</t>
  </si>
  <si>
    <t>will depend on who the safety committee assigned.</t>
  </si>
  <si>
    <t>*The best safety declaration will be chosen from weekly winners by our</t>
  </si>
  <si>
    <t>section manager/general foreman.</t>
  </si>
  <si>
    <t>Awarding-</t>
  </si>
  <si>
    <t>Awarding will be conducted on the 1st week of the succeeding month.</t>
  </si>
  <si>
    <t xml:space="preserve">Certificate of Recognition is awarded and posted to Safety Board. Also, some </t>
  </si>
  <si>
    <t>special prizes awaits the winners.</t>
  </si>
  <si>
    <t>Passing Rates</t>
  </si>
  <si>
    <t>The passing rates and compliance commitment is set to 85%.</t>
  </si>
  <si>
    <t>Treands, Records and Yearly Targets are updated in this "Personnel KY Competency.</t>
  </si>
  <si>
    <t>Created By:</t>
  </si>
  <si>
    <t>SAFETY COMMITTEE GROUP</t>
  </si>
  <si>
    <t>ILIGAN, Adel Nino L.</t>
  </si>
  <si>
    <t>MALONG, Brenda Glez</t>
  </si>
  <si>
    <t>MANILI, Jessie</t>
  </si>
  <si>
    <t>CALAMBA, Earl Ian V.</t>
  </si>
  <si>
    <t>SERAFIN, Fortunato L. Jr.</t>
  </si>
  <si>
    <t>DINO, Jansenne Nicole</t>
  </si>
  <si>
    <t>MAGLINTE, Jerryll A.</t>
  </si>
  <si>
    <t>DAPOSALA, Lenjo G.</t>
  </si>
  <si>
    <t>SALABE, Mando C.</t>
  </si>
  <si>
    <t>BADIANG, Luciano Jr.</t>
  </si>
  <si>
    <t>ROBLES, Felmir</t>
  </si>
  <si>
    <t>SIMBAJON, Sherman Nove B.</t>
  </si>
  <si>
    <t>PATINO, Hernan L.</t>
  </si>
  <si>
    <t>PATAJO, Mary Irish Joy</t>
  </si>
  <si>
    <t>CONSIGNA, Joel L.</t>
  </si>
  <si>
    <t>BORLING, Florence Bert F.</t>
  </si>
  <si>
    <t>WONG, Harold G.</t>
  </si>
  <si>
    <t>PUCIO, Rogel Mark E.</t>
  </si>
  <si>
    <t>ESPAÑOLA, Jyzl M.</t>
  </si>
  <si>
    <t>CIMAFRANCA, Emmanuel C.</t>
  </si>
  <si>
    <t>TAYOR,  Rocar John Paul P.</t>
  </si>
  <si>
    <t>MANGACOP, Dini Daw T.</t>
  </si>
  <si>
    <t>CAB, Amie Rose</t>
  </si>
  <si>
    <t>COLE, Kizza Yrl Wyeth</t>
  </si>
  <si>
    <t>CHECKER</t>
  </si>
  <si>
    <t>All</t>
  </si>
  <si>
    <t>SL/DCS</t>
  </si>
  <si>
    <t>DEBUQUE, Eli</t>
  </si>
  <si>
    <t>RD</t>
  </si>
  <si>
    <t>AMALIAS, Carlo</t>
  </si>
  <si>
    <t>ALVAREZ, Allan M.</t>
  </si>
  <si>
    <t>COMPASIVO, Jomar G.</t>
  </si>
  <si>
    <t>DAGALA, Vincent S.</t>
  </si>
  <si>
    <t>LOZADA, Agafe Joy C.</t>
  </si>
  <si>
    <t xml:space="preserve">SAMONTINA, Michael Jhun </t>
  </si>
  <si>
    <t xml:space="preserve">GALENDEZ, Reyden </t>
  </si>
  <si>
    <t>BAROTE, Alora Kristy L.</t>
  </si>
  <si>
    <t xml:space="preserve">SALON, Michael </t>
  </si>
  <si>
    <t xml:space="preserve">DEGOLTO, Joel </t>
  </si>
  <si>
    <t>LABASTIDA Jr., Cirilo D.</t>
  </si>
  <si>
    <t>YAMIT, Junnil N.</t>
  </si>
  <si>
    <t>ERCILLO, Marvin J.</t>
  </si>
  <si>
    <t>GALDIANO, Ivy Mae</t>
  </si>
  <si>
    <t>LAPINING, Sanny Boy S.</t>
  </si>
  <si>
    <t>EUPEÑA. Joshua</t>
  </si>
  <si>
    <t>HTL</t>
  </si>
  <si>
    <t/>
  </si>
  <si>
    <t>EEV1</t>
  </si>
  <si>
    <t>EEV2</t>
  </si>
  <si>
    <t>CNG1</t>
  </si>
  <si>
    <t>CNG2</t>
  </si>
  <si>
    <t>ALB1</t>
  </si>
  <si>
    <t>ALB2</t>
  </si>
  <si>
    <t>MSA1</t>
  </si>
  <si>
    <t>MSA2</t>
  </si>
  <si>
    <t>MORDENO, Chelsea</t>
  </si>
  <si>
    <t>ESTOLANO, Ronnie</t>
  </si>
  <si>
    <t>LAVIÑA, Jonesa Queen</t>
  </si>
  <si>
    <t>SOLAR, Ricardo Jr.</t>
  </si>
  <si>
    <t>TABILIRAN, Reus</t>
  </si>
  <si>
    <t>ESTILLORE, Marbert</t>
  </si>
  <si>
    <t>DAGASDAS, Gregorio Jr.</t>
  </si>
  <si>
    <t>SL</t>
  </si>
  <si>
    <t>NECESARIO, Christie.</t>
  </si>
  <si>
    <t>CALIMBO, Romel</t>
  </si>
  <si>
    <t>ELLO, Janine</t>
  </si>
  <si>
    <t>DECAP, Anthony</t>
  </si>
  <si>
    <t>GROUP 1</t>
  </si>
  <si>
    <t>GROUP 2</t>
  </si>
  <si>
    <t>GROUP 3</t>
  </si>
  <si>
    <t>GROUP 4</t>
  </si>
  <si>
    <t>URBIZTONDO, Grace</t>
  </si>
  <si>
    <t>BOSQUE, Jonry</t>
  </si>
  <si>
    <t>EL</t>
  </si>
  <si>
    <t>L</t>
  </si>
  <si>
    <t>CARACOL, Marwin</t>
  </si>
  <si>
    <t>X</t>
  </si>
  <si>
    <t>TAYOR, Rocar John Paul</t>
  </si>
  <si>
    <t>GIDA, Lenie Mae</t>
  </si>
  <si>
    <t>Sat</t>
  </si>
  <si>
    <t>Sun</t>
  </si>
  <si>
    <t>Mon</t>
  </si>
  <si>
    <t>Tue</t>
  </si>
  <si>
    <t>Wed</t>
  </si>
  <si>
    <t>Thu</t>
  </si>
  <si>
    <t>Fri</t>
  </si>
  <si>
    <t>BUTRON, Joanahs</t>
  </si>
  <si>
    <t>SALABE, Mando</t>
  </si>
  <si>
    <t>ACA-AC, Elioenai Ann C</t>
  </si>
  <si>
    <t>ARBIOL, Dann Jason A</t>
  </si>
  <si>
    <t>OCHAGAVIA, Johndel</t>
  </si>
  <si>
    <t>YAMIT, John Paul</t>
  </si>
  <si>
    <t>March</t>
  </si>
  <si>
    <t>GIDA, Lenie Mae R.</t>
  </si>
  <si>
    <t>JABINAL, Jewel Mae</t>
  </si>
  <si>
    <t>BALACUIT,  Prince Joewen</t>
  </si>
  <si>
    <t>KHO, Jansen D.</t>
  </si>
  <si>
    <t>JANUARY</t>
  </si>
  <si>
    <t>DOCOR, Romeo</t>
  </si>
  <si>
    <t>ROZAL, DJ O.</t>
  </si>
  <si>
    <t>NECESARIO, Christie P.</t>
  </si>
  <si>
    <t>JAMERO, Donald</t>
  </si>
  <si>
    <t>BALACUIT, Jonesa Queen</t>
  </si>
  <si>
    <t>ORCEJOLA, Karen Mae</t>
  </si>
  <si>
    <t>RUDIS, June Mar</t>
  </si>
  <si>
    <t>NASAYAO, Dionesio</t>
  </si>
  <si>
    <t>PEROL, Remart</t>
  </si>
  <si>
    <t>HILVANO, Christian Joul P.</t>
  </si>
  <si>
    <t>NUÑEZ, Reus</t>
  </si>
  <si>
    <t>CERIO, Jenny Mae A.</t>
  </si>
  <si>
    <t>LAURON, Dini Daw M.</t>
  </si>
  <si>
    <t>GROUP NAME</t>
  </si>
  <si>
    <t>TEAM CLC</t>
  </si>
  <si>
    <t>TEAM JED</t>
  </si>
  <si>
    <t>TEAM VPL</t>
  </si>
  <si>
    <t>TEAM NJL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</si>
  <si>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</si>
  <si>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</si>
  <si>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</si>
  <si>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</si>
  <si>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</si>
  <si>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</si>
  <si>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</si>
  <si>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</si>
  <si>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</si>
  <si>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</si>
  <si>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</si>
  <si>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</si>
  <si>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Target</t>
  </si>
  <si>
    <t>Balance</t>
  </si>
  <si>
    <t>ACTUAL</t>
  </si>
  <si>
    <t>TARGET</t>
  </si>
  <si>
    <t>RF (63%)</t>
  </si>
  <si>
    <t>JS (36%)</t>
  </si>
  <si>
    <t>Dec</t>
  </si>
  <si>
    <t>Nov</t>
  </si>
  <si>
    <t>Oct</t>
  </si>
  <si>
    <t>Sep</t>
  </si>
  <si>
    <t>Aug</t>
  </si>
  <si>
    <t>Jul</t>
  </si>
  <si>
    <t>Jun</t>
  </si>
  <si>
    <t>Apr</t>
  </si>
  <si>
    <t>Mar</t>
  </si>
  <si>
    <t>Feb</t>
  </si>
  <si>
    <t>Jan</t>
  </si>
  <si>
    <t>Target per Month 2018</t>
  </si>
  <si>
    <t>Class</t>
  </si>
  <si>
    <t>Target 1.5 - Target per Month 2018 Trend Update</t>
  </si>
  <si>
    <t>Not</t>
  </si>
  <si>
    <t>No.</t>
  </si>
  <si>
    <t>Total</t>
  </si>
  <si>
    <t>Month 2018</t>
  </si>
  <si>
    <t>Table 1.4 - &gt;85% Compliance Count</t>
  </si>
  <si>
    <t>Ave</t>
  </si>
  <si>
    <t>RF(63%)</t>
  </si>
  <si>
    <t>JS(36%)</t>
  </si>
  <si>
    <t>Month 2018 (&gt;85% Commitment)</t>
  </si>
  <si>
    <t>Groups</t>
  </si>
  <si>
    <t>Table 1.3 - JS/RF KY Compliance Average (Personnel with 85% average or more)</t>
  </si>
  <si>
    <t>Table 1.2 - Group KY Compliance Average (Personnel with 85% average or more)</t>
  </si>
  <si>
    <t>Table 1.1 - Group KY compliance (excluding SL/VL/HTL/UL/etc.)</t>
  </si>
  <si>
    <t>DAILY KY COMPLIANCE PERFORMANCE TRENDS</t>
  </si>
  <si>
    <t>December</t>
  </si>
  <si>
    <t>November</t>
  </si>
  <si>
    <t>October</t>
  </si>
  <si>
    <t>September</t>
  </si>
  <si>
    <t>August</t>
  </si>
  <si>
    <t>July</t>
  </si>
  <si>
    <t>June</t>
  </si>
  <si>
    <t>April</t>
  </si>
  <si>
    <t>February</t>
  </si>
  <si>
    <t>January</t>
  </si>
  <si>
    <t>GROUP</t>
  </si>
  <si>
    <t>MONTH</t>
  </si>
  <si>
    <t>WALL OF FAME</t>
  </si>
  <si>
    <t>SIMBAHON, Sherman Nove B.</t>
  </si>
  <si>
    <t>MASCARINAS, Dave Stephen</t>
  </si>
  <si>
    <t>BAGUIO, Elfie Iris</t>
  </si>
  <si>
    <t>ROBLES, Filmer</t>
  </si>
  <si>
    <t>ANTING, Archiel S.</t>
  </si>
  <si>
    <t>PIAPE, Aldrin B</t>
  </si>
  <si>
    <t xml:space="preserve">CIRIACA, Jesrel L. </t>
  </si>
  <si>
    <t>GOLO, Julius Ceazar V.</t>
  </si>
  <si>
    <t>DEDUMO, Garry S.</t>
  </si>
  <si>
    <t>GABAISEN, Lemuel</t>
  </si>
  <si>
    <t>AMISPERO, Adonis</t>
  </si>
  <si>
    <t>SOLANA, Elgine E.</t>
  </si>
  <si>
    <t xml:space="preserve">GO, Ariel B. </t>
  </si>
  <si>
    <t>VERANA, Alden P.</t>
  </si>
  <si>
    <t>NASAYAO, Gilbert</t>
  </si>
  <si>
    <t>DEBUQUE, Elioenai Ann C.</t>
  </si>
  <si>
    <t>BERMUDEZ, Layam B.</t>
  </si>
  <si>
    <t>BAGTASOS, Krisna</t>
  </si>
  <si>
    <t>COMILING, Glenn Filipos B.</t>
  </si>
  <si>
    <t>ENTENIA, Reyjhon G</t>
  </si>
  <si>
    <t>OMPAD, Kristelle Lou G.</t>
  </si>
  <si>
    <t>BAROLA, Rey B.</t>
  </si>
  <si>
    <t>ROY, John Kenneth L.</t>
  </si>
  <si>
    <t>BARCENA, Faith Joy A.</t>
  </si>
  <si>
    <t>TAN, Mac Lester A.</t>
  </si>
  <si>
    <t>ERNO, Dexter C.</t>
  </si>
  <si>
    <t>AGUILLON, Jervie Neil M.</t>
  </si>
  <si>
    <t xml:space="preserve">Remarks </t>
  </si>
  <si>
    <t>Passing</t>
  </si>
  <si>
    <t>Ranking</t>
  </si>
  <si>
    <t>Daily Ave</t>
  </si>
  <si>
    <t>Group rating</t>
  </si>
  <si>
    <t>MS Acting Senior Supervisor</t>
  </si>
  <si>
    <t xml:space="preserve">Shift Leader </t>
  </si>
  <si>
    <t>SL/Main DCS Controller</t>
  </si>
  <si>
    <t>DCS Controller</t>
  </si>
  <si>
    <t>Cadet Engineer</t>
  </si>
  <si>
    <t>MS</t>
  </si>
  <si>
    <t>H2S-DCS Controller/ FL</t>
  </si>
  <si>
    <t>LS FIELD LEADER</t>
  </si>
  <si>
    <t>LS</t>
  </si>
  <si>
    <t>FC FIELD LEADER</t>
  </si>
  <si>
    <t>FC</t>
  </si>
  <si>
    <t>TORRES, John</t>
  </si>
  <si>
    <t>MS Senior Supervisor</t>
  </si>
  <si>
    <t>Shift Leader</t>
  </si>
  <si>
    <t>MS/DeZn Sub-Leader</t>
  </si>
  <si>
    <t>H2S FIELD LEADER</t>
  </si>
  <si>
    <t>MAGLINTE, Jeryll A.</t>
  </si>
  <si>
    <t xml:space="preserve">FLORES, Virgilio </t>
  </si>
  <si>
    <t>MOZAR, Juan Paulo J.</t>
  </si>
  <si>
    <t>`</t>
  </si>
  <si>
    <t>DIAPOSALA, Lenjo</t>
  </si>
  <si>
    <t>MANALO, Decebae M</t>
  </si>
  <si>
    <t>PEPITO, David Jonrey Z.</t>
  </si>
  <si>
    <t>CLC</t>
  </si>
  <si>
    <t>JED</t>
  </si>
  <si>
    <t>VPL</t>
  </si>
  <si>
    <t>NJL</t>
  </si>
  <si>
    <t>Month 2024 (&gt;85% Commitment)</t>
  </si>
  <si>
    <t>Month 2024 (&gt;95% Commitment)</t>
  </si>
  <si>
    <t>Month 2024</t>
  </si>
  <si>
    <t>Target per Month 2024</t>
  </si>
  <si>
    <t>Target 1.5 - Target per Month 2024 Trend Update</t>
  </si>
  <si>
    <t>BUYO, Rico Jay</t>
  </si>
  <si>
    <t>GRAN, April Jane</t>
  </si>
  <si>
    <t>CAMINO, Jyzl E.</t>
  </si>
  <si>
    <t>CORMINAL, Roland</t>
  </si>
  <si>
    <t>ANIB, Karl Patrick S.</t>
  </si>
  <si>
    <t>MAGLINTE, Jerryll</t>
  </si>
  <si>
    <t>MARATAS, Ernie</t>
  </si>
  <si>
    <t xml:space="preserve">SERAFIN, Fortunato L. Jr. </t>
  </si>
  <si>
    <t>LAUREJAS, Eduardo Jr. A.</t>
  </si>
  <si>
    <t>GALVEZ, Jaypoy</t>
  </si>
  <si>
    <t>COMPASIVO, Jomar</t>
  </si>
  <si>
    <t>ROSILLO, King Mark</t>
  </si>
  <si>
    <t>PLATERO, Paul</t>
  </si>
  <si>
    <t>JNY</t>
  </si>
  <si>
    <t>JMD</t>
  </si>
  <si>
    <t>YAC</t>
  </si>
  <si>
    <t>DA</t>
  </si>
  <si>
    <t>AJL</t>
  </si>
  <si>
    <t>ECC</t>
  </si>
  <si>
    <t>JAO</t>
  </si>
  <si>
    <t>BT</t>
  </si>
  <si>
    <t>BGM</t>
  </si>
  <si>
    <t>JDC</t>
  </si>
  <si>
    <t xml:space="preserve">  </t>
  </si>
  <si>
    <t>AKM</t>
  </si>
  <si>
    <t>LMC</t>
  </si>
  <si>
    <t>UL</t>
  </si>
  <si>
    <t>BL</t>
  </si>
  <si>
    <t>AKBM</t>
  </si>
  <si>
    <t>FEBRUARY</t>
  </si>
  <si>
    <t>IVY</t>
  </si>
  <si>
    <t>vl</t>
  </si>
  <si>
    <t>LJD</t>
  </si>
  <si>
    <t>Group</t>
  </si>
  <si>
    <t>Name</t>
  </si>
  <si>
    <t>100% Compliance</t>
  </si>
  <si>
    <t>95% Compliance</t>
  </si>
  <si>
    <t>100% per group</t>
  </si>
  <si>
    <t>Compliance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</si>
</sst>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"/>
    <numFmt numFmtId="165" formatCode="ddd"/>
    <numFmt numFmtId="166" formatCode="0.0%"/>
  </numFmts>
  <fonts count="5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8"/>
      <name val="Book Antiqua"/>
      <family val="1"/>
    </font>
    <font>
      <sz val="14"/>
      <name val="Book Antiqua"/>
      <family val="1"/>
    </font>
    <font>
      <b/>
      <sz val="10"/>
      <color rgb="FFFF0000"/>
      <name val="Book Antiqua"/>
      <family val="1"/>
    </font>
    <font>
      <sz val="11"/>
      <color indexed="8"/>
      <name val="Book Antiqua"/>
      <family val="1"/>
    </font>
    <font>
      <sz val="10"/>
      <color theme="1"/>
      <name val="Book Antiqua"/>
      <family val="1"/>
    </font>
    <font>
      <sz val="11"/>
      <name val="Book Antiqua"/>
      <family val="1"/>
    </font>
    <font>
      <sz val="9"/>
      <color theme="1"/>
      <name val="Book Antiqua"/>
      <family val="1"/>
    </font>
    <font>
      <sz val="10"/>
      <name val="Book Antiqua"/>
      <family val="1"/>
    </font>
    <font>
      <sz val="12"/>
      <name val="Book Antiqua"/>
      <family val="1"/>
    </font>
    <font>
      <sz val="12"/>
      <color indexed="8"/>
      <name val="Book Antiqua"/>
      <family val="1"/>
    </font>
    <font>
      <sz val="9"/>
      <color rgb="FFFF0000"/>
      <name val="Book Antiqua"/>
      <family val="1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FF0000"/>
      <name val="Book Antiqua"/>
      <family val="1"/>
    </font>
    <font>
      <sz val="9"/>
      <name val="Book Antiqua"/>
      <family val="1"/>
    </font>
    <font>
      <b/>
      <sz val="28"/>
      <color indexed="8"/>
      <name val="Book Antiqua"/>
      <family val="1"/>
    </font>
    <font>
      <b/>
      <sz val="12"/>
      <color theme="1"/>
      <name val="Arial"/>
      <family val="2"/>
    </font>
    <font>
      <i/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8"/>
      <color theme="1"/>
      <name val="Book Antiqua"/>
      <family val="1"/>
    </font>
    <font>
      <b/>
      <sz val="12"/>
      <color indexed="8"/>
      <name val="Book Antiqua"/>
      <family val="1"/>
    </font>
    <font>
      <b/>
      <sz val="22"/>
      <color indexed="8"/>
      <name val="Book Antiqua"/>
      <family val="1"/>
    </font>
    <font>
      <b/>
      <sz val="18"/>
      <name val="Book Antiqua"/>
      <family val="1"/>
    </font>
    <font>
      <sz val="14"/>
      <color theme="1"/>
      <name val="Calibri"/>
      <family val="2"/>
      <scheme val="minor"/>
    </font>
    <font>
      <b/>
      <sz val="9"/>
      <name val="Book Antiqua"/>
      <family val="1"/>
    </font>
    <font>
      <b/>
      <sz val="18"/>
      <color indexed="8"/>
      <name val="Book Antiqua"/>
      <family val="1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ook Antiqua"/>
      <family val="1"/>
    </font>
    <font>
      <sz val="11"/>
      <color rgb="FFFF0000"/>
      <name val="Calibri"/>
      <family val="2"/>
      <scheme val="minor"/>
    </font>
    <font>
      <sz val="11"/>
      <color theme="0"/>
      <name val="Book Antiqua"/>
      <family val="1"/>
    </font>
    <font>
      <sz val="11"/>
      <color rgb="FFFF0000"/>
      <name val="Book Antiqua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rgb="FF000000"/>
      <name val="Times New Roman"/>
      <family val="1"/>
    </font>
    <font>
      <sz val="14"/>
      <color rgb="FF000000"/>
      <name val="Book Antiqua"/>
      <family val="1"/>
    </font>
    <font>
      <sz val="14"/>
      <color theme="1"/>
      <name val="Book Antiqua"/>
      <family val="1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26"/>
      <color theme="1"/>
      <name val="Arial"/>
      <family val="2"/>
    </font>
    <font>
      <sz val="10"/>
      <color indexed="8"/>
      <name val="Book Antiqua"/>
      <family val="1"/>
    </font>
    <font>
      <b/>
      <sz val="14"/>
      <color theme="1"/>
      <name val="Book Antiqua"/>
      <family val="1"/>
    </font>
    <font>
      <sz val="7"/>
      <color theme="1"/>
      <name val="Book Antiqua"/>
      <family val="1"/>
    </font>
    <font>
      <b/>
      <sz val="10"/>
      <color rgb="FF0070C0"/>
      <name val="Book Antiqua"/>
      <family val="1"/>
    </font>
    <font>
      <b/>
      <sz val="24"/>
      <color theme="1"/>
      <name val="Book Antiqua"/>
      <family val="1"/>
    </font>
    <font>
      <b/>
      <sz val="14"/>
      <name val="Book Antiqua"/>
      <family val="1"/>
    </font>
    <font>
      <b/>
      <sz val="14"/>
      <color indexed="8"/>
      <name val="Book Antiqua"/>
      <family val="1"/>
    </font>
    <font>
      <b/>
      <sz val="24"/>
      <color indexed="8"/>
      <name val="Book Antiqua"/>
      <family val="1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252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9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ck">
        <color theme="1" tint="0.249977111117893"/>
      </right>
      <top style="double">
        <color indexed="64"/>
      </top>
      <bottom style="thin">
        <color indexed="64"/>
      </bottom>
      <diagonal/>
    </border>
    <border>
      <left style="thick">
        <color theme="1" tint="0.249977111117893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theme="1" tint="0.249977111117893"/>
      </right>
      <top style="thin">
        <color indexed="64"/>
      </top>
      <bottom style="thin">
        <color indexed="64"/>
      </bottom>
      <diagonal/>
    </border>
    <border>
      <left style="thick">
        <color theme="1" tint="0.249977111117893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ck">
        <color theme="1" tint="0.249977111117893"/>
      </right>
      <top style="thin">
        <color indexed="64"/>
      </top>
      <bottom style="double">
        <color indexed="64"/>
      </bottom>
      <diagonal/>
    </border>
    <border>
      <left style="thick">
        <color theme="1" tint="0.249977111117893"/>
      </left>
      <right style="double">
        <color indexed="64"/>
      </right>
      <top style="hair">
        <color indexed="64"/>
      </top>
      <bottom style="thick">
        <color theme="1" tint="0.249977111117893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theme="1" tint="0.249977111117893"/>
      </right>
      <top style="double">
        <color indexed="64"/>
      </top>
      <bottom style="double">
        <color indexed="64"/>
      </bottom>
      <diagonal/>
    </border>
    <border>
      <left style="double">
        <color theme="1" tint="0.249977111117893"/>
      </left>
      <right style="thick">
        <color theme="1" tint="0.249977111117893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hair">
        <color theme="1" tint="0.249977111117893"/>
      </top>
      <bottom style="hair">
        <color theme="1" tint="0.249977111117893"/>
      </bottom>
      <diagonal/>
    </border>
    <border>
      <left style="thin">
        <color indexed="64"/>
      </left>
      <right style="thin">
        <color indexed="64"/>
      </right>
      <top style="hair">
        <color theme="1" tint="0.249977111117893"/>
      </top>
      <bottom style="hair">
        <color theme="1" tint="0.249977111117893"/>
      </bottom>
      <diagonal/>
    </border>
    <border>
      <left/>
      <right style="thin">
        <color indexed="64"/>
      </right>
      <top style="hair">
        <color indexed="64"/>
      </top>
      <bottom style="thin">
        <color theme="1" tint="0.249977111117893"/>
      </bottom>
      <diagonal/>
    </border>
    <border>
      <left/>
      <right style="thin">
        <color indexed="64"/>
      </right>
      <top style="hair">
        <color indexed="64"/>
      </top>
      <bottom style="hair">
        <color theme="1" tint="0.249977111117893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theme="1" tint="0.249977111117893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theme="1" tint="0.249977111117893"/>
      </right>
      <top style="double">
        <color indexed="64"/>
      </top>
      <bottom/>
      <diagonal/>
    </border>
    <border>
      <left/>
      <right/>
      <top style="double">
        <color theme="1" tint="0.249977111117893"/>
      </top>
      <bottom/>
      <diagonal/>
    </border>
    <border>
      <left style="double">
        <color theme="1" tint="0.249977111117893"/>
      </left>
      <right style="double">
        <color theme="1" tint="0.249977111117893"/>
      </right>
      <top style="double">
        <color theme="1" tint="0.249977111117893"/>
      </top>
      <bottom/>
      <diagonal/>
    </border>
    <border>
      <left/>
      <right style="medium">
        <color theme="1" tint="0.249977111117893"/>
      </right>
      <top/>
      <bottom/>
      <diagonal/>
    </border>
    <border>
      <left style="double">
        <color theme="1" tint="0.249977111117893"/>
      </left>
      <right style="double">
        <color theme="1" tint="0.249977111117893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theme="1" tint="0.249977111117893"/>
      </right>
      <top style="double">
        <color theme="1" tint="0.249977111117893"/>
      </top>
      <bottom style="double">
        <color indexed="64"/>
      </bottom>
      <diagonal/>
    </border>
    <border>
      <left style="double">
        <color theme="1" tint="0.249977111117893"/>
      </left>
      <right style="double">
        <color theme="1" tint="0.249977111117893"/>
      </right>
      <top style="double">
        <color indexed="64"/>
      </top>
      <bottom style="double">
        <color theme="1" tint="0.249977111117893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3" fillId="4" borderId="0" applyNumberFormat="0" applyBorder="0" applyAlignment="0" applyProtection="0"/>
  </cellStyleXfs>
  <cellXfs count="644">
    <xf numFmtId="0" fontId="0" fillId="0" borderId="0" xfId="0"/>
    <xf numFmtId="0" fontId="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19" fillId="0" borderId="0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7" fillId="6" borderId="6" xfId="0" applyFont="1" applyFill="1" applyBorder="1" applyAlignment="1" applyProtection="1">
      <alignment horizontal="center" vertical="center"/>
      <protection locked="0"/>
    </xf>
    <xf numFmtId="0" fontId="14" fillId="6" borderId="6" xfId="2" applyFont="1" applyFill="1" applyBorder="1" applyAlignment="1" applyProtection="1">
      <alignment horizontal="center" vertical="center"/>
      <protection locked="0"/>
    </xf>
    <xf numFmtId="10" fontId="0" fillId="0" borderId="0" xfId="0" applyNumberForma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165" fontId="7" fillId="12" borderId="31" xfId="0" applyNumberFormat="1" applyFont="1" applyFill="1" applyBorder="1" applyAlignment="1" applyProtection="1">
      <alignment horizontal="center" vertical="center"/>
      <protection locked="0"/>
    </xf>
    <xf numFmtId="17" fontId="23" fillId="0" borderId="0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9" fontId="12" fillId="0" borderId="0" xfId="1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14" fillId="0" borderId="0" xfId="2" applyFont="1" applyFill="1" applyBorder="1" applyAlignment="1" applyProtection="1">
      <alignment horizontal="center" vertical="center"/>
      <protection locked="0"/>
    </xf>
    <xf numFmtId="0" fontId="3" fillId="5" borderId="20" xfId="0" applyFont="1" applyFill="1" applyBorder="1" applyAlignment="1" applyProtection="1">
      <alignment horizontal="center" vertical="center"/>
      <protection locked="0"/>
    </xf>
    <xf numFmtId="9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NumberFormat="1" applyFont="1" applyFill="1" applyBorder="1" applyAlignment="1" applyProtection="1">
      <alignment horizontal="center" vertical="center"/>
      <protection locked="0"/>
    </xf>
    <xf numFmtId="0" fontId="3" fillId="5" borderId="20" xfId="0" applyFont="1" applyFill="1" applyBorder="1" applyAlignment="1" applyProtection="1">
      <alignment horizontal="center" vertical="center"/>
    </xf>
    <xf numFmtId="0" fontId="3" fillId="5" borderId="41" xfId="0" applyFont="1" applyFill="1" applyBorder="1" applyAlignment="1" applyProtection="1">
      <alignment horizontal="center" vertical="center"/>
    </xf>
    <xf numFmtId="0" fontId="7" fillId="13" borderId="6" xfId="0" applyFont="1" applyFill="1" applyBorder="1" applyAlignment="1" applyProtection="1">
      <alignment horizontal="center" vertical="center"/>
      <protection locked="0"/>
    </xf>
    <xf numFmtId="0" fontId="7" fillId="13" borderId="18" xfId="0" applyFont="1" applyFill="1" applyBorder="1" applyAlignment="1" applyProtection="1">
      <alignment horizontal="center" vertical="center"/>
      <protection locked="0"/>
    </xf>
    <xf numFmtId="0" fontId="14" fillId="13" borderId="6" xfId="2" applyFont="1" applyFill="1" applyBorder="1" applyAlignment="1" applyProtection="1">
      <alignment horizontal="center" vertical="center"/>
      <protection locked="0"/>
    </xf>
    <xf numFmtId="0" fontId="7" fillId="13" borderId="2" xfId="0" applyFont="1" applyFill="1" applyBorder="1" applyAlignment="1" applyProtection="1">
      <alignment horizontal="center" vertical="center"/>
      <protection locked="0"/>
    </xf>
    <xf numFmtId="0" fontId="7" fillId="13" borderId="31" xfId="0" applyFont="1" applyFill="1" applyBorder="1" applyAlignment="1" applyProtection="1">
      <alignment horizontal="center" vertical="center"/>
      <protection locked="0"/>
    </xf>
    <xf numFmtId="0" fontId="14" fillId="13" borderId="2" xfId="2" applyFont="1" applyFill="1" applyBorder="1" applyAlignment="1" applyProtection="1">
      <alignment horizontal="center" vertical="center"/>
      <protection locked="0"/>
    </xf>
    <xf numFmtId="0" fontId="7" fillId="13" borderId="22" xfId="0" applyFont="1" applyFill="1" applyBorder="1" applyAlignment="1" applyProtection="1">
      <alignment horizontal="center" vertical="center"/>
      <protection locked="0"/>
    </xf>
    <xf numFmtId="0" fontId="0" fillId="13" borderId="0" xfId="0" applyFill="1" applyBorder="1" applyAlignment="1">
      <alignment horizontal="center" vertical="center"/>
    </xf>
    <xf numFmtId="164" fontId="28" fillId="0" borderId="0" xfId="0" applyNumberFormat="1" applyFont="1" applyProtection="1">
      <protection locked="0"/>
    </xf>
    <xf numFmtId="0" fontId="14" fillId="13" borderId="6" xfId="0" applyFont="1" applyFill="1" applyBorder="1" applyAlignment="1" applyProtection="1">
      <alignment horizontal="center" vertical="center"/>
      <protection locked="0"/>
    </xf>
    <xf numFmtId="0" fontId="9" fillId="13" borderId="6" xfId="0" applyFont="1" applyFill="1" applyBorder="1" applyAlignment="1" applyProtection="1">
      <alignment horizontal="center" vertical="center" wrapText="1"/>
      <protection locked="0"/>
    </xf>
    <xf numFmtId="0" fontId="3" fillId="5" borderId="21" xfId="0" applyFont="1" applyFill="1" applyBorder="1" applyAlignment="1" applyProtection="1">
      <alignment horizontal="center" vertical="center"/>
    </xf>
    <xf numFmtId="0" fontId="0" fillId="0" borderId="0" xfId="0" applyProtection="1"/>
    <xf numFmtId="0" fontId="28" fillId="14" borderId="0" xfId="0" applyFont="1" applyFill="1" applyProtection="1"/>
    <xf numFmtId="0" fontId="28" fillId="0" borderId="0" xfId="0" applyFont="1" applyProtection="1"/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8" fillId="0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7" fillId="14" borderId="6" xfId="0" applyFont="1" applyFill="1" applyBorder="1" applyAlignment="1" applyProtection="1">
      <alignment horizontal="center" vertical="center"/>
      <protection locked="0"/>
    </xf>
    <xf numFmtId="0" fontId="14" fillId="14" borderId="6" xfId="2" applyFont="1" applyFill="1" applyBorder="1" applyAlignment="1" applyProtection="1">
      <alignment horizontal="center" vertical="center"/>
      <protection locked="0"/>
    </xf>
    <xf numFmtId="0" fontId="14" fillId="0" borderId="25" xfId="0" applyFont="1" applyBorder="1" applyProtection="1"/>
    <xf numFmtId="0" fontId="7" fillId="0" borderId="42" xfId="0" applyFont="1" applyFill="1" applyBorder="1" applyAlignment="1" applyProtection="1">
      <alignment horizontal="left" vertical="center"/>
    </xf>
    <xf numFmtId="0" fontId="14" fillId="0" borderId="42" xfId="0" applyFont="1" applyBorder="1" applyProtection="1"/>
    <xf numFmtId="0" fontId="14" fillId="0" borderId="0" xfId="0" applyFont="1" applyBorder="1" applyProtection="1">
      <protection locked="0"/>
    </xf>
    <xf numFmtId="0" fontId="14" fillId="0" borderId="8" xfId="0" applyFont="1" applyBorder="1" applyProtection="1">
      <protection locked="0"/>
    </xf>
    <xf numFmtId="0" fontId="14" fillId="0" borderId="42" xfId="0" applyFont="1" applyBorder="1" applyProtection="1">
      <protection locked="0"/>
    </xf>
    <xf numFmtId="0" fontId="14" fillId="0" borderId="24" xfId="0" applyFont="1" applyBorder="1" applyProtection="1">
      <protection locked="0"/>
    </xf>
    <xf numFmtId="0" fontId="14" fillId="0" borderId="7" xfId="0" applyFont="1" applyBorder="1" applyProtection="1">
      <protection locked="0"/>
    </xf>
    <xf numFmtId="0" fontId="14" fillId="14" borderId="6" xfId="0" applyFont="1" applyFill="1" applyBorder="1" applyAlignment="1" applyProtection="1">
      <alignment horizontal="center" vertical="center"/>
      <protection locked="0"/>
    </xf>
    <xf numFmtId="0" fontId="10" fillId="5" borderId="20" xfId="0" applyFont="1" applyFill="1" applyBorder="1" applyAlignment="1" applyProtection="1">
      <alignment horizontal="center" vertical="center"/>
    </xf>
    <xf numFmtId="0" fontId="0" fillId="13" borderId="22" xfId="0" applyFill="1" applyBorder="1" applyAlignment="1" applyProtection="1">
      <alignment horizontal="center" vertical="center"/>
      <protection locked="0"/>
    </xf>
    <xf numFmtId="0" fontId="7" fillId="13" borderId="6" xfId="2" applyFont="1" applyFill="1" applyBorder="1" applyAlignment="1" applyProtection="1">
      <alignment horizontal="center" vertical="center"/>
      <protection locked="0"/>
    </xf>
    <xf numFmtId="0" fontId="7" fillId="13" borderId="31" xfId="2" applyFont="1" applyFill="1" applyBorder="1" applyAlignment="1" applyProtection="1">
      <alignment horizontal="center" vertical="center"/>
      <protection locked="0"/>
    </xf>
    <xf numFmtId="0" fontId="14" fillId="6" borderId="6" xfId="0" applyFont="1" applyFill="1" applyBorder="1" applyAlignment="1" applyProtection="1">
      <alignment horizontal="center" vertical="center"/>
      <protection locked="0"/>
    </xf>
    <xf numFmtId="0" fontId="10" fillId="11" borderId="6" xfId="0" applyNumberFormat="1" applyFont="1" applyFill="1" applyBorder="1" applyAlignment="1" applyProtection="1">
      <alignment horizontal="center" vertical="center" wrapText="1"/>
      <protection locked="0"/>
    </xf>
    <xf numFmtId="0" fontId="26" fillId="11" borderId="6" xfId="0" applyFont="1" applyFill="1" applyBorder="1" applyAlignment="1" applyProtection="1">
      <alignment horizontal="center" vertical="center"/>
      <protection locked="0"/>
    </xf>
    <xf numFmtId="0" fontId="16" fillId="11" borderId="6" xfId="0" applyFont="1" applyFill="1" applyBorder="1" applyAlignment="1" applyProtection="1">
      <alignment horizontal="center" vertical="center" wrapText="1"/>
      <protection locked="0"/>
    </xf>
    <xf numFmtId="0" fontId="9" fillId="11" borderId="6" xfId="0" applyNumberFormat="1" applyFont="1" applyFill="1" applyBorder="1" applyAlignment="1" applyProtection="1">
      <alignment horizontal="center" vertical="center" wrapText="1"/>
      <protection locked="0"/>
    </xf>
    <xf numFmtId="164" fontId="7" fillId="12" borderId="6" xfId="0" applyNumberFormat="1" applyFont="1" applyFill="1" applyBorder="1" applyAlignment="1" applyProtection="1">
      <alignment horizontal="center" vertical="center"/>
      <protection locked="0"/>
    </xf>
    <xf numFmtId="0" fontId="16" fillId="11" borderId="6" xfId="0" applyFont="1" applyFill="1" applyBorder="1" applyAlignment="1" applyProtection="1">
      <alignment horizontal="center" vertical="center"/>
      <protection locked="0"/>
    </xf>
    <xf numFmtId="165" fontId="7" fillId="12" borderId="6" xfId="0" applyNumberFormat="1" applyFont="1" applyFill="1" applyBorder="1" applyAlignment="1" applyProtection="1">
      <alignment horizontal="center" vertical="center"/>
      <protection locked="0"/>
    </xf>
    <xf numFmtId="0" fontId="31" fillId="0" borderId="0" xfId="0" applyFont="1" applyProtection="1"/>
    <xf numFmtId="0" fontId="2" fillId="7" borderId="6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left" vertical="center"/>
      <protection locked="0"/>
    </xf>
    <xf numFmtId="0" fontId="6" fillId="5" borderId="6" xfId="0" applyFont="1" applyFill="1" applyBorder="1" applyAlignment="1" applyProtection="1">
      <alignment horizontal="center" vertical="center" wrapText="1"/>
      <protection locked="0"/>
    </xf>
    <xf numFmtId="0" fontId="16" fillId="6" borderId="6" xfId="0" applyFont="1" applyFill="1" applyBorder="1" applyAlignment="1" applyProtection="1">
      <alignment horizontal="center" vertical="center"/>
      <protection locked="0"/>
    </xf>
    <xf numFmtId="0" fontId="15" fillId="6" borderId="6" xfId="0" applyFont="1" applyFill="1" applyBorder="1" applyAlignment="1" applyProtection="1">
      <alignment horizontal="center" vertical="center" wrapText="1"/>
      <protection locked="0"/>
    </xf>
    <xf numFmtId="0" fontId="30" fillId="6" borderId="6" xfId="0" applyFont="1" applyFill="1" applyBorder="1" applyAlignment="1" applyProtection="1">
      <alignment horizontal="center" vertical="center"/>
      <protection locked="0"/>
    </xf>
    <xf numFmtId="9" fontId="4" fillId="6" borderId="6" xfId="1" applyFont="1" applyFill="1" applyBorder="1" applyAlignment="1" applyProtection="1">
      <alignment horizontal="center" vertical="center"/>
      <protection locked="0"/>
    </xf>
    <xf numFmtId="0" fontId="0" fillId="6" borderId="6" xfId="0" applyFill="1" applyBorder="1" applyProtection="1">
      <protection locked="0"/>
    </xf>
    <xf numFmtId="0" fontId="3" fillId="5" borderId="6" xfId="0" applyFont="1" applyFill="1" applyBorder="1" applyAlignment="1" applyProtection="1">
      <alignment horizontal="left" vertical="center" wrapText="1"/>
      <protection locked="0"/>
    </xf>
    <xf numFmtId="0" fontId="9" fillId="5" borderId="6" xfId="0" applyNumberFormat="1" applyFont="1" applyFill="1" applyBorder="1" applyAlignment="1" applyProtection="1">
      <alignment horizontal="center" vertical="center" wrapText="1"/>
      <protection locked="0"/>
    </xf>
    <xf numFmtId="10" fontId="22" fillId="6" borderId="6" xfId="1" applyNumberFormat="1" applyFont="1" applyFill="1" applyBorder="1" applyAlignment="1" applyProtection="1">
      <alignment vertical="center"/>
      <protection locked="0"/>
    </xf>
    <xf numFmtId="164" fontId="30" fillId="6" borderId="6" xfId="0" applyNumberFormat="1" applyFont="1" applyFill="1" applyBorder="1" applyAlignment="1" applyProtection="1">
      <alignment horizontal="center" vertical="center"/>
      <protection locked="0"/>
    </xf>
    <xf numFmtId="164" fontId="7" fillId="6" borderId="6" xfId="0" applyNumberFormat="1" applyFont="1" applyFill="1" applyBorder="1" applyAlignment="1" applyProtection="1">
      <alignment horizontal="center" vertical="center"/>
      <protection locked="0"/>
    </xf>
    <xf numFmtId="0" fontId="3" fillId="5" borderId="19" xfId="0" applyFont="1" applyFill="1" applyBorder="1" applyAlignment="1" applyProtection="1">
      <alignment horizontal="center" vertical="center"/>
    </xf>
    <xf numFmtId="0" fontId="3" fillId="5" borderId="6" xfId="0" applyFont="1" applyFill="1" applyBorder="1" applyAlignment="1" applyProtection="1">
      <alignment horizontal="center" vertical="center"/>
    </xf>
    <xf numFmtId="0" fontId="2" fillId="7" borderId="26" xfId="0" applyFont="1" applyFill="1" applyBorder="1" applyAlignment="1" applyProtection="1">
      <alignment horizontal="center" vertical="center"/>
      <protection locked="0"/>
    </xf>
    <xf numFmtId="0" fontId="3" fillId="0" borderId="18" xfId="0" applyFont="1" applyFill="1" applyBorder="1" applyAlignment="1" applyProtection="1">
      <alignment horizontal="left" vertical="center"/>
      <protection locked="0"/>
    </xf>
    <xf numFmtId="0" fontId="6" fillId="5" borderId="44" xfId="0" applyFont="1" applyFill="1" applyBorder="1" applyAlignment="1" applyProtection="1">
      <alignment horizontal="center" vertical="center" wrapText="1"/>
      <protection locked="0"/>
    </xf>
    <xf numFmtId="9" fontId="11" fillId="8" borderId="6" xfId="1" applyFont="1" applyFill="1" applyBorder="1" applyAlignment="1" applyProtection="1">
      <alignment horizontal="center" vertical="center"/>
      <protection locked="0"/>
    </xf>
    <xf numFmtId="0" fontId="2" fillId="7" borderId="28" xfId="0" applyFont="1" applyFill="1" applyBorder="1" applyAlignment="1" applyProtection="1">
      <alignment horizontal="center" vertical="center"/>
      <protection locked="0"/>
    </xf>
    <xf numFmtId="0" fontId="3" fillId="0" borderId="6" xfId="0" applyFont="1" applyFill="1" applyBorder="1" applyAlignment="1" applyProtection="1">
      <alignment horizontal="left" vertical="center" wrapText="1"/>
      <protection locked="0"/>
    </xf>
    <xf numFmtId="0" fontId="9" fillId="5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6" xfId="0" quotePrefix="1" applyFont="1" applyFill="1" applyBorder="1" applyAlignment="1" applyProtection="1">
      <alignment horizontal="left" vertical="center" wrapText="1"/>
      <protection locked="0"/>
    </xf>
    <xf numFmtId="0" fontId="3" fillId="0" borderId="6" xfId="0" quotePrefix="1" applyFont="1" applyFill="1" applyBorder="1" applyAlignment="1" applyProtection="1">
      <alignment horizontal="left" vertical="center"/>
      <protection locked="0"/>
    </xf>
    <xf numFmtId="0" fontId="3" fillId="0" borderId="6" xfId="0" applyFont="1" applyFill="1" applyBorder="1" applyAlignment="1" applyProtection="1">
      <alignment horizontal="left" vertical="center"/>
      <protection locked="0"/>
    </xf>
    <xf numFmtId="0" fontId="6" fillId="5" borderId="3" xfId="0" applyFont="1" applyFill="1" applyBorder="1" applyAlignment="1" applyProtection="1">
      <alignment horizontal="center" vertical="center" wrapText="1"/>
      <protection locked="0"/>
    </xf>
    <xf numFmtId="0" fontId="6" fillId="5" borderId="3" xfId="0" applyFont="1" applyFill="1" applyBorder="1" applyAlignment="1" applyProtection="1">
      <alignment horizontal="center" vertical="center"/>
      <protection locked="0"/>
    </xf>
    <xf numFmtId="0" fontId="9" fillId="5" borderId="3" xfId="0" applyNumberFormat="1" applyFont="1" applyFill="1" applyBorder="1" applyAlignment="1" applyProtection="1">
      <alignment horizontal="center" vertical="center"/>
      <protection locked="0"/>
    </xf>
    <xf numFmtId="0" fontId="2" fillId="7" borderId="30" xfId="0" applyFont="1" applyFill="1" applyBorder="1" applyAlignment="1" applyProtection="1">
      <alignment horizontal="center" vertical="center"/>
      <protection locked="0"/>
    </xf>
    <xf numFmtId="0" fontId="3" fillId="0" borderId="31" xfId="0" applyFont="1" applyFill="1" applyBorder="1" applyAlignment="1" applyProtection="1">
      <alignment horizontal="left" vertical="center" wrapText="1"/>
      <protection locked="0"/>
    </xf>
    <xf numFmtId="0" fontId="9" fillId="5" borderId="4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32" fillId="6" borderId="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Protection="1"/>
    <xf numFmtId="0" fontId="8" fillId="5" borderId="3" xfId="0" applyFont="1" applyFill="1" applyBorder="1" applyAlignment="1" applyProtection="1">
      <alignment horizontal="center" vertical="center" wrapText="1"/>
      <protection locked="0"/>
    </xf>
    <xf numFmtId="0" fontId="14" fillId="13" borderId="22" xfId="2" applyFont="1" applyFill="1" applyBorder="1" applyAlignment="1" applyProtection="1">
      <alignment horizontal="center" vertical="center"/>
      <protection locked="0"/>
    </xf>
    <xf numFmtId="0" fontId="3" fillId="0" borderId="31" xfId="0" applyFont="1" applyFill="1" applyBorder="1" applyAlignment="1" applyProtection="1">
      <alignment horizontal="left" vertical="center"/>
      <protection locked="0"/>
    </xf>
    <xf numFmtId="9" fontId="11" fillId="6" borderId="6" xfId="1" applyFont="1" applyFill="1" applyBorder="1" applyAlignment="1" applyProtection="1">
      <alignment horizontal="center" vertical="center"/>
      <protection locked="0"/>
    </xf>
    <xf numFmtId="0" fontId="6" fillId="6" borderId="19" xfId="0" applyFont="1" applyFill="1" applyBorder="1" applyAlignment="1" applyProtection="1">
      <alignment horizontal="center" vertical="center" wrapText="1"/>
      <protection locked="0"/>
    </xf>
    <xf numFmtId="0" fontId="21" fillId="5" borderId="18" xfId="0" applyFont="1" applyFill="1" applyBorder="1" applyAlignment="1" applyProtection="1">
      <alignment horizontal="center" vertical="center" wrapText="1"/>
      <protection locked="0"/>
    </xf>
    <xf numFmtId="0" fontId="7" fillId="13" borderId="22" xfId="0" applyFont="1" applyFill="1" applyBorder="1" applyAlignment="1" applyProtection="1">
      <alignment horizontal="center" vertical="center"/>
    </xf>
    <xf numFmtId="0" fontId="9" fillId="5" borderId="6" xfId="0" applyNumberFormat="1" applyFont="1" applyFill="1" applyBorder="1" applyAlignment="1" applyProtection="1">
      <alignment horizontal="center" vertical="center"/>
      <protection locked="0"/>
    </xf>
    <xf numFmtId="0" fontId="8" fillId="5" borderId="6" xfId="0" applyFont="1" applyFill="1" applyBorder="1" applyAlignment="1" applyProtection="1">
      <alignment horizontal="center" vertical="center" wrapText="1"/>
      <protection locked="0"/>
    </xf>
    <xf numFmtId="0" fontId="6" fillId="5" borderId="6" xfId="0" applyFont="1" applyFill="1" applyBorder="1" applyAlignment="1" applyProtection="1">
      <alignment horizontal="center" vertical="center"/>
      <protection locked="0"/>
    </xf>
    <xf numFmtId="0" fontId="6" fillId="5" borderId="31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Fill="1" applyAlignment="1" applyProtection="1">
      <alignment horizontal="center" vertical="center"/>
    </xf>
    <xf numFmtId="0" fontId="3" fillId="5" borderId="19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7" fillId="14" borderId="22" xfId="0" applyFont="1" applyFill="1" applyBorder="1" applyAlignment="1" applyProtection="1">
      <alignment horizontal="center" vertical="center"/>
      <protection locked="0"/>
    </xf>
    <xf numFmtId="0" fontId="14" fillId="0" borderId="39" xfId="0" applyFont="1" applyBorder="1" applyProtection="1"/>
    <xf numFmtId="0" fontId="7" fillId="0" borderId="8" xfId="0" applyFont="1" applyFill="1" applyBorder="1" applyAlignment="1" applyProtection="1">
      <alignment horizontal="left" vertical="center" wrapText="1"/>
    </xf>
    <xf numFmtId="0" fontId="14" fillId="0" borderId="8" xfId="0" applyFont="1" applyBorder="1" applyProtection="1"/>
    <xf numFmtId="1" fontId="14" fillId="0" borderId="8" xfId="0" applyNumberFormat="1" applyFont="1" applyBorder="1" applyProtection="1">
      <protection locked="0"/>
    </xf>
    <xf numFmtId="1" fontId="14" fillId="0" borderId="42" xfId="0" applyNumberFormat="1" applyFont="1" applyBorder="1" applyProtection="1">
      <protection locked="0"/>
    </xf>
    <xf numFmtId="0" fontId="7" fillId="0" borderId="8" xfId="0" applyFont="1" applyFill="1" applyBorder="1" applyAlignment="1" applyProtection="1">
      <alignment horizontal="left" vertical="center"/>
    </xf>
    <xf numFmtId="0" fontId="7" fillId="0" borderId="4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164" fontId="7" fillId="14" borderId="6" xfId="0" applyNumberFormat="1" applyFont="1" applyFill="1" applyBorder="1" applyAlignment="1" applyProtection="1">
      <alignment horizontal="center" vertical="center"/>
      <protection locked="0"/>
    </xf>
    <xf numFmtId="2" fontId="3" fillId="0" borderId="6" xfId="0" quotePrefix="1" applyNumberFormat="1" applyFont="1" applyFill="1" applyBorder="1" applyAlignment="1">
      <alignment vertical="center"/>
    </xf>
    <xf numFmtId="0" fontId="3" fillId="0" borderId="47" xfId="0" applyFont="1" applyFill="1" applyBorder="1" applyAlignment="1" applyProtection="1">
      <alignment horizontal="left" vertical="center" wrapText="1"/>
      <protection locked="0"/>
    </xf>
    <xf numFmtId="0" fontId="9" fillId="5" borderId="48" xfId="0" applyNumberFormat="1" applyFont="1" applyFill="1" applyBorder="1" applyAlignment="1" applyProtection="1">
      <alignment horizontal="center" vertical="center"/>
      <protection locked="0"/>
    </xf>
    <xf numFmtId="0" fontId="7" fillId="13" borderId="7" xfId="0" applyFont="1" applyFill="1" applyBorder="1" applyAlignment="1" applyProtection="1">
      <alignment horizontal="center" vertical="center"/>
      <protection locked="0"/>
    </xf>
    <xf numFmtId="0" fontId="33" fillId="2" borderId="6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9" fillId="6" borderId="25" xfId="0" applyNumberFormat="1" applyFont="1" applyFill="1" applyBorder="1" applyAlignment="1" applyProtection="1">
      <alignment horizontal="center" vertical="center" wrapText="1"/>
      <protection locked="0"/>
    </xf>
    <xf numFmtId="0" fontId="7" fillId="6" borderId="19" xfId="0" applyFont="1" applyFill="1" applyBorder="1" applyAlignment="1" applyProtection="1">
      <alignment horizontal="center" vertical="center"/>
      <protection locked="0"/>
    </xf>
    <xf numFmtId="0" fontId="33" fillId="2" borderId="2" xfId="0" applyFont="1" applyFill="1" applyBorder="1" applyAlignment="1" applyProtection="1">
      <alignment horizontal="center" vertical="center"/>
      <protection locked="0"/>
    </xf>
    <xf numFmtId="0" fontId="30" fillId="6" borderId="19" xfId="0" applyFont="1" applyFill="1" applyBorder="1" applyAlignment="1" applyProtection="1">
      <alignment horizontal="center" vertical="center"/>
      <protection locked="0"/>
    </xf>
    <xf numFmtId="0" fontId="3" fillId="0" borderId="19" xfId="0" applyFont="1" applyFill="1" applyBorder="1" applyAlignment="1" applyProtection="1">
      <alignment horizontal="left" vertical="center"/>
      <protection locked="0"/>
    </xf>
    <xf numFmtId="0" fontId="2" fillId="7" borderId="36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left" vertical="center"/>
      <protection locked="0"/>
    </xf>
    <xf numFmtId="0" fontId="6" fillId="5" borderId="48" xfId="0" applyFont="1" applyFill="1" applyBorder="1" applyAlignment="1" applyProtection="1">
      <alignment horizontal="center" vertical="center" wrapText="1"/>
      <protection locked="0"/>
    </xf>
    <xf numFmtId="0" fontId="0" fillId="13" borderId="0" xfId="0" applyFill="1" applyBorder="1" applyAlignment="1" applyProtection="1">
      <alignment horizontal="center" vertical="center"/>
      <protection locked="0"/>
    </xf>
    <xf numFmtId="0" fontId="28" fillId="0" borderId="0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3" fillId="5" borderId="19" xfId="0" applyFont="1" applyFill="1" applyBorder="1" applyAlignment="1" applyProtection="1">
      <alignment horizontal="left" vertical="center"/>
      <protection locked="0"/>
    </xf>
    <xf numFmtId="0" fontId="3" fillId="5" borderId="19" xfId="0" applyFont="1" applyFill="1" applyBorder="1" applyAlignment="1" applyProtection="1">
      <alignment horizontal="left" vertical="center" wrapText="1"/>
      <protection locked="0"/>
    </xf>
    <xf numFmtId="0" fontId="9" fillId="6" borderId="65" xfId="0" applyNumberFormat="1" applyFont="1" applyFill="1" applyBorder="1" applyAlignment="1" applyProtection="1">
      <alignment horizontal="center" vertical="center" wrapText="1"/>
      <protection locked="0"/>
    </xf>
    <xf numFmtId="0" fontId="10" fillId="11" borderId="18" xfId="0" applyNumberFormat="1" applyFont="1" applyFill="1" applyBorder="1" applyAlignment="1" applyProtection="1">
      <alignment horizontal="center" vertical="center" wrapText="1"/>
      <protection locked="0"/>
    </xf>
    <xf numFmtId="0" fontId="26" fillId="11" borderId="18" xfId="0" applyFont="1" applyFill="1" applyBorder="1" applyAlignment="1" applyProtection="1">
      <alignment horizontal="center" vertical="center"/>
      <protection locked="0"/>
    </xf>
    <xf numFmtId="0" fontId="16" fillId="11" borderId="27" xfId="0" applyFont="1" applyFill="1" applyBorder="1" applyAlignment="1" applyProtection="1">
      <alignment horizontal="center" vertical="center" wrapText="1"/>
      <protection locked="0"/>
    </xf>
    <xf numFmtId="0" fontId="9" fillId="11" borderId="31" xfId="0" applyNumberFormat="1" applyFont="1" applyFill="1" applyBorder="1" applyAlignment="1" applyProtection="1">
      <alignment horizontal="center" vertical="center" wrapText="1"/>
      <protection locked="0"/>
    </xf>
    <xf numFmtId="0" fontId="16" fillId="11" borderId="31" xfId="0" applyFont="1" applyFill="1" applyBorder="1" applyAlignment="1" applyProtection="1">
      <alignment horizontal="center" vertical="center"/>
      <protection locked="0"/>
    </xf>
    <xf numFmtId="9" fontId="4" fillId="6" borderId="33" xfId="1" applyFont="1" applyFill="1" applyBorder="1" applyAlignment="1" applyProtection="1">
      <alignment horizontal="center" vertical="center"/>
      <protection locked="0"/>
    </xf>
    <xf numFmtId="10" fontId="22" fillId="6" borderId="27" xfId="1" applyNumberFormat="1" applyFont="1" applyFill="1" applyBorder="1" applyAlignment="1" applyProtection="1">
      <alignment vertical="center"/>
      <protection locked="0"/>
    </xf>
    <xf numFmtId="0" fontId="29" fillId="0" borderId="0" xfId="0" applyFont="1" applyFill="1" applyAlignment="1" applyProtection="1">
      <alignment vertical="center"/>
      <protection locked="0"/>
    </xf>
    <xf numFmtId="0" fontId="3" fillId="0" borderId="8" xfId="0" applyFont="1" applyFill="1" applyBorder="1" applyAlignment="1" applyProtection="1">
      <alignment vertical="center"/>
      <protection locked="0"/>
    </xf>
    <xf numFmtId="9" fontId="11" fillId="0" borderId="0" xfId="1" applyFont="1" applyFill="1" applyBorder="1" applyAlignment="1" applyProtection="1">
      <alignment horizontal="center" vertical="center"/>
      <protection locked="0"/>
    </xf>
    <xf numFmtId="10" fontId="22" fillId="6" borderId="29" xfId="1" applyNumberFormat="1" applyFont="1" applyFill="1" applyBorder="1" applyAlignment="1" applyProtection="1">
      <alignment vertical="center"/>
      <protection locked="0"/>
    </xf>
    <xf numFmtId="0" fontId="2" fillId="7" borderId="69" xfId="0" applyFont="1" applyFill="1" applyBorder="1" applyAlignment="1" applyProtection="1">
      <alignment horizontal="center" vertical="center"/>
      <protection locked="0"/>
    </xf>
    <xf numFmtId="10" fontId="22" fillId="6" borderId="64" xfId="1" applyNumberFormat="1" applyFont="1" applyFill="1" applyBorder="1" applyAlignment="1" applyProtection="1">
      <alignment vertical="center"/>
      <protection locked="0"/>
    </xf>
    <xf numFmtId="9" fontId="4" fillId="6" borderId="70" xfId="1" applyFont="1" applyFill="1" applyBorder="1" applyAlignment="1" applyProtection="1">
      <alignment horizontal="center" vertical="center"/>
      <protection locked="0"/>
    </xf>
    <xf numFmtId="10" fontId="22" fillId="6" borderId="35" xfId="1" applyNumberFormat="1" applyFont="1" applyFill="1" applyBorder="1" applyAlignment="1" applyProtection="1">
      <alignment vertical="center"/>
      <protection locked="0"/>
    </xf>
    <xf numFmtId="0" fontId="7" fillId="0" borderId="31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center" vertical="center"/>
      <protection locked="0"/>
    </xf>
    <xf numFmtId="166" fontId="27" fillId="0" borderId="5" xfId="1" applyNumberFormat="1" applyFont="1" applyFill="1" applyBorder="1" applyAlignment="1" applyProtection="1">
      <alignment vertical="center"/>
      <protection locked="0"/>
    </xf>
    <xf numFmtId="0" fontId="3" fillId="0" borderId="71" xfId="0" applyFont="1" applyFill="1" applyBorder="1" applyAlignment="1" applyProtection="1">
      <alignment vertical="center"/>
      <protection locked="0"/>
    </xf>
    <xf numFmtId="0" fontId="10" fillId="0" borderId="5" xfId="0" applyFont="1" applyFill="1" applyBorder="1" applyAlignment="1" applyProtection="1">
      <alignment horizontal="center" vertical="center"/>
      <protection locked="0"/>
    </xf>
    <xf numFmtId="0" fontId="3" fillId="0" borderId="4" xfId="0" applyFont="1" applyFill="1" applyBorder="1" applyAlignment="1" applyProtection="1">
      <alignment vertical="center"/>
      <protection locked="0"/>
    </xf>
    <xf numFmtId="0" fontId="0" fillId="0" borderId="5" xfId="0" applyFill="1" applyBorder="1" applyProtection="1">
      <protection locked="0"/>
    </xf>
    <xf numFmtId="0" fontId="37" fillId="0" borderId="66" xfId="0" applyFont="1" applyFill="1" applyBorder="1" applyAlignment="1">
      <alignment horizontal="left" vertical="center"/>
    </xf>
    <xf numFmtId="2" fontId="37" fillId="0" borderId="66" xfId="0" applyNumberFormat="1" applyFont="1" applyFill="1" applyBorder="1" applyAlignment="1">
      <alignment horizontal="left" vertical="center"/>
    </xf>
    <xf numFmtId="16" fontId="0" fillId="0" borderId="0" xfId="0" applyNumberFormat="1" applyProtection="1">
      <protection locked="0"/>
    </xf>
    <xf numFmtId="0" fontId="37" fillId="0" borderId="31" xfId="0" applyFont="1" applyFill="1" applyBorder="1" applyAlignment="1">
      <alignment horizontal="center" vertical="center"/>
    </xf>
    <xf numFmtId="0" fontId="37" fillId="0" borderId="68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vertical="center"/>
    </xf>
    <xf numFmtId="2" fontId="37" fillId="0" borderId="6" xfId="0" applyNumberFormat="1" applyFont="1" applyFill="1" applyBorder="1" applyAlignment="1">
      <alignment horizontal="left" vertical="center"/>
    </xf>
    <xf numFmtId="0" fontId="37" fillId="0" borderId="6" xfId="0" applyFont="1" applyFill="1" applyBorder="1" applyAlignment="1">
      <alignment horizontal="left" vertical="center"/>
    </xf>
    <xf numFmtId="2" fontId="3" fillId="0" borderId="6" xfId="0" applyNumberFormat="1" applyFont="1" applyFill="1" applyBorder="1" applyAlignment="1">
      <alignment vertical="center"/>
    </xf>
    <xf numFmtId="0" fontId="38" fillId="0" borderId="6" xfId="0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Fill="1"/>
    <xf numFmtId="1" fontId="0" fillId="3" borderId="32" xfId="0" applyNumberFormat="1" applyFill="1" applyBorder="1" applyAlignment="1">
      <alignment horizontal="center" vertical="center"/>
    </xf>
    <xf numFmtId="1" fontId="0" fillId="3" borderId="31" xfId="0" applyNumberFormat="1" applyFill="1" applyBorder="1" applyAlignment="1">
      <alignment horizontal="center" vertical="center"/>
    </xf>
    <xf numFmtId="0" fontId="40" fillId="19" borderId="15" xfId="0" applyFont="1" applyFill="1" applyBorder="1" applyAlignment="1">
      <alignment horizontal="center" vertical="center"/>
    </xf>
    <xf numFmtId="1" fontId="0" fillId="20" borderId="29" xfId="0" applyNumberFormat="1" applyFill="1" applyBorder="1" applyAlignment="1">
      <alignment horizontal="center" vertical="center"/>
    </xf>
    <xf numFmtId="1" fontId="0" fillId="19" borderId="23" xfId="0" applyNumberFormat="1" applyFill="1" applyBorder="1" applyAlignment="1">
      <alignment horizontal="center" vertical="center"/>
    </xf>
    <xf numFmtId="0" fontId="0" fillId="19" borderId="23" xfId="0" applyFill="1" applyBorder="1" applyAlignment="1">
      <alignment horizontal="center" vertical="center"/>
    </xf>
    <xf numFmtId="0" fontId="0" fillId="19" borderId="70" xfId="0" applyFill="1" applyBorder="1" applyAlignment="1">
      <alignment horizontal="center" vertical="center"/>
    </xf>
    <xf numFmtId="0" fontId="40" fillId="3" borderId="74" xfId="0" applyFont="1" applyFill="1" applyBorder="1" applyAlignment="1">
      <alignment horizontal="center" vertical="center"/>
    </xf>
    <xf numFmtId="1" fontId="0" fillId="2" borderId="21" xfId="0" applyNumberFormat="1" applyFill="1" applyBorder="1" applyAlignment="1">
      <alignment horizontal="center" vertical="center"/>
    </xf>
    <xf numFmtId="1" fontId="0" fillId="2" borderId="20" xfId="0" applyNumberFormat="1" applyFill="1" applyBorder="1" applyAlignment="1">
      <alignment horizontal="center" vertical="center"/>
    </xf>
    <xf numFmtId="1" fontId="0" fillId="2" borderId="75" xfId="0" applyNumberFormat="1" applyFill="1" applyBorder="1" applyAlignment="1">
      <alignment horizontal="center" vertical="center"/>
    </xf>
    <xf numFmtId="0" fontId="40" fillId="2" borderId="74" xfId="0" applyFont="1" applyFill="1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0" fontId="40" fillId="2" borderId="76" xfId="0" applyFont="1" applyFill="1" applyBorder="1" applyAlignment="1">
      <alignment horizontal="center" vertical="center"/>
    </xf>
    <xf numFmtId="0" fontId="40" fillId="2" borderId="77" xfId="0" applyFont="1" applyFill="1" applyBorder="1" applyAlignment="1">
      <alignment horizontal="center" vertical="center"/>
    </xf>
    <xf numFmtId="0" fontId="0" fillId="19" borderId="32" xfId="0" applyFill="1" applyBorder="1" applyAlignment="1">
      <alignment horizontal="center" vertical="center"/>
    </xf>
    <xf numFmtId="0" fontId="0" fillId="19" borderId="31" xfId="0" applyFill="1" applyBorder="1" applyAlignment="1">
      <alignment horizontal="center" vertical="center"/>
    </xf>
    <xf numFmtId="0" fontId="0" fillId="19" borderId="34" xfId="0" applyFill="1" applyBorder="1" applyAlignment="1">
      <alignment horizontal="center" vertical="center"/>
    </xf>
    <xf numFmtId="1" fontId="0" fillId="18" borderId="31" xfId="0" applyNumberFormat="1" applyFill="1" applyBorder="1" applyAlignment="1">
      <alignment horizontal="center" vertical="center"/>
    </xf>
    <xf numFmtId="1" fontId="0" fillId="18" borderId="30" xfId="0" applyNumberFormat="1" applyFill="1" applyBorder="1" applyAlignment="1">
      <alignment horizontal="center" vertical="center"/>
    </xf>
    <xf numFmtId="0" fontId="40" fillId="3" borderId="81" xfId="0" applyFont="1" applyFill="1" applyBorder="1" applyAlignment="1">
      <alignment horizontal="center" vertical="center"/>
    </xf>
    <xf numFmtId="1" fontId="0" fillId="19" borderId="82" xfId="0" applyNumberFormat="1" applyFill="1" applyBorder="1" applyAlignment="1">
      <alignment horizontal="center" vertical="center"/>
    </xf>
    <xf numFmtId="1" fontId="0" fillId="19" borderId="83" xfId="0" applyNumberFormat="1" applyFill="1" applyBorder="1" applyAlignment="1">
      <alignment horizontal="center" vertical="center"/>
    </xf>
    <xf numFmtId="1" fontId="0" fillId="19" borderId="36" xfId="0" applyNumberFormat="1" applyFill="1" applyBorder="1" applyAlignment="1">
      <alignment horizontal="center" vertical="center"/>
    </xf>
    <xf numFmtId="0" fontId="40" fillId="3" borderId="84" xfId="0" applyFont="1" applyFill="1" applyBorder="1" applyAlignment="1">
      <alignment horizontal="center" vertical="center"/>
    </xf>
    <xf numFmtId="1" fontId="0" fillId="2" borderId="6" xfId="0" applyNumberFormat="1" applyFill="1" applyBorder="1" applyAlignment="1">
      <alignment horizontal="center" vertical="center"/>
    </xf>
    <xf numFmtId="1" fontId="0" fillId="2" borderId="36" xfId="0" applyNumberFormat="1" applyFill="1" applyBorder="1" applyAlignment="1">
      <alignment horizontal="center" vertical="center"/>
    </xf>
    <xf numFmtId="0" fontId="40" fillId="3" borderId="76" xfId="0" applyFont="1" applyFill="1" applyBorder="1" applyAlignment="1">
      <alignment horizontal="center" vertical="center"/>
    </xf>
    <xf numFmtId="1" fontId="0" fillId="0" borderId="49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71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40" fillId="2" borderId="85" xfId="0" applyFont="1" applyFill="1" applyBorder="1" applyAlignment="1">
      <alignment horizontal="center" vertical="center"/>
    </xf>
    <xf numFmtId="9" fontId="0" fillId="0" borderId="0" xfId="0" applyNumberFormat="1" applyAlignment="1">
      <alignment vertical="center"/>
    </xf>
    <xf numFmtId="9" fontId="0" fillId="19" borderId="21" xfId="0" applyNumberFormat="1" applyFill="1" applyBorder="1" applyAlignment="1">
      <alignment horizontal="center" vertical="center"/>
    </xf>
    <xf numFmtId="9" fontId="0" fillId="19" borderId="20" xfId="0" applyNumberFormat="1" applyFill="1" applyBorder="1" applyAlignment="1">
      <alignment horizontal="center" vertical="center"/>
    </xf>
    <xf numFmtId="9" fontId="0" fillId="19" borderId="75" xfId="0" applyNumberFormat="1" applyFill="1" applyBorder="1" applyAlignment="1">
      <alignment horizontal="center" vertical="center"/>
    </xf>
    <xf numFmtId="0" fontId="0" fillId="3" borderId="74" xfId="0" applyFill="1" applyBorder="1" applyAlignment="1">
      <alignment horizontal="center" vertical="center"/>
    </xf>
    <xf numFmtId="9" fontId="0" fillId="0" borderId="32" xfId="0" applyNumberFormat="1" applyBorder="1" applyAlignment="1">
      <alignment horizontal="center" vertical="center"/>
    </xf>
    <xf numFmtId="9" fontId="0" fillId="0" borderId="31" xfId="0" applyNumberFormat="1" applyBorder="1" applyAlignment="1">
      <alignment horizontal="center" vertical="center"/>
    </xf>
    <xf numFmtId="9" fontId="0" fillId="0" borderId="34" xfId="0" applyNumberFormat="1" applyBorder="1" applyAlignment="1">
      <alignment horizontal="center" vertical="center"/>
    </xf>
    <xf numFmtId="0" fontId="0" fillId="2" borderId="81" xfId="0" applyFill="1" applyBorder="1" applyAlignment="1">
      <alignment horizontal="center" vertical="center"/>
    </xf>
    <xf numFmtId="9" fontId="14" fillId="0" borderId="31" xfId="0" applyNumberFormat="1" applyFont="1" applyFill="1" applyBorder="1" applyAlignment="1">
      <alignment horizontal="center" vertical="center"/>
    </xf>
    <xf numFmtId="9" fontId="0" fillId="0" borderId="29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21" borderId="6" xfId="0" applyNumberFormat="1" applyFill="1" applyBorder="1" applyAlignment="1">
      <alignment horizontal="center" vertical="center"/>
    </xf>
    <xf numFmtId="9" fontId="0" fillId="0" borderId="22" xfId="0" applyNumberFormat="1" applyBorder="1" applyAlignment="1">
      <alignment horizontal="center" vertical="center"/>
    </xf>
    <xf numFmtId="0" fontId="0" fillId="2" borderId="76" xfId="0" applyFill="1" applyBorder="1" applyAlignment="1">
      <alignment horizontal="center" vertical="center"/>
    </xf>
    <xf numFmtId="9" fontId="14" fillId="21" borderId="6" xfId="0" applyNumberFormat="1" applyFont="1" applyFill="1" applyBorder="1" applyAlignment="1">
      <alignment horizontal="center" vertical="center"/>
    </xf>
    <xf numFmtId="9" fontId="0" fillId="21" borderId="22" xfId="0" applyNumberFormat="1" applyFill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10" fontId="0" fillId="0" borderId="31" xfId="0" applyNumberFormat="1" applyBorder="1" applyAlignment="1">
      <alignment horizontal="center" vertical="center"/>
    </xf>
    <xf numFmtId="0" fontId="40" fillId="2" borderId="81" xfId="0" applyFont="1" applyFill="1" applyBorder="1" applyAlignment="1">
      <alignment horizontal="center" vertical="center"/>
    </xf>
    <xf numFmtId="9" fontId="14" fillId="0" borderId="6" xfId="0" applyNumberFormat="1" applyFont="1" applyFill="1" applyBorder="1" applyAlignment="1">
      <alignment horizontal="center" vertical="center"/>
    </xf>
    <xf numFmtId="10" fontId="0" fillId="0" borderId="18" xfId="0" applyNumberFormat="1" applyBorder="1" applyAlignment="1">
      <alignment horizontal="center" vertical="center"/>
    </xf>
    <xf numFmtId="9" fontId="0" fillId="0" borderId="18" xfId="0" applyNumberFormat="1" applyBorder="1" applyAlignment="1">
      <alignment horizontal="center" vertical="center"/>
    </xf>
    <xf numFmtId="9" fontId="0" fillId="0" borderId="33" xfId="0" applyNumberFormat="1" applyBorder="1" applyAlignment="1">
      <alignment horizontal="center" vertical="center"/>
    </xf>
    <xf numFmtId="9" fontId="0" fillId="0" borderId="27" xfId="0" applyNumberFormat="1" applyBorder="1" applyAlignment="1">
      <alignment horizontal="center" vertical="center"/>
    </xf>
    <xf numFmtId="9" fontId="0" fillId="22" borderId="6" xfId="0" applyNumberFormat="1" applyFill="1" applyBorder="1" applyAlignment="1">
      <alignment horizontal="center" vertical="center"/>
    </xf>
    <xf numFmtId="9" fontId="0" fillId="21" borderId="18" xfId="0" applyNumberFormat="1" applyFill="1" applyBorder="1" applyAlignment="1">
      <alignment horizontal="center" vertical="center"/>
    </xf>
    <xf numFmtId="9" fontId="0" fillId="21" borderId="33" xfId="0" applyNumberFormat="1" applyFill="1" applyBorder="1" applyAlignment="1">
      <alignment horizontal="center" vertical="center"/>
    </xf>
    <xf numFmtId="0" fontId="0" fillId="2" borderId="77" xfId="0" applyFill="1" applyBorder="1" applyAlignment="1">
      <alignment horizontal="center" vertical="center"/>
    </xf>
    <xf numFmtId="9" fontId="14" fillId="0" borderId="18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9" fontId="0" fillId="0" borderId="0" xfId="0" applyNumberFormat="1"/>
    <xf numFmtId="0" fontId="3" fillId="0" borderId="90" xfId="0" applyFont="1" applyFill="1" applyBorder="1" applyAlignment="1">
      <alignment vertical="center"/>
    </xf>
    <xf numFmtId="0" fontId="10" fillId="3" borderId="93" xfId="0" applyNumberFormat="1" applyFont="1" applyFill="1" applyBorder="1" applyAlignment="1">
      <alignment horizontal="center" vertical="center" wrapText="1"/>
    </xf>
    <xf numFmtId="0" fontId="33" fillId="0" borderId="98" xfId="0" applyFont="1" applyFill="1" applyBorder="1" applyAlignment="1">
      <alignment horizontal="center" vertical="center" wrapText="1"/>
    </xf>
    <xf numFmtId="0" fontId="45" fillId="0" borderId="0" xfId="0" applyFont="1" applyFill="1" applyAlignment="1">
      <alignment vertical="center"/>
    </xf>
    <xf numFmtId="0" fontId="9" fillId="0" borderId="3" xfId="0" applyNumberFormat="1" applyFont="1" applyFill="1" applyBorder="1" applyAlignment="1">
      <alignment horizontal="center" vertical="center" wrapText="1"/>
    </xf>
    <xf numFmtId="164" fontId="7" fillId="0" borderId="100" xfId="0" applyNumberFormat="1" applyFont="1" applyFill="1" applyBorder="1" applyAlignment="1">
      <alignment horizontal="center" vertical="center"/>
    </xf>
    <xf numFmtId="164" fontId="7" fillId="0" borderId="101" xfId="0" applyNumberFormat="1" applyFont="1" applyFill="1" applyBorder="1" applyAlignment="1">
      <alignment horizontal="center" vertical="center"/>
    </xf>
    <xf numFmtId="164" fontId="7" fillId="0" borderId="102" xfId="0" applyNumberFormat="1" applyFont="1" applyFill="1" applyBorder="1" applyAlignment="1">
      <alignment horizontal="center" vertical="center"/>
    </xf>
    <xf numFmtId="164" fontId="7" fillId="0" borderId="103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9" fillId="0" borderId="108" xfId="0" applyNumberFormat="1" applyFont="1" applyFill="1" applyBorder="1" applyAlignment="1">
      <alignment horizontal="center" vertical="center" wrapText="1"/>
    </xf>
    <xf numFmtId="165" fontId="7" fillId="0" borderId="109" xfId="0" applyNumberFormat="1" applyFont="1" applyFill="1" applyBorder="1" applyAlignment="1">
      <alignment horizontal="center" vertical="center"/>
    </xf>
    <xf numFmtId="165" fontId="7" fillId="0" borderId="110" xfId="0" applyNumberFormat="1" applyFont="1" applyFill="1" applyBorder="1" applyAlignment="1">
      <alignment horizontal="center" vertical="center"/>
    </xf>
    <xf numFmtId="165" fontId="7" fillId="0" borderId="111" xfId="0" applyNumberFormat="1" applyFont="1" applyFill="1" applyBorder="1" applyAlignment="1">
      <alignment horizontal="center" vertical="center"/>
    </xf>
    <xf numFmtId="165" fontId="7" fillId="0" borderId="112" xfId="0" applyNumberFormat="1" applyFont="1" applyFill="1" applyBorder="1" applyAlignment="1">
      <alignment horizontal="center" vertical="center"/>
    </xf>
    <xf numFmtId="0" fontId="2" fillId="0" borderId="86" xfId="0" applyFont="1" applyFill="1" applyBorder="1" applyAlignment="1">
      <alignment horizontal="center" vertical="center"/>
    </xf>
    <xf numFmtId="0" fontId="46" fillId="5" borderId="116" xfId="0" applyFont="1" applyFill="1" applyBorder="1" applyAlignment="1">
      <alignment vertical="center"/>
    </xf>
    <xf numFmtId="0" fontId="47" fillId="5" borderId="117" xfId="0" applyFont="1" applyFill="1" applyBorder="1" applyAlignment="1">
      <alignment horizontal="center" vertical="center" wrapText="1"/>
    </xf>
    <xf numFmtId="0" fontId="7" fillId="5" borderId="118" xfId="0" applyFont="1" applyFill="1" applyBorder="1" applyAlignment="1">
      <alignment horizontal="center" vertical="center"/>
    </xf>
    <xf numFmtId="0" fontId="7" fillId="5" borderId="119" xfId="0" applyFont="1" applyFill="1" applyBorder="1" applyAlignment="1">
      <alignment horizontal="center" vertical="center"/>
    </xf>
    <xf numFmtId="9" fontId="4" fillId="5" borderId="2" xfId="1" applyFont="1" applyFill="1" applyBorder="1" applyAlignment="1">
      <alignment horizontal="center" vertical="center"/>
    </xf>
    <xf numFmtId="9" fontId="48" fillId="5" borderId="120" xfId="1" applyFont="1" applyFill="1" applyBorder="1" applyAlignment="1">
      <alignment horizontal="center" vertical="center"/>
    </xf>
    <xf numFmtId="0" fontId="2" fillId="5" borderId="12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2" fillId="0" borderId="87" xfId="0" applyFont="1" applyFill="1" applyBorder="1" applyAlignment="1">
      <alignment horizontal="center" vertical="center"/>
    </xf>
    <xf numFmtId="0" fontId="50" fillId="0" borderId="123" xfId="0" applyFont="1" applyFill="1" applyBorder="1" applyAlignment="1">
      <alignment horizontal="left" vertical="center"/>
    </xf>
    <xf numFmtId="0" fontId="6" fillId="0" borderId="123" xfId="0" applyFont="1" applyFill="1" applyBorder="1" applyAlignment="1">
      <alignment horizontal="center" vertical="center" wrapText="1"/>
    </xf>
    <xf numFmtId="0" fontId="7" fillId="0" borderId="52" xfId="0" applyFont="1" applyFill="1" applyBorder="1" applyAlignment="1">
      <alignment horizontal="center" vertical="center"/>
    </xf>
    <xf numFmtId="0" fontId="7" fillId="0" borderId="57" xfId="0" applyFont="1" applyFill="1" applyBorder="1" applyAlignment="1">
      <alignment horizontal="center" vertical="center"/>
    </xf>
    <xf numFmtId="9" fontId="51" fillId="3" borderId="6" xfId="1" applyFont="1" applyFill="1" applyBorder="1" applyAlignment="1">
      <alignment vertical="center"/>
    </xf>
    <xf numFmtId="9" fontId="48" fillId="0" borderId="0" xfId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50" fillId="0" borderId="125" xfId="0" applyFont="1" applyFill="1" applyBorder="1" applyAlignment="1">
      <alignment vertical="center"/>
    </xf>
    <xf numFmtId="0" fontId="8" fillId="0" borderId="59" xfId="0" applyFont="1" applyFill="1" applyBorder="1" applyAlignment="1">
      <alignment horizontal="center" vertical="center" wrapText="1"/>
    </xf>
    <xf numFmtId="0" fontId="50" fillId="0" borderId="126" xfId="0" applyFont="1" applyFill="1" applyBorder="1" applyAlignment="1">
      <alignment vertical="center"/>
    </xf>
    <xf numFmtId="0" fontId="6" fillId="0" borderId="127" xfId="0" applyFont="1" applyFill="1" applyBorder="1" applyAlignment="1">
      <alignment horizontal="center" vertical="center" wrapText="1"/>
    </xf>
    <xf numFmtId="0" fontId="7" fillId="0" borderId="54" xfId="0" applyFont="1" applyFill="1" applyBorder="1" applyAlignment="1">
      <alignment horizontal="center" vertical="center"/>
    </xf>
    <xf numFmtId="0" fontId="14" fillId="0" borderId="54" xfId="2" applyFont="1" applyFill="1" applyBorder="1" applyAlignment="1" applyProtection="1">
      <alignment horizontal="center" vertical="center"/>
      <protection locked="0"/>
    </xf>
    <xf numFmtId="0" fontId="7" fillId="0" borderId="58" xfId="0" applyFont="1" applyFill="1" applyBorder="1" applyAlignment="1">
      <alignment horizontal="center" vertical="center"/>
    </xf>
    <xf numFmtId="0" fontId="50" fillId="0" borderId="89" xfId="0" applyFont="1" applyFill="1" applyBorder="1" applyAlignment="1">
      <alignment vertical="center" wrapText="1"/>
    </xf>
    <xf numFmtId="0" fontId="9" fillId="0" borderId="62" xfId="0" applyNumberFormat="1" applyFont="1" applyFill="1" applyBorder="1" applyAlignment="1">
      <alignment horizontal="center" vertical="center" wrapText="1"/>
    </xf>
    <xf numFmtId="0" fontId="7" fillId="0" borderId="128" xfId="0" applyFont="1" applyFill="1" applyBorder="1" applyAlignment="1">
      <alignment horizontal="center" vertical="center"/>
    </xf>
    <xf numFmtId="0" fontId="14" fillId="0" borderId="128" xfId="2" applyFont="1" applyFill="1" applyBorder="1" applyAlignment="1" applyProtection="1">
      <alignment horizontal="center" vertical="center"/>
      <protection locked="0"/>
    </xf>
    <xf numFmtId="0" fontId="7" fillId="0" borderId="129" xfId="0" applyFont="1" applyFill="1" applyBorder="1" applyAlignment="1">
      <alignment horizontal="center" vertical="center"/>
    </xf>
    <xf numFmtId="0" fontId="3" fillId="0" borderId="123" xfId="0" applyFont="1" applyFill="1" applyBorder="1" applyAlignment="1">
      <alignment vertical="center"/>
    </xf>
    <xf numFmtId="0" fontId="6" fillId="0" borderId="59" xfId="0" applyFont="1" applyFill="1" applyBorder="1" applyAlignment="1">
      <alignment horizontal="center" vertical="center" wrapText="1"/>
    </xf>
    <xf numFmtId="0" fontId="14" fillId="0" borderId="52" xfId="2" applyFont="1" applyFill="1" applyBorder="1" applyAlignment="1" applyProtection="1">
      <alignment horizontal="center" vertical="center"/>
      <protection locked="0"/>
    </xf>
    <xf numFmtId="0" fontId="3" fillId="0" borderId="130" xfId="0" applyFont="1" applyFill="1" applyBorder="1" applyAlignment="1">
      <alignment horizontal="left" vertical="center" wrapText="1"/>
    </xf>
    <xf numFmtId="0" fontId="6" fillId="0" borderId="130" xfId="0" applyFont="1" applyFill="1" applyBorder="1" applyAlignment="1">
      <alignment horizontal="center" vertical="center"/>
    </xf>
    <xf numFmtId="0" fontId="9" fillId="0" borderId="131" xfId="0" applyNumberFormat="1" applyFont="1" applyFill="1" applyBorder="1" applyAlignment="1">
      <alignment horizontal="center" vertical="center"/>
    </xf>
    <xf numFmtId="0" fontId="7" fillId="0" borderId="132" xfId="0" applyFont="1" applyFill="1" applyBorder="1" applyAlignment="1">
      <alignment horizontal="center" vertical="center"/>
    </xf>
    <xf numFmtId="0" fontId="14" fillId="0" borderId="132" xfId="2" applyFont="1" applyFill="1" applyBorder="1" applyAlignment="1" applyProtection="1">
      <alignment horizontal="center" vertical="center"/>
      <protection locked="0"/>
    </xf>
    <xf numFmtId="0" fontId="7" fillId="0" borderId="133" xfId="0" applyFont="1" applyFill="1" applyBorder="1" applyAlignment="1">
      <alignment horizontal="center" vertical="center"/>
    </xf>
    <xf numFmtId="0" fontId="50" fillId="0" borderId="134" xfId="0" applyFont="1" applyFill="1" applyBorder="1" applyAlignment="1">
      <alignment vertical="center"/>
    </xf>
    <xf numFmtId="0" fontId="9" fillId="0" borderId="135" xfId="0" applyNumberFormat="1" applyFont="1" applyFill="1" applyBorder="1" applyAlignment="1">
      <alignment horizontal="center" vertical="center" wrapText="1"/>
    </xf>
    <xf numFmtId="0" fontId="7" fillId="0" borderId="51" xfId="0" applyFont="1" applyFill="1" applyBorder="1" applyAlignment="1">
      <alignment horizontal="center" vertical="center"/>
    </xf>
    <xf numFmtId="0" fontId="14" fillId="0" borderId="51" xfId="2" applyFont="1" applyFill="1" applyBorder="1" applyAlignment="1" applyProtection="1">
      <alignment horizontal="center" vertical="center"/>
      <protection locked="0"/>
    </xf>
    <xf numFmtId="0" fontId="7" fillId="0" borderId="56" xfId="0" applyFont="1" applyFill="1" applyBorder="1" applyAlignment="1">
      <alignment horizontal="center" vertical="center"/>
    </xf>
    <xf numFmtId="0" fontId="50" fillId="0" borderId="89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62" xfId="0" applyFont="1" applyFill="1" applyBorder="1" applyAlignment="1">
      <alignment horizontal="center" vertical="center" wrapText="1"/>
    </xf>
    <xf numFmtId="0" fontId="6" fillId="0" borderId="123" xfId="0" applyFont="1" applyFill="1" applyBorder="1" applyAlignment="1">
      <alignment horizontal="center" vertical="center"/>
    </xf>
    <xf numFmtId="0" fontId="7" fillId="0" borderId="72" xfId="0" applyFont="1" applyFill="1" applyBorder="1" applyAlignment="1">
      <alignment horizontal="center" vertical="center"/>
    </xf>
    <xf numFmtId="0" fontId="7" fillId="0" borderId="89" xfId="0" applyFont="1" applyFill="1" applyBorder="1" applyAlignment="1">
      <alignment horizontal="center" vertical="center"/>
    </xf>
    <xf numFmtId="0" fontId="3" fillId="0" borderId="136" xfId="0" applyFont="1" applyFill="1" applyBorder="1" applyAlignment="1">
      <alignment vertical="center"/>
    </xf>
    <xf numFmtId="0" fontId="6" fillId="0" borderId="131" xfId="0" applyFont="1" applyFill="1" applyBorder="1" applyAlignment="1">
      <alignment horizontal="center" vertical="center"/>
    </xf>
    <xf numFmtId="0" fontId="3" fillId="0" borderId="125" xfId="0" applyFont="1" applyFill="1" applyBorder="1" applyAlignment="1">
      <alignment vertical="center" wrapText="1"/>
    </xf>
    <xf numFmtId="0" fontId="9" fillId="0" borderId="59" xfId="0" applyNumberFormat="1" applyFont="1" applyFill="1" applyBorder="1" applyAlignment="1">
      <alignment horizontal="center" vertical="center"/>
    </xf>
    <xf numFmtId="0" fontId="3" fillId="0" borderId="126" xfId="0" applyFont="1" applyFill="1" applyBorder="1" applyAlignment="1">
      <alignment vertical="center" wrapText="1"/>
    </xf>
    <xf numFmtId="0" fontId="9" fillId="0" borderId="127" xfId="0" applyNumberFormat="1" applyFont="1" applyFill="1" applyBorder="1" applyAlignment="1">
      <alignment horizontal="center" vertical="center"/>
    </xf>
    <xf numFmtId="0" fontId="7" fillId="0" borderId="137" xfId="0" applyFont="1" applyFill="1" applyBorder="1" applyAlignment="1">
      <alignment horizontal="center" vertical="center"/>
    </xf>
    <xf numFmtId="0" fontId="6" fillId="0" borderId="60" xfId="0" applyFont="1" applyFill="1" applyBorder="1" applyAlignment="1">
      <alignment horizontal="center" vertical="center" wrapText="1"/>
    </xf>
    <xf numFmtId="0" fontId="7" fillId="0" borderId="42" xfId="0" applyFont="1" applyFill="1" applyBorder="1" applyAlignment="1">
      <alignment horizontal="center" vertical="center"/>
    </xf>
    <xf numFmtId="0" fontId="7" fillId="0" borderId="55" xfId="0" applyFont="1" applyFill="1" applyBorder="1" applyAlignment="1">
      <alignment horizontal="center" vertical="center"/>
    </xf>
    <xf numFmtId="0" fontId="6" fillId="0" borderId="6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6" fillId="0" borderId="1" xfId="0" applyFont="1" applyFill="1" applyBorder="1" applyAlignment="1">
      <alignment horizontal="center" vertical="center" wrapText="1"/>
    </xf>
    <xf numFmtId="0" fontId="7" fillId="0" borderId="138" xfId="0" applyFont="1" applyFill="1" applyBorder="1" applyAlignment="1">
      <alignment horizontal="center" vertical="center"/>
    </xf>
    <xf numFmtId="0" fontId="2" fillId="0" borderId="88" xfId="0" applyFont="1" applyFill="1" applyBorder="1" applyAlignment="1">
      <alignment horizontal="center" vertical="center"/>
    </xf>
    <xf numFmtId="0" fontId="3" fillId="0" borderId="139" xfId="0" applyFont="1" applyFill="1" applyBorder="1" applyAlignment="1">
      <alignment vertical="center"/>
    </xf>
    <xf numFmtId="0" fontId="9" fillId="0" borderId="140" xfId="0" applyNumberFormat="1" applyFont="1" applyFill="1" applyBorder="1" applyAlignment="1">
      <alignment horizontal="center" vertical="center"/>
    </xf>
    <xf numFmtId="0" fontId="7" fillId="0" borderId="141" xfId="0" applyFont="1" applyFill="1" applyBorder="1" applyAlignment="1">
      <alignment horizontal="center" vertical="center"/>
    </xf>
    <xf numFmtId="0" fontId="14" fillId="0" borderId="141" xfId="2" applyFont="1" applyFill="1" applyBorder="1" applyAlignment="1" applyProtection="1">
      <alignment horizontal="center" vertical="center"/>
      <protection locked="0"/>
    </xf>
    <xf numFmtId="0" fontId="7" fillId="0" borderId="142" xfId="0" applyFont="1" applyFill="1" applyBorder="1" applyAlignment="1">
      <alignment horizontal="center" vertical="center"/>
    </xf>
    <xf numFmtId="9" fontId="48" fillId="0" borderId="143" xfId="1" applyFont="1" applyFill="1" applyBorder="1" applyAlignment="1">
      <alignment horizontal="center" vertical="center"/>
    </xf>
    <xf numFmtId="0" fontId="2" fillId="0" borderId="144" xfId="0" applyFont="1" applyFill="1" applyBorder="1" applyAlignment="1">
      <alignment horizontal="center" vertical="center"/>
    </xf>
    <xf numFmtId="9" fontId="12" fillId="2" borderId="137" xfId="1" applyFont="1" applyFill="1" applyBorder="1" applyAlignment="1">
      <alignment horizontal="center" vertical="center"/>
    </xf>
    <xf numFmtId="9" fontId="51" fillId="0" borderId="146" xfId="1" applyFont="1" applyFill="1" applyBorder="1" applyAlignment="1">
      <alignment vertical="center"/>
    </xf>
    <xf numFmtId="9" fontId="48" fillId="0" borderId="147" xfId="1" applyFont="1" applyFill="1" applyBorder="1" applyAlignment="1">
      <alignment horizontal="center" vertical="center"/>
    </xf>
    <xf numFmtId="9" fontId="51" fillId="25" borderId="148" xfId="1" applyFont="1" applyFill="1" applyBorder="1" applyAlignment="1">
      <alignment vertical="center"/>
    </xf>
    <xf numFmtId="0" fontId="50" fillId="5" borderId="116" xfId="0" applyFont="1" applyFill="1" applyBorder="1" applyAlignment="1">
      <alignment vertical="center"/>
    </xf>
    <xf numFmtId="0" fontId="33" fillId="5" borderId="118" xfId="0" applyFont="1" applyFill="1" applyBorder="1" applyAlignment="1">
      <alignment horizontal="center" vertical="center"/>
    </xf>
    <xf numFmtId="0" fontId="33" fillId="0" borderId="118" xfId="0" applyFont="1" applyFill="1" applyBorder="1" applyAlignment="1">
      <alignment horizontal="center" vertical="center"/>
    </xf>
    <xf numFmtId="0" fontId="33" fillId="5" borderId="119" xfId="0" applyFont="1" applyFill="1" applyBorder="1" applyAlignment="1">
      <alignment horizontal="center" vertical="center"/>
    </xf>
    <xf numFmtId="9" fontId="51" fillId="5" borderId="2" xfId="1" applyFont="1" applyFill="1" applyBorder="1" applyAlignment="1">
      <alignment vertical="center"/>
    </xf>
    <xf numFmtId="0" fontId="50" fillId="5" borderId="123" xfId="0" applyFont="1" applyFill="1" applyBorder="1" applyAlignment="1">
      <alignment horizontal="left" vertical="center"/>
    </xf>
    <xf numFmtId="0" fontId="6" fillId="5" borderId="123" xfId="0" applyFont="1" applyFill="1" applyBorder="1" applyAlignment="1">
      <alignment horizontal="center" vertical="center" wrapText="1"/>
    </xf>
    <xf numFmtId="0" fontId="33" fillId="5" borderId="52" xfId="0" applyFont="1" applyFill="1" applyBorder="1" applyAlignment="1">
      <alignment horizontal="center" vertical="center"/>
    </xf>
    <xf numFmtId="0" fontId="33" fillId="0" borderId="52" xfId="0" applyFont="1" applyFill="1" applyBorder="1" applyAlignment="1">
      <alignment horizontal="center" vertical="center"/>
    </xf>
    <xf numFmtId="0" fontId="33" fillId="5" borderId="57" xfId="0" applyFont="1" applyFill="1" applyBorder="1" applyAlignment="1">
      <alignment horizontal="center" vertical="center"/>
    </xf>
    <xf numFmtId="9" fontId="51" fillId="5" borderId="6" xfId="1" applyFont="1" applyFill="1" applyBorder="1" applyAlignment="1">
      <alignment vertical="center"/>
    </xf>
    <xf numFmtId="9" fontId="48" fillId="5" borderId="0" xfId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50" fillId="0" borderId="90" xfId="0" applyFont="1" applyFill="1" applyBorder="1" applyAlignment="1">
      <alignment vertical="center"/>
    </xf>
    <xf numFmtId="0" fontId="8" fillId="0" borderId="131" xfId="0" applyFont="1" applyFill="1" applyBorder="1" applyAlignment="1">
      <alignment horizontal="center" vertical="center" wrapText="1"/>
    </xf>
    <xf numFmtId="0" fontId="50" fillId="0" borderId="125" xfId="0" applyFont="1" applyFill="1" applyBorder="1" applyAlignment="1">
      <alignment vertical="center" wrapText="1"/>
    </xf>
    <xf numFmtId="0" fontId="9" fillId="0" borderId="59" xfId="0" applyNumberFormat="1" applyFont="1" applyFill="1" applyBorder="1" applyAlignment="1">
      <alignment horizontal="center" vertical="center" wrapText="1"/>
    </xf>
    <xf numFmtId="0" fontId="2" fillId="0" borderId="149" xfId="0" applyFont="1" applyFill="1" applyBorder="1" applyAlignment="1">
      <alignment horizontal="center" vertical="center"/>
    </xf>
    <xf numFmtId="0" fontId="50" fillId="0" borderId="7" xfId="0" applyFont="1" applyFill="1" applyBorder="1" applyAlignment="1">
      <alignment vertical="center"/>
    </xf>
    <xf numFmtId="0" fontId="6" fillId="0" borderId="2" xfId="0" applyFont="1" applyFill="1" applyBorder="1" applyAlignment="1">
      <alignment horizontal="center" vertical="center" wrapText="1"/>
    </xf>
    <xf numFmtId="0" fontId="50" fillId="0" borderId="130" xfId="0" applyFont="1" applyFill="1" applyBorder="1" applyAlignment="1">
      <alignment horizontal="left" vertical="center" wrapText="1"/>
    </xf>
    <xf numFmtId="0" fontId="6" fillId="0" borderId="130" xfId="0" applyFont="1" applyFill="1" applyBorder="1" applyAlignment="1">
      <alignment horizontal="center" vertical="center" wrapText="1"/>
    </xf>
    <xf numFmtId="0" fontId="50" fillId="0" borderId="136" xfId="0" applyFont="1" applyFill="1" applyBorder="1" applyAlignment="1">
      <alignment vertical="center"/>
    </xf>
    <xf numFmtId="0" fontId="6" fillId="0" borderId="131" xfId="0" applyFont="1" applyFill="1" applyBorder="1" applyAlignment="1">
      <alignment horizontal="center" vertical="center" wrapText="1"/>
    </xf>
    <xf numFmtId="0" fontId="3" fillId="0" borderId="150" xfId="0" applyFont="1" applyFill="1" applyBorder="1" applyAlignment="1">
      <alignment vertical="center"/>
    </xf>
    <xf numFmtId="0" fontId="9" fillId="0" borderId="151" xfId="0" applyNumberFormat="1" applyFont="1" applyFill="1" applyBorder="1" applyAlignment="1">
      <alignment horizontal="center" vertical="center" wrapText="1"/>
    </xf>
    <xf numFmtId="0" fontId="3" fillId="0" borderId="89" xfId="0" applyFont="1" applyFill="1" applyBorder="1" applyAlignment="1">
      <alignment vertical="center"/>
    </xf>
    <xf numFmtId="0" fontId="3" fillId="0" borderId="152" xfId="0" applyFont="1" applyFill="1" applyBorder="1" applyAlignment="1">
      <alignment vertical="center"/>
    </xf>
    <xf numFmtId="0" fontId="6" fillId="0" borderId="152" xfId="0" applyFont="1" applyFill="1" applyBorder="1" applyAlignment="1">
      <alignment horizontal="center" vertical="center" wrapText="1"/>
    </xf>
    <xf numFmtId="0" fontId="50" fillId="0" borderId="130" xfId="0" applyFont="1" applyFill="1" applyBorder="1" applyAlignment="1">
      <alignment vertical="center"/>
    </xf>
    <xf numFmtId="0" fontId="50" fillId="0" borderId="153" xfId="0" applyFont="1" applyFill="1" applyBorder="1" applyAlignment="1">
      <alignment vertical="center"/>
    </xf>
    <xf numFmtId="0" fontId="6" fillId="0" borderId="154" xfId="0" applyFont="1" applyFill="1" applyBorder="1" applyAlignment="1">
      <alignment horizontal="center" vertical="center" wrapText="1"/>
    </xf>
    <xf numFmtId="0" fontId="9" fillId="0" borderId="127" xfId="0" applyNumberFormat="1" applyFont="1" applyFill="1" applyBorder="1" applyAlignment="1">
      <alignment horizontal="center" vertical="center" wrapText="1"/>
    </xf>
    <xf numFmtId="0" fontId="7" fillId="0" borderId="50" xfId="0" applyFont="1" applyFill="1" applyBorder="1" applyAlignment="1">
      <alignment horizontal="center" vertical="center"/>
    </xf>
    <xf numFmtId="0" fontId="7" fillId="0" borderId="155" xfId="0" applyFont="1" applyFill="1" applyBorder="1" applyAlignment="1">
      <alignment horizontal="center" vertical="center"/>
    </xf>
    <xf numFmtId="0" fontId="6" fillId="0" borderId="156" xfId="0" applyFont="1" applyFill="1" applyBorder="1" applyAlignment="1">
      <alignment horizontal="center" vertical="center" wrapText="1"/>
    </xf>
    <xf numFmtId="0" fontId="3" fillId="0" borderId="125" xfId="0" applyFont="1" applyFill="1" applyBorder="1" applyAlignment="1">
      <alignment vertical="center"/>
    </xf>
    <xf numFmtId="0" fontId="3" fillId="0" borderId="8" xfId="0" applyFont="1" applyFill="1" applyBorder="1" applyAlignment="1">
      <alignment vertical="center"/>
    </xf>
    <xf numFmtId="0" fontId="6" fillId="0" borderId="63" xfId="0" applyFont="1" applyFill="1" applyBorder="1" applyAlignment="1">
      <alignment horizontal="center" vertical="center" wrapText="1"/>
    </xf>
    <xf numFmtId="0" fontId="7" fillId="0" borderId="53" xfId="0" applyFont="1" applyFill="1" applyBorder="1" applyAlignment="1">
      <alignment horizontal="center" vertical="center"/>
    </xf>
    <xf numFmtId="0" fontId="6" fillId="0" borderId="61" xfId="0" applyFont="1" applyFill="1" applyBorder="1" applyAlignment="1">
      <alignment horizontal="center" vertical="center" wrapText="1"/>
    </xf>
    <xf numFmtId="0" fontId="7" fillId="0" borderId="157" xfId="0" applyFont="1" applyFill="1" applyBorder="1" applyAlignment="1">
      <alignment horizontal="center" vertical="center"/>
    </xf>
    <xf numFmtId="0" fontId="3" fillId="0" borderId="143" xfId="0" applyFont="1" applyFill="1" applyBorder="1" applyAlignment="1">
      <alignment vertical="center"/>
    </xf>
    <xf numFmtId="0" fontId="6" fillId="0" borderId="107" xfId="0" applyFont="1" applyFill="1" applyBorder="1" applyAlignment="1">
      <alignment horizontal="center" vertical="center" wrapText="1"/>
    </xf>
    <xf numFmtId="0" fontId="7" fillId="0" borderId="158" xfId="0" applyFont="1" applyFill="1" applyBorder="1" applyAlignment="1">
      <alignment horizontal="center" vertical="center"/>
    </xf>
    <xf numFmtId="9" fontId="12" fillId="0" borderId="137" xfId="1" applyFont="1" applyFill="1" applyBorder="1" applyAlignment="1">
      <alignment horizontal="center" vertical="center"/>
    </xf>
    <xf numFmtId="0" fontId="0" fillId="0" borderId="159" xfId="0" applyBorder="1"/>
    <xf numFmtId="0" fontId="50" fillId="5" borderId="117" xfId="0" applyFont="1" applyFill="1" applyBorder="1" applyAlignment="1">
      <alignment vertical="center"/>
    </xf>
    <xf numFmtId="0" fontId="47" fillId="5" borderId="160" xfId="0" applyFont="1" applyFill="1" applyBorder="1" applyAlignment="1">
      <alignment horizontal="center" vertical="center" wrapText="1"/>
    </xf>
    <xf numFmtId="0" fontId="2" fillId="5" borderId="122" xfId="0" applyFont="1" applyFill="1" applyBorder="1" applyAlignment="1">
      <alignment horizontal="center" vertical="center"/>
    </xf>
    <xf numFmtId="0" fontId="2" fillId="0" borderId="124" xfId="0" applyFont="1" applyFill="1" applyBorder="1" applyAlignment="1">
      <alignment horizontal="center" vertical="center"/>
    </xf>
    <xf numFmtId="0" fontId="50" fillId="0" borderId="161" xfId="0" applyFont="1" applyFill="1" applyBorder="1" applyAlignment="1">
      <alignment vertical="center"/>
    </xf>
    <xf numFmtId="0" fontId="50" fillId="0" borderId="123" xfId="0" applyFont="1" applyFill="1" applyBorder="1" applyAlignment="1">
      <alignment vertical="center"/>
    </xf>
    <xf numFmtId="0" fontId="6" fillId="0" borderId="125" xfId="0" applyFont="1" applyFill="1" applyBorder="1" applyAlignment="1">
      <alignment horizontal="center" vertical="center"/>
    </xf>
    <xf numFmtId="0" fontId="3" fillId="0" borderId="123" xfId="0" applyFont="1" applyFill="1" applyBorder="1" applyAlignment="1">
      <alignment horizontal="left" vertical="center" wrapText="1"/>
    </xf>
    <xf numFmtId="0" fontId="9" fillId="0" borderId="43" xfId="0" applyNumberFormat="1" applyFont="1" applyFill="1" applyBorder="1" applyAlignment="1">
      <alignment horizontal="center" vertical="center" wrapText="1"/>
    </xf>
    <xf numFmtId="0" fontId="3" fillId="0" borderId="126" xfId="0" applyFont="1" applyFill="1" applyBorder="1" applyAlignment="1">
      <alignment vertical="center"/>
    </xf>
    <xf numFmtId="0" fontId="2" fillId="0" borderId="162" xfId="0" applyFont="1" applyFill="1" applyBorder="1" applyAlignment="1">
      <alignment horizontal="center" vertical="center"/>
    </xf>
    <xf numFmtId="0" fontId="3" fillId="0" borderId="130" xfId="0" applyFont="1" applyFill="1" applyBorder="1" applyAlignment="1">
      <alignment horizontal="left" vertical="center"/>
    </xf>
    <xf numFmtId="0" fontId="14" fillId="24" borderId="52" xfId="2" applyFont="1" applyFill="1" applyBorder="1" applyAlignment="1" applyProtection="1">
      <alignment horizontal="center" vertical="center"/>
      <protection locked="0"/>
    </xf>
    <xf numFmtId="0" fontId="6" fillId="0" borderId="59" xfId="0" applyFont="1" applyFill="1" applyBorder="1" applyAlignment="1">
      <alignment horizontal="center" vertical="center"/>
    </xf>
    <xf numFmtId="0" fontId="50" fillId="0" borderId="163" xfId="0" applyFont="1" applyFill="1" applyBorder="1" applyAlignment="1">
      <alignment vertical="center"/>
    </xf>
    <xf numFmtId="0" fontId="7" fillId="6" borderId="55" xfId="0" applyFont="1" applyFill="1" applyBorder="1" applyAlignment="1">
      <alignment horizontal="center" vertical="center"/>
    </xf>
    <xf numFmtId="0" fontId="7" fillId="6" borderId="51" xfId="0" applyFont="1" applyFill="1" applyBorder="1" applyAlignment="1">
      <alignment horizontal="center" vertical="center"/>
    </xf>
    <xf numFmtId="0" fontId="14" fillId="6" borderId="51" xfId="2" applyFont="1" applyFill="1" applyBorder="1" applyAlignment="1" applyProtection="1">
      <alignment horizontal="center" vertical="center"/>
      <protection locked="0"/>
    </xf>
    <xf numFmtId="0" fontId="7" fillId="6" borderId="56" xfId="0" applyFont="1" applyFill="1" applyBorder="1" applyAlignment="1">
      <alignment horizontal="center" vertical="center"/>
    </xf>
    <xf numFmtId="0" fontId="3" fillId="0" borderId="130" xfId="0" applyFont="1" applyFill="1" applyBorder="1" applyAlignment="1">
      <alignment vertical="center"/>
    </xf>
    <xf numFmtId="0" fontId="3" fillId="0" borderId="164" xfId="0" applyFont="1" applyFill="1" applyBorder="1" applyAlignment="1">
      <alignment vertical="center" wrapText="1"/>
    </xf>
    <xf numFmtId="0" fontId="2" fillId="0" borderId="165" xfId="0" applyFont="1" applyFill="1" applyBorder="1" applyAlignment="1">
      <alignment horizontal="center" vertical="center"/>
    </xf>
    <xf numFmtId="0" fontId="50" fillId="5" borderId="167" xfId="0" applyFont="1" applyFill="1" applyBorder="1" applyAlignment="1">
      <alignment vertical="center"/>
    </xf>
    <xf numFmtId="0" fontId="6" fillId="5" borderId="168" xfId="0" applyFont="1" applyFill="1" applyBorder="1" applyAlignment="1">
      <alignment horizontal="center" vertical="center" wrapText="1"/>
    </xf>
    <xf numFmtId="9" fontId="48" fillId="5" borderId="169" xfId="1" applyFont="1" applyFill="1" applyBorder="1" applyAlignment="1">
      <alignment horizontal="center" vertical="center"/>
    </xf>
    <xf numFmtId="0" fontId="2" fillId="0" borderId="170" xfId="0" applyFont="1" applyFill="1" applyBorder="1" applyAlignment="1">
      <alignment horizontal="center" vertical="center"/>
    </xf>
    <xf numFmtId="0" fontId="50" fillId="5" borderId="136" xfId="0" applyFont="1" applyFill="1" applyBorder="1" applyAlignment="1">
      <alignment vertical="center"/>
    </xf>
    <xf numFmtId="0" fontId="47" fillId="5" borderId="59" xfId="0" applyFont="1" applyFill="1" applyBorder="1" applyAlignment="1">
      <alignment horizontal="center" vertical="center" wrapText="1"/>
    </xf>
    <xf numFmtId="9" fontId="48" fillId="5" borderId="172" xfId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74" xfId="0" applyFont="1" applyFill="1" applyBorder="1" applyAlignment="1">
      <alignment horizontal="center" vertical="center"/>
    </xf>
    <xf numFmtId="0" fontId="8" fillId="0" borderId="136" xfId="0" applyFont="1" applyFill="1" applyBorder="1" applyAlignment="1">
      <alignment horizontal="center" vertical="center" wrapText="1"/>
    </xf>
    <xf numFmtId="9" fontId="48" fillId="0" borderId="172" xfId="1" applyFont="1" applyFill="1" applyBorder="1" applyAlignment="1">
      <alignment horizontal="center" vertical="center"/>
    </xf>
    <xf numFmtId="0" fontId="6" fillId="0" borderId="62" xfId="0" applyFont="1" applyFill="1" applyBorder="1" applyAlignment="1">
      <alignment horizontal="center" vertical="center" wrapText="1"/>
    </xf>
    <xf numFmtId="0" fontId="47" fillId="0" borderId="59" xfId="0" applyFont="1" applyFill="1" applyBorder="1" applyAlignment="1">
      <alignment horizontal="center" vertical="center" wrapText="1"/>
    </xf>
    <xf numFmtId="0" fontId="3" fillId="0" borderId="161" xfId="0" applyFont="1" applyFill="1" applyBorder="1" applyAlignment="1">
      <alignment vertical="center"/>
    </xf>
    <xf numFmtId="0" fontId="50" fillId="0" borderId="145" xfId="0" applyFont="1" applyFill="1" applyBorder="1" applyAlignment="1">
      <alignment vertical="center"/>
    </xf>
    <xf numFmtId="0" fontId="8" fillId="0" borderId="145" xfId="0" applyFont="1" applyFill="1" applyBorder="1" applyAlignment="1">
      <alignment horizontal="center" vertical="center" wrapText="1"/>
    </xf>
    <xf numFmtId="0" fontId="3" fillId="0" borderId="175" xfId="0" applyFont="1" applyFill="1" applyBorder="1" applyAlignment="1">
      <alignment vertical="center"/>
    </xf>
    <xf numFmtId="0" fontId="2" fillId="0" borderId="176" xfId="0" applyFont="1" applyFill="1" applyBorder="1" applyAlignment="1">
      <alignment horizontal="center" vertical="center"/>
    </xf>
    <xf numFmtId="0" fontId="3" fillId="0" borderId="177" xfId="0" applyFont="1" applyFill="1" applyBorder="1" applyAlignment="1">
      <alignment vertical="center"/>
    </xf>
    <xf numFmtId="0" fontId="47" fillId="0" borderId="123" xfId="0" applyFont="1" applyFill="1" applyBorder="1" applyAlignment="1">
      <alignment horizontal="center" vertical="center" wrapText="1"/>
    </xf>
    <xf numFmtId="0" fontId="3" fillId="0" borderId="178" xfId="0" applyFont="1" applyFill="1" applyBorder="1" applyAlignment="1">
      <alignment vertical="center"/>
    </xf>
    <xf numFmtId="0" fontId="2" fillId="0" borderId="78" xfId="0" applyFont="1" applyFill="1" applyBorder="1" applyAlignment="1">
      <alignment horizontal="center" vertical="center"/>
    </xf>
    <xf numFmtId="9" fontId="12" fillId="2" borderId="182" xfId="1" applyFont="1" applyFill="1" applyBorder="1" applyAlignment="1">
      <alignment horizontal="center" vertical="center"/>
    </xf>
    <xf numFmtId="9" fontId="12" fillId="2" borderId="183" xfId="1" applyFont="1" applyFill="1" applyBorder="1" applyAlignment="1">
      <alignment horizontal="center" vertical="center"/>
    </xf>
    <xf numFmtId="9" fontId="12" fillId="0" borderId="183" xfId="1" applyFont="1" applyFill="1" applyBorder="1" applyAlignment="1">
      <alignment horizontal="center" vertical="center"/>
    </xf>
    <xf numFmtId="9" fontId="12" fillId="2" borderId="184" xfId="1" applyFont="1" applyFill="1" applyBorder="1" applyAlignment="1">
      <alignment horizontal="center" vertical="center"/>
    </xf>
    <xf numFmtId="9" fontId="48" fillId="0" borderId="185" xfId="1" applyFont="1" applyFill="1" applyBorder="1" applyAlignment="1">
      <alignment horizontal="center" vertical="center"/>
    </xf>
    <xf numFmtId="0" fontId="0" fillId="0" borderId="186" xfId="0" applyBorder="1"/>
    <xf numFmtId="0" fontId="0" fillId="0" borderId="0" xfId="0" applyBorder="1"/>
    <xf numFmtId="0" fontId="7" fillId="14" borderId="6" xfId="0" applyFont="1" applyFill="1" applyBorder="1" applyAlignment="1" applyProtection="1">
      <alignment horizontal="center" vertical="center"/>
    </xf>
    <xf numFmtId="166" fontId="0" fillId="21" borderId="18" xfId="0" applyNumberFormat="1" applyFill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31" xfId="0" applyNumberFormat="1" applyBorder="1" applyAlignment="1">
      <alignment horizontal="center" vertical="center"/>
    </xf>
    <xf numFmtId="166" fontId="0" fillId="0" borderId="33" xfId="0" applyNumberFormat="1" applyBorder="1" applyAlignment="1">
      <alignment horizontal="center" vertical="center"/>
    </xf>
    <xf numFmtId="166" fontId="0" fillId="0" borderId="22" xfId="0" applyNumberFormat="1" applyBorder="1" applyAlignment="1">
      <alignment horizontal="center" vertical="center"/>
    </xf>
    <xf numFmtId="166" fontId="0" fillId="21" borderId="22" xfId="0" applyNumberFormat="1" applyFill="1" applyBorder="1" applyAlignment="1">
      <alignment horizontal="center" vertical="center"/>
    </xf>
    <xf numFmtId="166" fontId="0" fillId="0" borderId="34" xfId="0" applyNumberFormat="1" applyBorder="1" applyAlignment="1">
      <alignment horizontal="center" vertical="center"/>
    </xf>
    <xf numFmtId="0" fontId="5" fillId="0" borderId="116" xfId="0" applyFont="1" applyFill="1" applyBorder="1" applyAlignment="1">
      <alignment horizontal="center" vertical="center" wrapText="1"/>
    </xf>
    <xf numFmtId="0" fontId="5" fillId="0" borderId="145" xfId="0" applyFont="1" applyFill="1" applyBorder="1" applyAlignment="1">
      <alignment horizontal="center" vertical="center" wrapText="1"/>
    </xf>
    <xf numFmtId="0" fontId="2" fillId="0" borderId="125" xfId="0" applyFont="1" applyFill="1" applyBorder="1" applyAlignment="1">
      <alignment horizontal="center" vertical="center"/>
    </xf>
    <xf numFmtId="0" fontId="2" fillId="0" borderId="90" xfId="0" applyFont="1" applyFill="1" applyBorder="1" applyAlignment="1">
      <alignment horizontal="center" vertical="center"/>
    </xf>
    <xf numFmtId="0" fontId="2" fillId="0" borderId="89" xfId="0" applyFont="1" applyFill="1" applyBorder="1" applyAlignment="1">
      <alignment horizontal="center" vertical="center"/>
    </xf>
    <xf numFmtId="0" fontId="2" fillId="0" borderId="187" xfId="0" applyFont="1" applyFill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166" fontId="0" fillId="19" borderId="20" xfId="0" applyNumberFormat="1" applyFill="1" applyBorder="1" applyAlignment="1">
      <alignment horizontal="center" vertical="center"/>
    </xf>
    <xf numFmtId="166" fontId="0" fillId="19" borderId="75" xfId="0" applyNumberFormat="1" applyFill="1" applyBorder="1" applyAlignment="1">
      <alignment horizontal="center" vertical="center"/>
    </xf>
    <xf numFmtId="0" fontId="37" fillId="0" borderId="73" xfId="0" applyFont="1" applyFill="1" applyBorder="1" applyAlignment="1">
      <alignment horizontal="left" vertical="center"/>
    </xf>
    <xf numFmtId="0" fontId="7" fillId="14" borderId="18" xfId="0" applyFont="1" applyFill="1" applyBorder="1" applyAlignment="1" applyProtection="1">
      <alignment horizontal="center" vertical="center"/>
      <protection locked="0"/>
    </xf>
    <xf numFmtId="0" fontId="7" fillId="14" borderId="2" xfId="0" applyFont="1" applyFill="1" applyBorder="1" applyAlignment="1" applyProtection="1">
      <alignment horizontal="center" vertical="center"/>
      <protection locked="0"/>
    </xf>
    <xf numFmtId="0" fontId="7" fillId="14" borderId="19" xfId="0" applyFont="1" applyFill="1" applyBorder="1" applyAlignment="1" applyProtection="1">
      <alignment horizontal="center" vertical="center"/>
      <protection locked="0"/>
    </xf>
    <xf numFmtId="0" fontId="7" fillId="14" borderId="31" xfId="0" applyFont="1" applyFill="1" applyBorder="1" applyAlignment="1" applyProtection="1">
      <alignment horizontal="center" vertical="center"/>
      <protection locked="0"/>
    </xf>
    <xf numFmtId="0" fontId="7" fillId="14" borderId="0" xfId="0" applyFont="1" applyFill="1" applyBorder="1" applyAlignment="1" applyProtection="1">
      <alignment horizontal="center" vertical="center"/>
      <protection locked="0"/>
    </xf>
    <xf numFmtId="9" fontId="12" fillId="14" borderId="0" xfId="1" applyFont="1" applyFill="1" applyBorder="1" applyAlignment="1" applyProtection="1">
      <alignment horizontal="center" vertical="center"/>
      <protection locked="0"/>
    </xf>
    <xf numFmtId="0" fontId="0" fillId="14" borderId="0" xfId="0" applyFill="1" applyBorder="1" applyAlignment="1">
      <alignment horizontal="center" vertical="center"/>
    </xf>
    <xf numFmtId="0" fontId="3" fillId="14" borderId="41" xfId="0" applyFont="1" applyFill="1" applyBorder="1" applyAlignment="1" applyProtection="1">
      <alignment horizontal="center" vertical="center"/>
    </xf>
    <xf numFmtId="0" fontId="3" fillId="14" borderId="20" xfId="0" applyFont="1" applyFill="1" applyBorder="1" applyAlignment="1" applyProtection="1">
      <alignment horizontal="center" vertical="center"/>
    </xf>
    <xf numFmtId="0" fontId="7" fillId="14" borderId="6" xfId="2" applyFont="1" applyFill="1" applyBorder="1" applyAlignment="1" applyProtection="1">
      <alignment horizontal="center" vertical="center"/>
      <protection locked="0"/>
    </xf>
    <xf numFmtId="0" fontId="7" fillId="14" borderId="31" xfId="0" applyFont="1" applyFill="1" applyBorder="1" applyAlignment="1" applyProtection="1">
      <alignment horizontal="center" vertical="center"/>
    </xf>
    <xf numFmtId="0" fontId="9" fillId="5" borderId="25" xfId="0" applyNumberFormat="1" applyFont="1" applyFill="1" applyBorder="1" applyAlignment="1" applyProtection="1">
      <alignment horizontal="center" vertical="center" wrapText="1"/>
      <protection locked="0"/>
    </xf>
    <xf numFmtId="0" fontId="6" fillId="5" borderId="25" xfId="0" applyFont="1" applyFill="1" applyBorder="1" applyAlignment="1" applyProtection="1">
      <alignment horizontal="center" vertical="center" wrapText="1"/>
      <protection locked="0"/>
    </xf>
    <xf numFmtId="0" fontId="6" fillId="6" borderId="44" xfId="0" applyFont="1" applyFill="1" applyBorder="1" applyAlignment="1" applyProtection="1">
      <alignment horizontal="center" vertical="center" wrapText="1"/>
      <protection locked="0"/>
    </xf>
    <xf numFmtId="0" fontId="21" fillId="5" borderId="3" xfId="0" applyFont="1" applyFill="1" applyBorder="1" applyAlignment="1" applyProtection="1">
      <alignment horizontal="center" vertical="center" wrapText="1"/>
      <protection locked="0"/>
    </xf>
    <xf numFmtId="0" fontId="6" fillId="5" borderId="45" xfId="0" applyFont="1" applyFill="1" applyBorder="1" applyAlignment="1" applyProtection="1">
      <alignment horizontal="center" vertical="center" wrapText="1"/>
      <protection locked="0"/>
    </xf>
    <xf numFmtId="9" fontId="4" fillId="6" borderId="22" xfId="1" applyFont="1" applyFill="1" applyBorder="1" applyAlignment="1" applyProtection="1">
      <alignment horizontal="center" vertical="center"/>
      <protection locked="0"/>
    </xf>
    <xf numFmtId="9" fontId="4" fillId="6" borderId="24" xfId="1" applyFont="1" applyFill="1" applyBorder="1" applyAlignment="1" applyProtection="1">
      <alignment horizontal="center" vertical="center"/>
      <protection locked="0"/>
    </xf>
    <xf numFmtId="9" fontId="11" fillId="6" borderId="24" xfId="1" applyFont="1" applyFill="1" applyBorder="1" applyAlignment="1" applyProtection="1">
      <alignment horizontal="center" vertical="center"/>
      <protection locked="0"/>
    </xf>
    <xf numFmtId="9" fontId="11" fillId="6" borderId="33" xfId="1" applyFont="1" applyFill="1" applyBorder="1" applyAlignment="1" applyProtection="1">
      <alignment horizontal="center" vertical="center"/>
      <protection locked="0"/>
    </xf>
    <xf numFmtId="0" fontId="37" fillId="0" borderId="10" xfId="0" applyFont="1" applyFill="1" applyBorder="1" applyAlignment="1">
      <alignment horizontal="center" vertical="center"/>
    </xf>
    <xf numFmtId="0" fontId="6" fillId="6" borderId="39" xfId="0" applyFont="1" applyFill="1" applyBorder="1" applyAlignment="1" applyProtection="1">
      <alignment horizontal="center" vertical="center" wrapText="1"/>
      <protection locked="0"/>
    </xf>
    <xf numFmtId="0" fontId="3" fillId="14" borderId="0" xfId="0" applyFont="1" applyFill="1" applyBorder="1" applyAlignment="1" applyProtection="1">
      <alignment horizontal="left" vertical="center"/>
      <protection locked="0"/>
    </xf>
    <xf numFmtId="0" fontId="9" fillId="14" borderId="0" xfId="0" applyNumberFormat="1" applyFont="1" applyFill="1" applyBorder="1" applyAlignment="1" applyProtection="1">
      <alignment horizontal="center" vertical="center" wrapText="1"/>
      <protection locked="0"/>
    </xf>
    <xf numFmtId="0" fontId="10" fillId="14" borderId="20" xfId="0" applyFont="1" applyFill="1" applyBorder="1" applyAlignment="1" applyProtection="1">
      <alignment horizontal="center" vertical="center"/>
    </xf>
    <xf numFmtId="0" fontId="3" fillId="14" borderId="20" xfId="0" applyFont="1" applyFill="1" applyBorder="1" applyAlignment="1" applyProtection="1">
      <alignment horizontal="center" vertical="center"/>
      <protection locked="0"/>
    </xf>
    <xf numFmtId="0" fontId="2" fillId="14" borderId="10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Protection="1">
      <protection locked="0"/>
    </xf>
    <xf numFmtId="0" fontId="3" fillId="0" borderId="19" xfId="0" applyFont="1" applyFill="1" applyBorder="1" applyAlignment="1">
      <alignment vertical="center"/>
    </xf>
    <xf numFmtId="0" fontId="36" fillId="0" borderId="18" xfId="0" quotePrefix="1" applyFont="1" applyFill="1" applyBorder="1" applyAlignment="1">
      <alignment horizontal="left" vertical="center"/>
    </xf>
    <xf numFmtId="0" fontId="5" fillId="0" borderId="0" xfId="0" applyFont="1" applyFill="1" applyBorder="1" applyAlignment="1" applyProtection="1">
      <alignment horizontal="center" vertical="center"/>
    </xf>
    <xf numFmtId="0" fontId="9" fillId="5" borderId="189" xfId="0" applyNumberFormat="1" applyFont="1" applyFill="1" applyBorder="1" applyAlignment="1" applyProtection="1">
      <alignment horizontal="center" vertical="center"/>
      <protection locked="0"/>
    </xf>
    <xf numFmtId="0" fontId="3" fillId="14" borderId="46" xfId="0" applyFont="1" applyFill="1" applyBorder="1" applyAlignment="1" applyProtection="1">
      <alignment horizontal="center" vertical="center"/>
    </xf>
    <xf numFmtId="0" fontId="3" fillId="14" borderId="23" xfId="0" applyFont="1" applyFill="1" applyBorder="1" applyAlignment="1" applyProtection="1">
      <alignment horizontal="center" vertical="center"/>
    </xf>
    <xf numFmtId="9" fontId="11" fillId="8" borderId="22" xfId="1" applyFont="1" applyFill="1" applyBorder="1" applyAlignment="1" applyProtection="1">
      <alignment horizontal="center" vertical="center"/>
    </xf>
    <xf numFmtId="0" fontId="2" fillId="7" borderId="28" xfId="0" applyFont="1" applyFill="1" applyBorder="1" applyAlignment="1" applyProtection="1">
      <alignment horizontal="center" vertical="center"/>
    </xf>
    <xf numFmtId="0" fontId="2" fillId="7" borderId="69" xfId="0" applyFont="1" applyFill="1" applyBorder="1" applyAlignment="1" applyProtection="1">
      <alignment horizontal="center" vertical="center"/>
    </xf>
    <xf numFmtId="9" fontId="11" fillId="8" borderId="34" xfId="1" applyFont="1" applyFill="1" applyBorder="1" applyAlignment="1" applyProtection="1">
      <alignment horizontal="center" vertical="center"/>
    </xf>
    <xf numFmtId="164" fontId="28" fillId="0" borderId="0" xfId="0" applyNumberFormat="1" applyFont="1" applyProtection="1"/>
    <xf numFmtId="164" fontId="7" fillId="12" borderId="6" xfId="0" applyNumberFormat="1" applyFont="1" applyFill="1" applyBorder="1" applyAlignment="1" applyProtection="1">
      <alignment horizontal="center" vertical="center"/>
    </xf>
    <xf numFmtId="0" fontId="2" fillId="7" borderId="188" xfId="0" applyFont="1" applyFill="1" applyBorder="1" applyAlignment="1" applyProtection="1">
      <alignment horizontal="center" vertical="center"/>
    </xf>
    <xf numFmtId="0" fontId="2" fillId="7" borderId="30" xfId="0" applyFont="1" applyFill="1" applyBorder="1" applyAlignment="1" applyProtection="1">
      <alignment horizontal="center" vertical="center"/>
    </xf>
    <xf numFmtId="0" fontId="7" fillId="14" borderId="2" xfId="0" applyFont="1" applyFill="1" applyBorder="1" applyAlignment="1" applyProtection="1">
      <alignment horizontal="center" vertical="center"/>
    </xf>
    <xf numFmtId="0" fontId="33" fillId="14" borderId="2" xfId="0" applyFont="1" applyFill="1" applyBorder="1" applyAlignment="1" applyProtection="1">
      <alignment horizontal="center" vertical="center"/>
    </xf>
    <xf numFmtId="0" fontId="33" fillId="14" borderId="6" xfId="0" applyFon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7" fillId="14" borderId="19" xfId="0" applyFont="1" applyFill="1" applyBorder="1" applyAlignment="1" applyProtection="1">
      <alignment horizontal="center" vertical="center"/>
    </xf>
    <xf numFmtId="0" fontId="7" fillId="14" borderId="30" xfId="0" applyFont="1" applyFill="1" applyBorder="1" applyAlignment="1" applyProtection="1">
      <alignment horizontal="center" vertical="center"/>
    </xf>
    <xf numFmtId="0" fontId="7" fillId="14" borderId="0" xfId="0" applyFont="1" applyFill="1" applyBorder="1" applyAlignment="1" applyProtection="1">
      <alignment horizontal="center" vertical="center"/>
    </xf>
    <xf numFmtId="9" fontId="12" fillId="14" borderId="0" xfId="1" applyFont="1" applyFill="1" applyBorder="1" applyAlignment="1" applyProtection="1">
      <alignment horizontal="center" vertical="center"/>
    </xf>
    <xf numFmtId="0" fontId="0" fillId="14" borderId="0" xfId="0" applyFill="1" applyBorder="1" applyAlignment="1" applyProtection="1">
      <alignment horizontal="center" vertical="center"/>
    </xf>
    <xf numFmtId="0" fontId="32" fillId="14" borderId="2" xfId="0" applyFont="1" applyFill="1" applyBorder="1" applyAlignment="1" applyProtection="1">
      <alignment horizontal="center" vertical="center"/>
    </xf>
    <xf numFmtId="0" fontId="7" fillId="14" borderId="38" xfId="0" applyFont="1" applyFill="1" applyBorder="1" applyAlignment="1" applyProtection="1">
      <alignment horizontal="center" vertical="center"/>
    </xf>
    <xf numFmtId="0" fontId="14" fillId="14" borderId="2" xfId="2" applyFont="1" applyFill="1" applyBorder="1" applyAlignment="1" applyProtection="1">
      <alignment horizontal="center" vertical="center"/>
    </xf>
    <xf numFmtId="0" fontId="7" fillId="14" borderId="28" xfId="0" applyFont="1" applyFill="1" applyBorder="1" applyAlignment="1" applyProtection="1">
      <alignment horizontal="center" vertical="center"/>
    </xf>
    <xf numFmtId="0" fontId="14" fillId="14" borderId="6" xfId="2" applyFont="1" applyFill="1" applyBorder="1" applyAlignment="1" applyProtection="1">
      <alignment horizontal="center" vertical="center"/>
    </xf>
    <xf numFmtId="0" fontId="14" fillId="14" borderId="31" xfId="2" applyFont="1" applyFill="1" applyBorder="1" applyAlignment="1" applyProtection="1">
      <alignment horizontal="center" vertical="center"/>
    </xf>
    <xf numFmtId="164" fontId="7" fillId="14" borderId="6" xfId="0" applyNumberFormat="1" applyFont="1" applyFill="1" applyBorder="1" applyAlignment="1" applyProtection="1">
      <alignment horizontal="center" vertical="center"/>
    </xf>
    <xf numFmtId="0" fontId="7" fillId="14" borderId="2" xfId="2" applyFont="1" applyFill="1" applyBorder="1" applyAlignment="1" applyProtection="1">
      <alignment horizontal="center" vertical="center"/>
    </xf>
    <xf numFmtId="0" fontId="7" fillId="14" borderId="6" xfId="2" applyFont="1" applyFill="1" applyBorder="1" applyAlignment="1" applyProtection="1">
      <alignment horizontal="center" vertical="center"/>
    </xf>
    <xf numFmtId="0" fontId="7" fillId="14" borderId="31" xfId="2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horizontal="center" vertical="center"/>
    </xf>
    <xf numFmtId="0" fontId="14" fillId="0" borderId="6" xfId="2" applyFont="1" applyFill="1" applyBorder="1" applyAlignment="1" applyProtection="1">
      <alignment horizontal="center" vertical="center"/>
    </xf>
    <xf numFmtId="0" fontId="7" fillId="0" borderId="6" xfId="2" applyFont="1" applyFill="1" applyBorder="1" applyAlignment="1" applyProtection="1">
      <alignment horizontal="center" vertical="center"/>
    </xf>
    <xf numFmtId="9" fontId="11" fillId="8" borderId="70" xfId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166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18" fillId="2" borderId="9" xfId="0" applyFont="1" applyFill="1" applyBorder="1" applyAlignment="1">
      <alignment horizontal="center" vertical="center"/>
    </xf>
    <xf numFmtId="0" fontId="18" fillId="2" borderId="10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80" xfId="0" applyFill="1" applyBorder="1" applyAlignment="1">
      <alignment horizontal="center" vertical="center"/>
    </xf>
    <xf numFmtId="0" fontId="0" fillId="3" borderId="78" xfId="0" applyFill="1" applyBorder="1" applyAlignment="1">
      <alignment horizontal="center" vertical="center"/>
    </xf>
    <xf numFmtId="0" fontId="0" fillId="19" borderId="67" xfId="0" applyFill="1" applyBorder="1" applyAlignment="1">
      <alignment horizontal="center" vertical="center"/>
    </xf>
    <xf numFmtId="0" fontId="0" fillId="19" borderId="79" xfId="0" applyFill="1" applyBorder="1" applyAlignment="1">
      <alignment horizontal="center" vertical="center"/>
    </xf>
    <xf numFmtId="0" fontId="29" fillId="9" borderId="15" xfId="0" applyFont="1" applyFill="1" applyBorder="1" applyAlignment="1">
      <alignment horizontal="center" vertical="center"/>
    </xf>
    <xf numFmtId="0" fontId="29" fillId="9" borderId="16" xfId="0" applyFont="1" applyFill="1" applyBorder="1" applyAlignment="1">
      <alignment horizontal="center" vertical="center"/>
    </xf>
    <xf numFmtId="0" fontId="29" fillId="9" borderId="17" xfId="0" applyFont="1" applyFill="1" applyBorder="1" applyAlignment="1">
      <alignment horizontal="center" vertical="center"/>
    </xf>
    <xf numFmtId="0" fontId="0" fillId="19" borderId="33" xfId="0" applyFill="1" applyBorder="1" applyAlignment="1">
      <alignment horizontal="center" vertical="center"/>
    </xf>
    <xf numFmtId="0" fontId="0" fillId="19" borderId="18" xfId="0" applyFill="1" applyBorder="1" applyAlignment="1">
      <alignment horizontal="center" vertical="center"/>
    </xf>
    <xf numFmtId="0" fontId="0" fillId="19" borderId="27" xfId="0" applyFill="1" applyBorder="1" applyAlignment="1">
      <alignment horizontal="center" vertical="center"/>
    </xf>
    <xf numFmtId="0" fontId="24" fillId="11" borderId="38" xfId="0" applyFont="1" applyFill="1" applyBorder="1" applyAlignment="1" applyProtection="1">
      <alignment horizontal="center" vertical="center" wrapText="1"/>
      <protection locked="0"/>
    </xf>
    <xf numFmtId="0" fontId="24" fillId="11" borderId="2" xfId="0" applyFont="1" applyFill="1" applyBorder="1" applyAlignment="1" applyProtection="1">
      <alignment horizontal="center" vertical="center" wrapText="1"/>
      <protection locked="0"/>
    </xf>
    <xf numFmtId="0" fontId="29" fillId="2" borderId="0" xfId="0" applyFont="1" applyFill="1" applyAlignment="1" applyProtection="1">
      <alignment horizontal="center" vertical="center"/>
      <protection locked="0"/>
    </xf>
    <xf numFmtId="166" fontId="27" fillId="2" borderId="29" xfId="1" applyNumberFormat="1" applyFont="1" applyFill="1" applyBorder="1" applyAlignment="1" applyProtection="1">
      <alignment horizontal="center" vertical="center"/>
    </xf>
    <xf numFmtId="0" fontId="24" fillId="11" borderId="46" xfId="0" applyFont="1" applyFill="1" applyBorder="1" applyAlignment="1" applyProtection="1">
      <alignment horizontal="center" vertical="center" wrapText="1"/>
      <protection locked="0"/>
    </xf>
    <xf numFmtId="0" fontId="24" fillId="11" borderId="23" xfId="0" applyFont="1" applyFill="1" applyBorder="1" applyAlignment="1" applyProtection="1">
      <alignment horizontal="center" vertical="center" wrapText="1"/>
      <protection locked="0"/>
    </xf>
    <xf numFmtId="0" fontId="29" fillId="16" borderId="0" xfId="0" applyFont="1" applyFill="1" applyAlignment="1" applyProtection="1">
      <alignment horizontal="center" vertical="center"/>
      <protection locked="0"/>
    </xf>
    <xf numFmtId="166" fontId="27" fillId="2" borderId="64" xfId="1" applyNumberFormat="1" applyFont="1" applyFill="1" applyBorder="1" applyAlignment="1" applyProtection="1">
      <alignment horizontal="center" vertical="center"/>
    </xf>
    <xf numFmtId="166" fontId="27" fillId="2" borderId="37" xfId="1" applyNumberFormat="1" applyFont="1" applyFill="1" applyBorder="1" applyAlignment="1" applyProtection="1">
      <alignment horizontal="center" vertical="center"/>
    </xf>
    <xf numFmtId="166" fontId="27" fillId="2" borderId="40" xfId="1" applyNumberFormat="1" applyFont="1" applyFill="1" applyBorder="1" applyAlignment="1" applyProtection="1">
      <alignment horizontal="center" vertical="center"/>
    </xf>
    <xf numFmtId="0" fontId="24" fillId="11" borderId="26" xfId="0" applyFont="1" applyFill="1" applyBorder="1" applyAlignment="1" applyProtection="1">
      <alignment horizontal="center" vertical="center" wrapText="1"/>
      <protection locked="0"/>
    </xf>
    <xf numFmtId="0" fontId="24" fillId="11" borderId="18" xfId="0" applyFont="1" applyFill="1" applyBorder="1" applyAlignment="1" applyProtection="1">
      <alignment horizontal="center" vertical="center" wrapText="1"/>
      <protection locked="0"/>
    </xf>
    <xf numFmtId="0" fontId="29" fillId="17" borderId="0" xfId="0" applyFont="1" applyFill="1" applyAlignment="1" applyProtection="1">
      <alignment horizontal="center" vertical="center"/>
      <protection locked="0"/>
    </xf>
    <xf numFmtId="166" fontId="27" fillId="2" borderId="32" xfId="1" applyNumberFormat="1" applyFont="1" applyFill="1" applyBorder="1" applyAlignment="1" applyProtection="1">
      <alignment horizontal="center" vertical="center"/>
    </xf>
    <xf numFmtId="0" fontId="17" fillId="10" borderId="26" xfId="0" applyFont="1" applyFill="1" applyBorder="1" applyAlignment="1" applyProtection="1">
      <alignment horizontal="center" vertical="center" wrapText="1"/>
      <protection locked="0"/>
    </xf>
    <xf numFmtId="0" fontId="17" fillId="10" borderId="18" xfId="0" applyFont="1" applyFill="1" applyBorder="1" applyAlignment="1" applyProtection="1">
      <alignment horizontal="center" vertical="center" wrapText="1"/>
      <protection locked="0"/>
    </xf>
    <xf numFmtId="0" fontId="17" fillId="10" borderId="28" xfId="0" applyFont="1" applyFill="1" applyBorder="1" applyAlignment="1" applyProtection="1">
      <alignment horizontal="center" vertical="center" wrapText="1"/>
      <protection locked="0"/>
    </xf>
    <xf numFmtId="0" fontId="17" fillId="10" borderId="6" xfId="0" applyFont="1" applyFill="1" applyBorder="1" applyAlignment="1" applyProtection="1">
      <alignment horizontal="center" vertical="center" wrapText="1"/>
      <protection locked="0"/>
    </xf>
    <xf numFmtId="0" fontId="17" fillId="10" borderId="30" xfId="0" applyFont="1" applyFill="1" applyBorder="1" applyAlignment="1" applyProtection="1">
      <alignment horizontal="center" vertical="center" wrapText="1"/>
      <protection locked="0"/>
    </xf>
    <xf numFmtId="0" fontId="17" fillId="10" borderId="31" xfId="0" applyFont="1" applyFill="1" applyBorder="1" applyAlignment="1" applyProtection="1">
      <alignment horizontal="center" vertical="center" wrapText="1"/>
      <protection locked="0"/>
    </xf>
    <xf numFmtId="17" fontId="23" fillId="11" borderId="44" xfId="0" quotePrefix="1" applyNumberFormat="1" applyFont="1" applyFill="1" applyBorder="1" applyAlignment="1" applyProtection="1">
      <alignment horizontal="center" vertical="center"/>
      <protection locked="0"/>
    </xf>
    <xf numFmtId="17" fontId="23" fillId="11" borderId="67" xfId="0" quotePrefix="1" applyNumberFormat="1" applyFont="1" applyFill="1" applyBorder="1" applyAlignment="1" applyProtection="1">
      <alignment horizontal="center" vertical="center"/>
      <protection locked="0"/>
    </xf>
    <xf numFmtId="0" fontId="26" fillId="11" borderId="29" xfId="0" applyFont="1" applyFill="1" applyBorder="1" applyAlignment="1" applyProtection="1">
      <alignment horizontal="center" vertical="center" wrapText="1"/>
      <protection locked="0"/>
    </xf>
    <xf numFmtId="0" fontId="26" fillId="11" borderId="32" xfId="0" applyFont="1" applyFill="1" applyBorder="1" applyAlignment="1" applyProtection="1">
      <alignment horizontal="center" vertical="center" wrapText="1"/>
      <protection locked="0"/>
    </xf>
    <xf numFmtId="0" fontId="39" fillId="15" borderId="0" xfId="0" applyFont="1" applyFill="1" applyAlignment="1" applyProtection="1">
      <alignment horizontal="center" vertical="center"/>
      <protection locked="0"/>
    </xf>
    <xf numFmtId="166" fontId="27" fillId="2" borderId="27" xfId="1" applyNumberFormat="1" applyFont="1" applyFill="1" applyBorder="1" applyAlignment="1" applyProtection="1">
      <alignment horizontal="center" vertical="center"/>
    </xf>
    <xf numFmtId="0" fontId="41" fillId="9" borderId="6" xfId="0" applyFont="1" applyFill="1" applyBorder="1" applyAlignment="1">
      <alignment horizontal="center" vertical="center"/>
    </xf>
    <xf numFmtId="0" fontId="42" fillId="23" borderId="6" xfId="0" applyFont="1" applyFill="1" applyBorder="1" applyAlignment="1">
      <alignment horizontal="center" vertical="center"/>
    </xf>
    <xf numFmtId="0" fontId="44" fillId="19" borderId="9" xfId="0" applyFont="1" applyFill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44" fillId="19" borderId="11" xfId="0" applyFont="1" applyFill="1" applyBorder="1" applyAlignment="1">
      <alignment horizontal="center" vertical="center"/>
    </xf>
    <xf numFmtId="0" fontId="44" fillId="19" borderId="4" xfId="0" applyFont="1" applyFill="1" applyBorder="1" applyAlignment="1">
      <alignment horizontal="center" vertical="center"/>
    </xf>
    <xf numFmtId="0" fontId="44" fillId="19" borderId="0" xfId="0" applyFont="1" applyFill="1" applyBorder="1" applyAlignment="1">
      <alignment horizontal="center" vertical="center"/>
    </xf>
    <xf numFmtId="0" fontId="44" fillId="19" borderId="5" xfId="0" applyFont="1" applyFill="1" applyBorder="1" applyAlignment="1">
      <alignment horizontal="center" vertical="center"/>
    </xf>
    <xf numFmtId="0" fontId="44" fillId="19" borderId="12" xfId="0" applyFont="1" applyFill="1" applyBorder="1" applyAlignment="1">
      <alignment horizontal="center" vertical="center"/>
    </xf>
    <xf numFmtId="0" fontId="44" fillId="19" borderId="13" xfId="0" applyFont="1" applyFill="1" applyBorder="1" applyAlignment="1">
      <alignment horizontal="center" vertical="center"/>
    </xf>
    <xf numFmtId="0" fontId="44" fillId="19" borderId="14" xfId="0" applyFont="1" applyFill="1" applyBorder="1" applyAlignment="1">
      <alignment horizontal="center" vertical="center"/>
    </xf>
    <xf numFmtId="0" fontId="41" fillId="5" borderId="6" xfId="0" applyFont="1" applyFill="1" applyBorder="1" applyAlignment="1">
      <alignment horizontal="center" vertical="center"/>
    </xf>
    <xf numFmtId="0" fontId="41" fillId="2" borderId="6" xfId="0" applyFont="1" applyFill="1" applyBorder="1" applyAlignment="1">
      <alignment horizontal="center" vertical="center"/>
    </xf>
    <xf numFmtId="0" fontId="43" fillId="2" borderId="6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45" xfId="0" applyFont="1" applyFill="1" applyBorder="1" applyAlignment="1">
      <alignment horizontal="center" vertical="center"/>
    </xf>
    <xf numFmtId="9" fontId="52" fillId="2" borderId="171" xfId="1" applyFont="1" applyFill="1" applyBorder="1" applyAlignment="1">
      <alignment horizontal="center" vertical="center"/>
    </xf>
    <xf numFmtId="9" fontId="52" fillId="2" borderId="173" xfId="1" applyFont="1" applyFill="1" applyBorder="1" applyAlignment="1">
      <alignment horizontal="center" vertical="center"/>
    </xf>
    <xf numFmtId="0" fontId="3" fillId="0" borderId="179" xfId="0" applyFont="1" applyFill="1" applyBorder="1" applyAlignment="1">
      <alignment horizontal="center" vertical="center"/>
    </xf>
    <xf numFmtId="0" fontId="3" fillId="0" borderId="180" xfId="0" applyFont="1" applyFill="1" applyBorder="1" applyAlignment="1">
      <alignment horizontal="center" vertical="center"/>
    </xf>
    <xf numFmtId="0" fontId="3" fillId="0" borderId="181" xfId="0" applyFont="1" applyFill="1" applyBorder="1" applyAlignment="1">
      <alignment horizontal="center" vertical="center"/>
    </xf>
    <xf numFmtId="0" fontId="33" fillId="0" borderId="106" xfId="0" applyFont="1" applyFill="1" applyBorder="1" applyAlignment="1">
      <alignment horizontal="center" vertical="center" wrapText="1"/>
    </xf>
    <xf numFmtId="0" fontId="33" fillId="0" borderId="115" xfId="0" applyFont="1" applyFill="1" applyBorder="1" applyAlignment="1">
      <alignment horizontal="center" vertical="center" wrapText="1"/>
    </xf>
    <xf numFmtId="9" fontId="49" fillId="2" borderId="122" xfId="1" applyFont="1" applyFill="1" applyBorder="1" applyAlignment="1">
      <alignment horizontal="center" vertical="center"/>
    </xf>
    <xf numFmtId="9" fontId="49" fillId="2" borderId="124" xfId="1" applyFont="1" applyFill="1" applyBorder="1" applyAlignment="1">
      <alignment horizontal="center" vertical="center"/>
    </xf>
    <xf numFmtId="9" fontId="49" fillId="2" borderId="144" xfId="1" applyFont="1" applyFill="1" applyBorder="1" applyAlignment="1">
      <alignment horizontal="center" vertical="center"/>
    </xf>
    <xf numFmtId="9" fontId="52" fillId="2" borderId="121" xfId="1" applyFont="1" applyFill="1" applyBorder="1" applyAlignment="1">
      <alignment horizontal="center" vertical="center"/>
    </xf>
    <xf numFmtId="9" fontId="52" fillId="2" borderId="124" xfId="1" applyFont="1" applyFill="1" applyBorder="1" applyAlignment="1">
      <alignment horizontal="center" vertical="center"/>
    </xf>
    <xf numFmtId="9" fontId="52" fillId="2" borderId="144" xfId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9" fontId="52" fillId="2" borderId="98" xfId="1" applyFont="1" applyFill="1" applyBorder="1" applyAlignment="1">
      <alignment horizontal="center" vertical="center"/>
    </xf>
    <xf numFmtId="9" fontId="52" fillId="2" borderId="106" xfId="1" applyFont="1" applyFill="1" applyBorder="1" applyAlignment="1">
      <alignment horizontal="center" vertical="center"/>
    </xf>
    <xf numFmtId="9" fontId="52" fillId="2" borderId="166" xfId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 wrapText="1"/>
    </xf>
    <xf numFmtId="0" fontId="5" fillId="0" borderId="99" xfId="0" applyFont="1" applyFill="1" applyBorder="1" applyAlignment="1">
      <alignment horizontal="center" vertical="center" wrapText="1"/>
    </xf>
    <xf numFmtId="0" fontId="5" fillId="0" borderId="92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107" xfId="0" applyFont="1" applyFill="1" applyBorder="1" applyAlignment="1">
      <alignment horizontal="center" vertical="center" wrapText="1"/>
    </xf>
    <xf numFmtId="17" fontId="11" fillId="3" borderId="93" xfId="0" applyNumberFormat="1" applyFont="1" applyFill="1" applyBorder="1" applyAlignment="1">
      <alignment horizontal="center" vertical="center"/>
    </xf>
    <xf numFmtId="17" fontId="11" fillId="3" borderId="94" xfId="0" applyNumberFormat="1" applyFont="1" applyFill="1" applyBorder="1" applyAlignment="1">
      <alignment horizontal="center" vertical="center"/>
    </xf>
    <xf numFmtId="17" fontId="11" fillId="24" borderId="94" xfId="0" applyNumberFormat="1" applyFont="1" applyFill="1" applyBorder="1" applyAlignment="1">
      <alignment horizontal="center" vertical="center"/>
    </xf>
    <xf numFmtId="17" fontId="11" fillId="3" borderId="95" xfId="0" applyNumberFormat="1" applyFont="1" applyFill="1" applyBorder="1" applyAlignment="1">
      <alignment horizontal="center" vertical="center"/>
    </xf>
    <xf numFmtId="0" fontId="33" fillId="0" borderId="96" xfId="0" applyFont="1" applyFill="1" applyBorder="1" applyAlignment="1">
      <alignment horizontal="center" vertical="center"/>
    </xf>
    <xf numFmtId="0" fontId="33" fillId="0" borderId="104" xfId="0" applyFont="1" applyFill="1" applyBorder="1" applyAlignment="1">
      <alignment horizontal="center" vertical="center"/>
    </xf>
    <xf numFmtId="0" fontId="33" fillId="0" borderId="113" xfId="0" applyFont="1" applyFill="1" applyBorder="1" applyAlignment="1">
      <alignment horizontal="center" vertical="center"/>
    </xf>
    <xf numFmtId="0" fontId="33" fillId="0" borderId="97" xfId="0" applyFont="1" applyFill="1" applyBorder="1" applyAlignment="1">
      <alignment horizontal="center" vertical="center"/>
    </xf>
    <xf numFmtId="0" fontId="33" fillId="0" borderId="105" xfId="0" applyFont="1" applyFill="1" applyBorder="1" applyAlignment="1">
      <alignment horizontal="center" vertical="center"/>
    </xf>
    <xf numFmtId="0" fontId="33" fillId="0" borderId="114" xfId="0" applyFont="1" applyFill="1" applyBorder="1" applyAlignment="1">
      <alignment horizontal="center" vertical="center"/>
    </xf>
    <xf numFmtId="17" fontId="23" fillId="11" borderId="6" xfId="0" quotePrefix="1" applyNumberFormat="1" applyFont="1" applyFill="1" applyBorder="1" applyAlignment="1" applyProtection="1">
      <alignment horizontal="center" vertical="center"/>
      <protection locked="0"/>
    </xf>
    <xf numFmtId="0" fontId="26" fillId="11" borderId="6" xfId="0" applyFont="1" applyFill="1" applyBorder="1" applyAlignment="1" applyProtection="1">
      <alignment horizontal="center" vertical="center" wrapText="1"/>
      <protection locked="0"/>
    </xf>
    <xf numFmtId="0" fontId="24" fillId="11" borderId="19" xfId="0" applyFont="1" applyFill="1" applyBorder="1" applyAlignment="1" applyProtection="1">
      <alignment horizontal="center" vertical="center" wrapText="1"/>
      <protection locked="0"/>
    </xf>
    <xf numFmtId="0" fontId="29" fillId="9" borderId="0" xfId="0" applyFont="1" applyFill="1" applyAlignment="1" applyProtection="1">
      <alignment horizontal="center" vertical="center"/>
      <protection locked="0"/>
    </xf>
    <xf numFmtId="166" fontId="27" fillId="2" borderId="6" xfId="1" applyNumberFormat="1" applyFont="1" applyFill="1" applyBorder="1" applyAlignment="1" applyProtection="1">
      <alignment horizontal="center" vertical="center"/>
      <protection locked="0"/>
    </xf>
    <xf numFmtId="166" fontId="27" fillId="2" borderId="19" xfId="1" applyNumberFormat="1" applyFont="1" applyFill="1" applyBorder="1" applyAlignment="1" applyProtection="1">
      <alignment horizontal="center" vertical="center"/>
      <protection locked="0"/>
    </xf>
    <xf numFmtId="166" fontId="27" fillId="2" borderId="1" xfId="1" applyNumberFormat="1" applyFont="1" applyFill="1" applyBorder="1" applyAlignment="1" applyProtection="1">
      <alignment horizontal="center" vertical="center"/>
      <protection locked="0"/>
    </xf>
    <xf numFmtId="166" fontId="27" fillId="2" borderId="2" xfId="1" applyNumberFormat="1" applyFont="1" applyFill="1" applyBorder="1" applyAlignment="1" applyProtection="1">
      <alignment horizontal="center" vertical="center"/>
      <protection locked="0"/>
    </xf>
  </cellXfs>
  <cellStyles count="3">
    <cellStyle name="Bad" xfId="2" builtinId="27"/>
    <cellStyle name="Normal" xfId="0" builtinId="0"/>
    <cellStyle name="Percent" xfId="1" builtinId="5"/>
  </cellStyles>
  <dxfs count="101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66FF9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  <fill>
        <patternFill>
          <fgColor theme="2" tint="-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2525"/>
      <color rgb="FFC0C0C0"/>
      <color rgb="FFDDDDDD"/>
      <color rgb="FFB2B2B2"/>
      <color rgb="FF999999"/>
      <color rgb="FF8A8A8A"/>
      <color rgb="FF969696"/>
      <color rgb="FF808080"/>
      <color rgb="FFEC14BE"/>
      <color rgb="FFFF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PH" sz="12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Group KY Compliance 2024</a:t>
            </a:r>
            <a:endParaRPr lang="en-PH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/>
      <c:overlay val="0"/>
      <c:spPr>
        <a:solidFill>
          <a:schemeClr val="lt1"/>
        </a:solidFill>
        <a:ln w="25400" cap="flat" cmpd="sng" algn="ctr">
          <a:solidFill>
            <a:schemeClr val="bg1"/>
          </a:solidFill>
          <a:prstDash val="solid"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'[1]Performance trend- Summary'!$B$6</c:f>
              <c:strCache>
                <c:ptCount val="1"/>
                <c:pt idx="0">
                  <c:v>CLC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strRef>
              <c:f>'[1]Performance trend- Summary'!$C$5:$N$5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'[1]Performance trend- Summary'!$C$6:$N$6</c:f>
              <c:numCache>
                <c:formatCode>General</c:formatCode>
                <c:ptCount val="12"/>
                <c:pt idx="0">
                  <c:v>0.84303556165602567</c:v>
                </c:pt>
                <c:pt idx="1">
                  <c:v>0.96887880011584404</c:v>
                </c:pt>
                <c:pt idx="2">
                  <c:v>0.99370326643053919</c:v>
                </c:pt>
                <c:pt idx="3">
                  <c:v>0.97699999999999998</c:v>
                </c:pt>
                <c:pt idx="4">
                  <c:v>0.99299999999999999</c:v>
                </c:pt>
                <c:pt idx="5">
                  <c:v>0.97399999999999998</c:v>
                </c:pt>
                <c:pt idx="6">
                  <c:v>0.98799999999999999</c:v>
                </c:pt>
                <c:pt idx="7">
                  <c:v>0.97599999999999998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BF-4F3B-9FC4-2C17D80F853A}"/>
            </c:ext>
          </c:extLst>
        </c:ser>
        <c:ser>
          <c:idx val="1"/>
          <c:order val="1"/>
          <c:tx>
            <c:strRef>
              <c:f>'[1]Performance trend- Summary'!$B$7</c:f>
              <c:strCache>
                <c:ptCount val="1"/>
                <c:pt idx="0">
                  <c:v>JED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'[1]Performance trend- Summary'!$C$7:$N$7</c:f>
              <c:numCache>
                <c:formatCode>General</c:formatCode>
                <c:ptCount val="12"/>
                <c:pt idx="0">
                  <c:v>0.9366254562879277</c:v>
                </c:pt>
                <c:pt idx="1">
                  <c:v>1</c:v>
                </c:pt>
                <c:pt idx="2">
                  <c:v>0.99736842105263146</c:v>
                </c:pt>
                <c:pt idx="3">
                  <c:v>1</c:v>
                </c:pt>
                <c:pt idx="4">
                  <c:v>1</c:v>
                </c:pt>
                <c:pt idx="5">
                  <c:v>0.98799999999999999</c:v>
                </c:pt>
                <c:pt idx="6">
                  <c:v>0.98799999999999999</c:v>
                </c:pt>
                <c:pt idx="7">
                  <c:v>0.997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BF-4F3B-9FC4-2C17D80F853A}"/>
            </c:ext>
          </c:extLst>
        </c:ser>
        <c:ser>
          <c:idx val="2"/>
          <c:order val="2"/>
          <c:tx>
            <c:strRef>
              <c:f>'[1]Performance trend- Summary'!$B$8</c:f>
              <c:strCache>
                <c:ptCount val="1"/>
                <c:pt idx="0">
                  <c:v>VPL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'[1]Performance trend- Summary'!$C$8:$N$8</c:f>
              <c:numCache>
                <c:formatCode>General</c:formatCode>
                <c:ptCount val="12"/>
                <c:pt idx="0">
                  <c:v>0.83209935908726884</c:v>
                </c:pt>
                <c:pt idx="1">
                  <c:v>0.9821585419411506</c:v>
                </c:pt>
                <c:pt idx="2">
                  <c:v>0.99370629370629371</c:v>
                </c:pt>
                <c:pt idx="3">
                  <c:v>1</c:v>
                </c:pt>
                <c:pt idx="4">
                  <c:v>0.99199999999999999</c:v>
                </c:pt>
                <c:pt idx="5">
                  <c:v>0.98699999999999999</c:v>
                </c:pt>
                <c:pt idx="6">
                  <c:v>0.98099999999999998</c:v>
                </c:pt>
                <c:pt idx="7">
                  <c:v>0.99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BF-4F3B-9FC4-2C17D80F853A}"/>
            </c:ext>
          </c:extLst>
        </c:ser>
        <c:ser>
          <c:idx val="3"/>
          <c:order val="3"/>
          <c:tx>
            <c:strRef>
              <c:f>'[1]Performance trend- Summary'!$B$9</c:f>
              <c:strCache>
                <c:ptCount val="1"/>
                <c:pt idx="0">
                  <c:v>NJL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val>
            <c:numRef>
              <c:f>'[1]Performance trend- Summary'!$C$9:$N$9</c:f>
              <c:numCache>
                <c:formatCode>General</c:formatCode>
                <c:ptCount val="12"/>
                <c:pt idx="0">
                  <c:v>0.8665920601137993</c:v>
                </c:pt>
                <c:pt idx="1">
                  <c:v>0.99175000000000002</c:v>
                </c:pt>
                <c:pt idx="2">
                  <c:v>0.98698215364882036</c:v>
                </c:pt>
                <c:pt idx="3">
                  <c:v>0.94599999999999995</c:v>
                </c:pt>
                <c:pt idx="4">
                  <c:v>0.98399999999999999</c:v>
                </c:pt>
                <c:pt idx="5">
                  <c:v>0.94599999999999995</c:v>
                </c:pt>
                <c:pt idx="6">
                  <c:v>0.96599999999999997</c:v>
                </c:pt>
                <c:pt idx="7">
                  <c:v>0.98399999999999999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BF-4F3B-9FC4-2C17D80F8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9983488"/>
        <c:axId val="159985024"/>
      </c:barChart>
      <c:lineChart>
        <c:grouping val="standard"/>
        <c:varyColors val="0"/>
        <c:ser>
          <c:idx val="4"/>
          <c:order val="4"/>
          <c:tx>
            <c:v>Average</c:v>
          </c:tx>
          <c:dPt>
            <c:idx val="2"/>
            <c:marker>
              <c:spPr>
                <a:solidFill>
                  <a:srgbClr val="00B0F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1EBF-4F3B-9FC4-2C17D80F85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'[1]Performance trend- Summary'!$C$10:$N$10</c:f>
              <c:numCache>
                <c:formatCode>General</c:formatCode>
                <c:ptCount val="12"/>
                <c:pt idx="0">
                  <c:v>0.86958810928625541</c:v>
                </c:pt>
                <c:pt idx="1">
                  <c:v>0.98569683551424869</c:v>
                </c:pt>
                <c:pt idx="2">
                  <c:v>0.99294003370957107</c:v>
                </c:pt>
                <c:pt idx="3">
                  <c:v>0.98075000000000001</c:v>
                </c:pt>
                <c:pt idx="4">
                  <c:v>0.99224999999999997</c:v>
                </c:pt>
                <c:pt idx="5">
                  <c:v>0.97374999999999989</c:v>
                </c:pt>
                <c:pt idx="6">
                  <c:v>0.98075000000000001</c:v>
                </c:pt>
                <c:pt idx="7">
                  <c:v>0.98675000000000002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EBF-4F3B-9FC4-2C17D80F8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983488"/>
        <c:axId val="159985024"/>
      </c:lineChart>
      <c:catAx>
        <c:axId val="159983488"/>
        <c:scaling>
          <c:orientation val="minMax"/>
        </c:scaling>
        <c:delete val="0"/>
        <c:axPos val="b"/>
        <c:numFmt formatCode="0.00%" sourceLinked="0"/>
        <c:majorTickMark val="in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59985024"/>
        <c:crosses val="autoZero"/>
        <c:auto val="1"/>
        <c:lblAlgn val="ctr"/>
        <c:lblOffset val="100"/>
        <c:noMultiLvlLbl val="0"/>
      </c:catAx>
      <c:valAx>
        <c:axId val="159985024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5998348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spPr>
    <a:ln w="28575">
      <a:solidFill>
        <a:srgbClr val="00B05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PH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Percent</a:t>
            </a:r>
            <a:r>
              <a:rPr lang="en-PH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complience above 95%</a:t>
            </a:r>
            <a:endParaRPr lang="en-PH" sz="1200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/>
      <c:overlay val="0"/>
      <c:spPr>
        <a:solidFill>
          <a:schemeClr val="lt1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451170899452276"/>
          <c:y val="0.1137983284004393"/>
          <c:w val="0.78485440234233217"/>
          <c:h val="0.585877155426493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'[1]Performance trend- Summary'!$P$6</c:f>
              <c:strCache>
                <c:ptCount val="1"/>
                <c:pt idx="0">
                  <c:v>CLC</c:v>
                </c:pt>
              </c:strCache>
            </c:strRef>
          </c:tx>
          <c:invertIfNegative val="0"/>
          <c:dPt>
            <c:idx val="2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630-4C77-94F0-0EB16A219D9D}"/>
              </c:ext>
            </c:extLst>
          </c:dPt>
          <c:cat>
            <c:strRef>
              <c:f>'[1]Performance trend- Summary'!$C$5:$N$5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'[1]Performance trend- Summary'!$Q$6:$AB$6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0.97699999999999998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30-4C77-94F0-0EB16A219D9D}"/>
            </c:ext>
          </c:extLst>
        </c:ser>
        <c:ser>
          <c:idx val="1"/>
          <c:order val="1"/>
          <c:tx>
            <c:strRef>
              <c:f>'[1]Performance trend- Summary'!$P$7</c:f>
              <c:strCache>
                <c:ptCount val="1"/>
                <c:pt idx="0">
                  <c:v>JED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'[1]Performance trend- Summary'!$Q$7:$AB$7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0.95238095238095233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30-4C77-94F0-0EB16A219D9D}"/>
            </c:ext>
          </c:extLst>
        </c:ser>
        <c:ser>
          <c:idx val="2"/>
          <c:order val="2"/>
          <c:tx>
            <c:strRef>
              <c:f>'[1]Performance trend- Summary'!$P$8</c:f>
              <c:strCache>
                <c:ptCount val="1"/>
                <c:pt idx="0">
                  <c:v>VPL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'[1]Performance trend- Summary'!$Q$8:$AB$8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0.95454545454545459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30-4C77-94F0-0EB16A219D9D}"/>
            </c:ext>
          </c:extLst>
        </c:ser>
        <c:ser>
          <c:idx val="3"/>
          <c:order val="3"/>
          <c:tx>
            <c:strRef>
              <c:f>'[1]Performance trend- Summary'!$P$9</c:f>
              <c:strCache>
                <c:ptCount val="1"/>
                <c:pt idx="0">
                  <c:v>NJL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val>
            <c:numRef>
              <c:f>'[1]Performance trend- Summary'!$Q$9:$AB$9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0.95238095238095233</c:v>
                </c:pt>
                <c:pt idx="3">
                  <c:v>0.94599999999999995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30-4C77-94F0-0EB16A21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204998144"/>
        <c:axId val="205000064"/>
      </c:barChart>
      <c:lineChart>
        <c:grouping val="standard"/>
        <c:varyColors val="0"/>
        <c:ser>
          <c:idx val="4"/>
          <c:order val="4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'[1]Performance trend- Summary'!$Q$10:$AB$10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0.96482683982683981</c:v>
                </c:pt>
                <c:pt idx="3">
                  <c:v>0.98075000000000001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630-4C77-94F0-0EB16A21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998144"/>
        <c:axId val="205000064"/>
      </c:lineChart>
      <c:catAx>
        <c:axId val="204998144"/>
        <c:scaling>
          <c:orientation val="minMax"/>
        </c:scaling>
        <c:delete val="0"/>
        <c:axPos val="b"/>
        <c:numFmt formatCode="General" sourceLinked="0"/>
        <c:majorTickMark val="in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05000064"/>
        <c:crosses val="autoZero"/>
        <c:auto val="1"/>
        <c:lblAlgn val="ctr"/>
        <c:lblOffset val="100"/>
        <c:noMultiLvlLbl val="0"/>
      </c:catAx>
      <c:valAx>
        <c:axId val="205000064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04998144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lang="ja-JP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PH" sz="12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Complianc</a:t>
            </a:r>
            <a:r>
              <a:rPr lang="en-PH" sz="1200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e per Class</a:t>
            </a:r>
            <a:endParaRPr lang="en-PH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/>
      <c:overlay val="0"/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'[1]Performance trend- Summary'!$AD$6</c:f>
              <c:strCache>
                <c:ptCount val="1"/>
                <c:pt idx="0">
                  <c:v>JS(36%)</c:v>
                </c:pt>
              </c:strCache>
            </c:strRef>
          </c:tx>
          <c:invertIfNegative val="0"/>
          <c:cat>
            <c:strRef>
              <c:f>'[1]Performance trend- Summary'!$AE$5:$AP$5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'[1]Performance trend- Summary'!$AE$6:$AP$6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D3-4839-A81D-E8FC697C13FF}"/>
            </c:ext>
          </c:extLst>
        </c:ser>
        <c:ser>
          <c:idx val="1"/>
          <c:order val="2"/>
          <c:tx>
            <c:strRef>
              <c:f>'[1]Performance trend- Summary'!$AD$7</c:f>
              <c:strCache>
                <c:ptCount val="1"/>
                <c:pt idx="0">
                  <c:v>RF(63%)</c:v>
                </c:pt>
              </c:strCache>
            </c:strRef>
          </c:tx>
          <c:invertIfNegative val="0"/>
          <c:cat>
            <c:strRef>
              <c:f>'[1]Performance trend- Summary'!$AE$5:$AP$5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'[1]Performance trend- Summary'!$AE$7:$AP$7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D3-4839-A81D-E8FC697C1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783040"/>
        <c:axId val="232163200"/>
      </c:barChart>
      <c:lineChart>
        <c:grouping val="standard"/>
        <c:varyColors val="0"/>
        <c:ser>
          <c:idx val="4"/>
          <c:order val="0"/>
          <c:tx>
            <c:v>Average</c:v>
          </c:tx>
          <c:spPr>
            <a:ln w="25400">
              <a:solidFill>
                <a:schemeClr val="accent5"/>
              </a:solidFill>
              <a:prstDash val="solid"/>
            </a:ln>
          </c:spPr>
          <c:marker>
            <c:symbol val="plus"/>
            <c:size val="9"/>
            <c:spPr>
              <a:noFill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'[1]Performance trend- Summary'!$AE$5:$AP$5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'[1]Performance trend- Summary'!$AE$8:$AP$8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D3-4839-A81D-E8FC697C1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783040"/>
        <c:axId val="232163200"/>
      </c:lineChart>
      <c:catAx>
        <c:axId val="231783040"/>
        <c:scaling>
          <c:orientation val="minMax"/>
        </c:scaling>
        <c:delete val="0"/>
        <c:axPos val="b"/>
        <c:numFmt formatCode="General" sourceLinked="0"/>
        <c:majorTickMark val="in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32163200"/>
        <c:crosses val="autoZero"/>
        <c:auto val="1"/>
        <c:lblAlgn val="ctr"/>
        <c:lblOffset val="100"/>
        <c:noMultiLvlLbl val="0"/>
      </c:catAx>
      <c:valAx>
        <c:axId val="232163200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31783040"/>
        <c:crosses val="autoZero"/>
        <c:crossBetween val="between"/>
      </c:valAx>
    </c:plotArea>
    <c:legend>
      <c:legendPos val="r"/>
      <c:legendEntry>
        <c:idx val="2"/>
        <c:delete val="1"/>
      </c:legendEntry>
      <c:layout/>
      <c:overlay val="0"/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  <c:txPr>
        <a:bodyPr/>
        <a:lstStyle/>
        <a:p>
          <a:pPr>
            <a:defRPr lang="ja-JP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PH" sz="16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KY Card YTD</a:t>
            </a:r>
            <a:endParaRPr lang="en-PH" sz="16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/>
      <c:overlay val="0"/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5005952989924357E-2"/>
          <c:y val="0.13283536900633172"/>
          <c:w val="0.83007032817241588"/>
          <c:h val="0.69968495458016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'[1]Performance trend'!$B$48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'[1]Performance trend'!$C$48:$N$48</c:f>
              <c:numCache>
                <c:formatCode>General</c:formatCode>
                <c:ptCount val="12"/>
                <c:pt idx="0">
                  <c:v>1063</c:v>
                </c:pt>
                <c:pt idx="1">
                  <c:v>2492</c:v>
                </c:pt>
                <c:pt idx="2">
                  <c:v>3005</c:v>
                </c:pt>
                <c:pt idx="3">
                  <c:v>4508</c:v>
                </c:pt>
                <c:pt idx="4">
                  <c:v>6208</c:v>
                </c:pt>
                <c:pt idx="5">
                  <c:v>7727</c:v>
                </c:pt>
                <c:pt idx="6">
                  <c:v>9093</c:v>
                </c:pt>
                <c:pt idx="7">
                  <c:v>10450</c:v>
                </c:pt>
                <c:pt idx="8">
                  <c:v>10450</c:v>
                </c:pt>
                <c:pt idx="9">
                  <c:v>12012</c:v>
                </c:pt>
                <c:pt idx="10">
                  <c:v>14118</c:v>
                </c:pt>
                <c:pt idx="11">
                  <c:v>15856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F3-4B67-8DCB-702905227057}"/>
            </c:ext>
          </c:extLst>
        </c:ser>
        <c:ser>
          <c:idx val="4"/>
          <c:order val="1"/>
          <c:tx>
            <c:strRef>
              <c:f>'[1]Performance trend'!$B$47</c:f>
              <c:strCache>
                <c:ptCount val="1"/>
                <c:pt idx="0">
                  <c:v>TARGET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'[1]Performance trend'!$AE$5:$AP$5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'[1]Performance trend'!$C$47:$N$47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F3-4B67-8DCB-702905227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466688"/>
        <c:axId val="232568704"/>
      </c:barChart>
      <c:catAx>
        <c:axId val="23246668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32568704"/>
        <c:crosses val="autoZero"/>
        <c:auto val="1"/>
        <c:lblAlgn val="ctr"/>
        <c:lblOffset val="100"/>
        <c:noMultiLvlLbl val="0"/>
      </c:catAx>
      <c:valAx>
        <c:axId val="232568704"/>
        <c:scaling>
          <c:orientation val="minMax"/>
          <c:max val="2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324666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5765185102764063"/>
          <c:y val="0.90592647168455598"/>
          <c:w val="0.21873124521912554"/>
          <c:h val="4.6185389506876826E-2"/>
        </c:manualLayout>
      </c:layout>
      <c:overlay val="0"/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  <c:txPr>
        <a:bodyPr/>
        <a:lstStyle/>
        <a:p>
          <a:pPr>
            <a:defRPr lang="ja-JP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PH" sz="12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Group KY Compliance 2024</a:t>
            </a:r>
            <a:endParaRPr lang="en-PH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solidFill>
          <a:schemeClr val="lt1"/>
        </a:solidFill>
        <a:ln w="25400" cap="flat" cmpd="sng" algn="ctr">
          <a:solidFill>
            <a:schemeClr val="bg1"/>
          </a:solidFill>
          <a:prstDash val="solid"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'Performance trend- Summary'!$B$6</c:f>
              <c:strCache>
                <c:ptCount val="1"/>
                <c:pt idx="0">
                  <c:v>CLC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strRef>
              <c:f>'Performance trend- Summary'!$C$5:$N$5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'Performance trend- Summary'!$C$6:$N$6</c:f>
              <c:numCache>
                <c:formatCode>0.0%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9EE6-4DF1-95F5-2AA03D16F382}"/>
            </c:ext>
          </c:extLst>
        </c:ser>
        <c:ser>
          <c:idx val="1"/>
          <c:order val="1"/>
          <c:tx>
            <c:strRef>
              <c:f>'Performance trend- Summary'!$B$7</c:f>
              <c:strCache>
                <c:ptCount val="1"/>
                <c:pt idx="0">
                  <c:v>JED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'Performance trend- Summary'!$C$7:$N$7</c:f>
              <c:numCache>
                <c:formatCode>0.0%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9EE6-4DF1-95F5-2AA03D16F382}"/>
            </c:ext>
          </c:extLst>
        </c:ser>
        <c:ser>
          <c:idx val="2"/>
          <c:order val="2"/>
          <c:tx>
            <c:strRef>
              <c:f>'Performance trend- Summary'!$B$8</c:f>
              <c:strCache>
                <c:ptCount val="1"/>
                <c:pt idx="0">
                  <c:v>VPL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'Performance trend- Summary'!$C$8:$N$8</c:f>
              <c:numCache>
                <c:formatCode>0.0%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9EE6-4DF1-95F5-2AA03D16F382}"/>
            </c:ext>
          </c:extLst>
        </c:ser>
        <c:ser>
          <c:idx val="3"/>
          <c:order val="3"/>
          <c:tx>
            <c:strRef>
              <c:f>'Performance trend- Summary'!$B$9</c:f>
              <c:strCache>
                <c:ptCount val="1"/>
                <c:pt idx="0">
                  <c:v>NJL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val>
            <c:numRef>
              <c:f>'Performance trend- Summary'!$C$9:$N$9</c:f>
              <c:numCache>
                <c:formatCode>0.0%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9EE6-4DF1-95F5-2AA03D16F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9983488"/>
        <c:axId val="159985024"/>
      </c:barChart>
      <c:lineChart>
        <c:grouping val="standard"/>
        <c:varyColors val="0"/>
        <c:ser>
          <c:idx val="4"/>
          <c:order val="4"/>
          <c:tx>
            <c:v>Average</c:v>
          </c:tx>
          <c:dPt>
            <c:idx val="2"/>
            <c:marker>
              <c:spPr>
                <a:solidFill>
                  <a:srgbClr val="00B0F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9EE6-4DF1-95F5-2AA03D16F38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'Performance trend- Summary'!$C$10:$N$10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E6-4DF1-95F5-2AA03D16F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983488"/>
        <c:axId val="159985024"/>
      </c:lineChart>
      <c:catAx>
        <c:axId val="159983488"/>
        <c:scaling>
          <c:orientation val="minMax"/>
        </c:scaling>
        <c:delete val="0"/>
        <c:axPos val="b"/>
        <c:numFmt formatCode="0.00%" sourceLinked="0"/>
        <c:majorTickMark val="in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59985024"/>
        <c:crosses val="autoZero"/>
        <c:auto val="1"/>
        <c:lblAlgn val="ctr"/>
        <c:lblOffset val="100"/>
        <c:noMultiLvlLbl val="0"/>
      </c:catAx>
      <c:valAx>
        <c:axId val="159985024"/>
        <c:scaling>
          <c:orientation val="minMax"/>
          <c:max val="1"/>
          <c:min val="0"/>
        </c:scaling>
        <c:delete val="0"/>
        <c:axPos val="l"/>
        <c:numFmt formatCode="0.0%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5998348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spPr>
    <a:ln w="28575">
      <a:solidFill>
        <a:srgbClr val="00B05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PH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Percent</a:t>
            </a:r>
            <a:r>
              <a:rPr lang="en-PH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complience above 95%</a:t>
            </a:r>
            <a:endParaRPr lang="en-PH" sz="1200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solidFill>
          <a:schemeClr val="lt1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451170899452276"/>
          <c:y val="0.1137983284004393"/>
          <c:w val="0.78485440234233217"/>
          <c:h val="0.585877155426493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'Performance trend- Summary'!$P$6</c:f>
              <c:strCache>
                <c:ptCount val="1"/>
                <c:pt idx="0">
                  <c:v>CLC</c:v>
                </c:pt>
              </c:strCache>
            </c:strRef>
          </c:tx>
          <c:invertIfNegative val="0"/>
          <c:dPt>
            <c:idx val="2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6-8C40-4C4F-947D-58E099DE6CA7}"/>
              </c:ext>
            </c:extLst>
          </c:dPt>
          <c:cat>
            <c:strRef>
              <c:f>'Performance trend- Summary'!$C$5:$N$5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'Performance trend- Summary'!$Q$6:$AB$6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D4D6-41C6-BEBF-FF207DD74659}"/>
            </c:ext>
          </c:extLst>
        </c:ser>
        <c:ser>
          <c:idx val="1"/>
          <c:order val="1"/>
          <c:tx>
            <c:strRef>
              <c:f>'Performance trend- Summary'!$P$7</c:f>
              <c:strCache>
                <c:ptCount val="1"/>
                <c:pt idx="0">
                  <c:v>JED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'Performance trend- Summary'!$Q$7:$AB$7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D4D6-41C6-BEBF-FF207DD74659}"/>
            </c:ext>
          </c:extLst>
        </c:ser>
        <c:ser>
          <c:idx val="2"/>
          <c:order val="2"/>
          <c:tx>
            <c:strRef>
              <c:f>'Performance trend- Summary'!$P$8</c:f>
              <c:strCache>
                <c:ptCount val="1"/>
                <c:pt idx="0">
                  <c:v>VPL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'Performance trend- Summary'!$Q$8:$AB$8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D4D6-41C6-BEBF-FF207DD74659}"/>
            </c:ext>
          </c:extLst>
        </c:ser>
        <c:ser>
          <c:idx val="3"/>
          <c:order val="3"/>
          <c:tx>
            <c:strRef>
              <c:f>'Performance trend- Summary'!$P$9</c:f>
              <c:strCache>
                <c:ptCount val="1"/>
                <c:pt idx="0">
                  <c:v>NJL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val>
            <c:numRef>
              <c:f>'Performance trend- Summary'!$Q$9:$AB$9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D4D6-41C6-BEBF-FF207DD74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204998144"/>
        <c:axId val="205000064"/>
      </c:barChart>
      <c:lineChart>
        <c:grouping val="standard"/>
        <c:varyColors val="0"/>
        <c:ser>
          <c:idx val="4"/>
          <c:order val="4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'Performance trend- Summary'!$Q$10:$AB$10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D6-41C6-BEBF-FF207DD74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998144"/>
        <c:axId val="205000064"/>
      </c:lineChart>
      <c:catAx>
        <c:axId val="204998144"/>
        <c:scaling>
          <c:orientation val="minMax"/>
        </c:scaling>
        <c:delete val="0"/>
        <c:axPos val="b"/>
        <c:numFmt formatCode="General" sourceLinked="0"/>
        <c:majorTickMark val="in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05000064"/>
        <c:crosses val="autoZero"/>
        <c:auto val="1"/>
        <c:lblAlgn val="ctr"/>
        <c:lblOffset val="100"/>
        <c:noMultiLvlLbl val="0"/>
      </c:catAx>
      <c:valAx>
        <c:axId val="205000064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04998144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lang="ja-JP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PH" sz="12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Complianc</a:t>
            </a:r>
            <a:r>
              <a:rPr lang="en-PH" sz="1200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e per Class</a:t>
            </a:r>
            <a:endParaRPr lang="en-PH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'Performance trend- Summary'!$AD$6</c:f>
              <c:strCache>
                <c:ptCount val="1"/>
                <c:pt idx="0">
                  <c:v>JS(36%)</c:v>
                </c:pt>
              </c:strCache>
            </c:strRef>
          </c:tx>
          <c:invertIfNegative val="0"/>
          <c:cat>
            <c:strRef>
              <c:f>'Performance trend- Summary'!$AE$5:$AP$5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'Performance trend- Summary'!$AE$6:$AP$6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DBC4-4433-9391-4193241686BD}"/>
            </c:ext>
          </c:extLst>
        </c:ser>
        <c:ser>
          <c:idx val="1"/>
          <c:order val="2"/>
          <c:tx>
            <c:strRef>
              <c:f>'Performance trend- Summary'!$AD$7</c:f>
              <c:strCache>
                <c:ptCount val="1"/>
                <c:pt idx="0">
                  <c:v>RF(63%)</c:v>
                </c:pt>
              </c:strCache>
            </c:strRef>
          </c:tx>
          <c:invertIfNegative val="0"/>
          <c:cat>
            <c:strRef>
              <c:f>'Performance trend- Summary'!$AE$5:$AP$5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'Performance trend- Summary'!$AE$7:$AP$7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DBC4-4433-9391-419324168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783040"/>
        <c:axId val="232163200"/>
      </c:barChart>
      <c:lineChart>
        <c:grouping val="standard"/>
        <c:varyColors val="0"/>
        <c:ser>
          <c:idx val="4"/>
          <c:order val="0"/>
          <c:tx>
            <c:v>Average</c:v>
          </c:tx>
          <c:spPr>
            <a:ln w="25400">
              <a:solidFill>
                <a:schemeClr val="accent5"/>
              </a:solidFill>
              <a:prstDash val="solid"/>
            </a:ln>
          </c:spPr>
          <c:marker>
            <c:symbol val="plus"/>
            <c:size val="9"/>
            <c:spPr>
              <a:noFill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'Performance trend- Summary'!$AE$5:$AP$5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'Performance trend- Summary'!$AE$8:$AP$8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C4-4433-9391-419324168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783040"/>
        <c:axId val="232163200"/>
      </c:lineChart>
      <c:catAx>
        <c:axId val="231783040"/>
        <c:scaling>
          <c:orientation val="minMax"/>
        </c:scaling>
        <c:delete val="0"/>
        <c:axPos val="b"/>
        <c:numFmt formatCode="General" sourceLinked="0"/>
        <c:majorTickMark val="in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32163200"/>
        <c:crosses val="autoZero"/>
        <c:auto val="1"/>
        <c:lblAlgn val="ctr"/>
        <c:lblOffset val="100"/>
        <c:noMultiLvlLbl val="0"/>
      </c:catAx>
      <c:valAx>
        <c:axId val="232163200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31783040"/>
        <c:crosses val="autoZero"/>
        <c:crossBetween val="between"/>
      </c:valAx>
    </c:plotArea>
    <c:legend>
      <c:legendPos val="r"/>
      <c:legendEntry>
        <c:idx val="2"/>
        <c:delete val="1"/>
      </c:legendEntry>
      <c:overlay val="0"/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  <c:txPr>
        <a:bodyPr/>
        <a:lstStyle/>
        <a:p>
          <a:pPr>
            <a:defRPr lang="ja-JP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PH" sz="16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KY Card YTD</a:t>
            </a:r>
            <a:endParaRPr lang="en-PH" sz="16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5005952989924357E-2"/>
          <c:y val="0.13283536900633172"/>
          <c:w val="0.83007032817241588"/>
          <c:h val="0.69968495458016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'Performance trend'!$B$48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'Performance trend'!$C$48:$N$48</c:f>
              <c:numCache>
                <c:formatCode>General</c:formatCode>
                <c:ptCount val="12"/>
                <c:pt idx="0">
                  <c:v>1063</c:v>
                </c:pt>
                <c:pt idx="1">
                  <c:v>2492</c:v>
                </c:pt>
                <c:pt idx="2">
                  <c:v>3005</c:v>
                </c:pt>
                <c:pt idx="3">
                  <c:v>4508</c:v>
                </c:pt>
                <c:pt idx="4">
                  <c:v>6208</c:v>
                </c:pt>
                <c:pt idx="5">
                  <c:v>7727</c:v>
                </c:pt>
                <c:pt idx="6">
                  <c:v>9093</c:v>
                </c:pt>
                <c:pt idx="7">
                  <c:v>10450</c:v>
                </c:pt>
                <c:pt idx="8" formatCode="0">
                  <c:v>10450</c:v>
                </c:pt>
                <c:pt idx="9" formatCode="0">
                  <c:v>12012</c:v>
                </c:pt>
                <c:pt idx="10" formatCode="0">
                  <c:v>14118</c:v>
                </c:pt>
                <c:pt idx="11" formatCode="0">
                  <c:v>15856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E-43C7-A229-96C89B082BD7}"/>
            </c:ext>
          </c:extLst>
        </c:ser>
        <c:ser>
          <c:idx val="4"/>
          <c:order val="1"/>
          <c:tx>
            <c:strRef>
              <c:f>'Performance trend'!$B$47</c:f>
              <c:strCache>
                <c:ptCount val="1"/>
                <c:pt idx="0">
                  <c:v>TARGET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'Performance trend'!$AE$5:$AP$5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'Performance trend'!$C$47:$N$47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9E-43C7-A229-96C89B082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466688"/>
        <c:axId val="232568704"/>
      </c:barChart>
      <c:catAx>
        <c:axId val="23246668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32568704"/>
        <c:crosses val="autoZero"/>
        <c:auto val="1"/>
        <c:lblAlgn val="ctr"/>
        <c:lblOffset val="100"/>
        <c:noMultiLvlLbl val="0"/>
      </c:catAx>
      <c:valAx>
        <c:axId val="232568704"/>
        <c:scaling>
          <c:orientation val="minMax"/>
          <c:max val="2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324666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5765185102764063"/>
          <c:y val="0.90592647168455598"/>
          <c:w val="0.21873124521912554"/>
          <c:h val="4.6185389506876826E-2"/>
        </c:manualLayout>
      </c:layout>
      <c:overlay val="0"/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  <c:txPr>
        <a:bodyPr/>
        <a:lstStyle/>
        <a:p>
          <a:pPr>
            <a:defRPr lang="ja-JP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52441926067653"/>
          <c:y val="0.17171296296296296"/>
          <c:w val="0.67983450879931295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v>DAILY KY MONITORING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F6-4AD7-95FE-7C1CAF3CA597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F6-4AD7-95FE-7C1CAF3CA597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F6-4AD7-95FE-7C1CAF3CA597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F6-4AD7-95FE-7C1CAF3CA597}"/>
              </c:ext>
            </c:extLst>
          </c:dPt>
          <c:cat>
            <c:strRef>
              <c:f>Graph!$A$4:$A$7</c:f>
              <c:strCache>
                <c:ptCount val="4"/>
                <c:pt idx="0">
                  <c:v>TEAM CLC</c:v>
                </c:pt>
                <c:pt idx="1">
                  <c:v>TEAM JED</c:v>
                </c:pt>
                <c:pt idx="2">
                  <c:v>TEAM VPL</c:v>
                </c:pt>
                <c:pt idx="3">
                  <c:v>TEAM NJL</c:v>
                </c:pt>
              </c:strCache>
            </c:strRef>
          </c:cat>
          <c:val>
            <c:numRef>
              <c:f>Graph!$D$4:$D$7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6-4AD7-95FE-7C1CAF3CA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9"/>
        <c:overlap val="-10"/>
        <c:axId val="1564718288"/>
        <c:axId val="1564719952"/>
      </c:barChart>
      <c:catAx>
        <c:axId val="156471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719952"/>
        <c:crosses val="autoZero"/>
        <c:auto val="1"/>
        <c:lblAlgn val="ctr"/>
        <c:lblOffset val="100"/>
        <c:noMultiLvlLbl val="0"/>
      </c:catAx>
      <c:valAx>
        <c:axId val="1564719952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71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PH" sz="12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Group KY Compliance</a:t>
            </a:r>
            <a:endParaRPr lang="en-PH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'Performance trend'!$B$6</c:f>
              <c:strCache>
                <c:ptCount val="1"/>
                <c:pt idx="0">
                  <c:v>CLC</c:v>
                </c:pt>
              </c:strCache>
            </c:strRef>
          </c:tx>
          <c:invertIfNegative val="0"/>
          <c:cat>
            <c:strRef>
              <c:f>'Performance trend'!$C$5:$N$5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'Performance trend'!$C$6:$N$6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783D-461F-836C-725506DE2043}"/>
            </c:ext>
          </c:extLst>
        </c:ser>
        <c:ser>
          <c:idx val="1"/>
          <c:order val="1"/>
          <c:tx>
            <c:strRef>
              <c:f>'Performance trend'!$B$7</c:f>
              <c:strCache>
                <c:ptCount val="1"/>
                <c:pt idx="0">
                  <c:v>JED</c:v>
                </c:pt>
              </c:strCache>
            </c:strRef>
          </c:tx>
          <c:invertIfNegative val="0"/>
          <c:val>
            <c:numRef>
              <c:f>'Performance trend'!$C$7:$N$7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783D-461F-836C-725506DE2043}"/>
            </c:ext>
          </c:extLst>
        </c:ser>
        <c:ser>
          <c:idx val="2"/>
          <c:order val="2"/>
          <c:tx>
            <c:strRef>
              <c:f>'Performance trend'!$B$8</c:f>
              <c:strCache>
                <c:ptCount val="1"/>
                <c:pt idx="0">
                  <c:v>VPL</c:v>
                </c:pt>
              </c:strCache>
            </c:strRef>
          </c:tx>
          <c:invertIfNegative val="0"/>
          <c:val>
            <c:numRef>
              <c:f>'Performance trend'!$C$8:$N$8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783D-461F-836C-725506DE2043}"/>
            </c:ext>
          </c:extLst>
        </c:ser>
        <c:ser>
          <c:idx val="3"/>
          <c:order val="3"/>
          <c:tx>
            <c:strRef>
              <c:f>'Performance trend'!$B$9</c:f>
              <c:strCache>
                <c:ptCount val="1"/>
                <c:pt idx="0">
                  <c:v>NJL</c:v>
                </c:pt>
              </c:strCache>
            </c:strRef>
          </c:tx>
          <c:invertIfNegative val="0"/>
          <c:val>
            <c:numRef>
              <c:f>'Performance trend'!$C$9:$N$9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783D-461F-836C-725506DE2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9983488"/>
        <c:axId val="159985024"/>
      </c:barChart>
      <c:lineChart>
        <c:grouping val="standard"/>
        <c:varyColors val="0"/>
        <c:ser>
          <c:idx val="4"/>
          <c:order val="4"/>
          <c:tx>
            <c:v>Average</c:v>
          </c:tx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'Performance trend'!$C$10:$N$10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3D-461F-836C-725506DE2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983488"/>
        <c:axId val="159985024"/>
      </c:lineChart>
      <c:catAx>
        <c:axId val="159983488"/>
        <c:scaling>
          <c:orientation val="minMax"/>
        </c:scaling>
        <c:delete val="0"/>
        <c:axPos val="b"/>
        <c:numFmt formatCode="General" sourceLinked="0"/>
        <c:majorTickMark val="in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59985024"/>
        <c:crosses val="autoZero"/>
        <c:auto val="1"/>
        <c:lblAlgn val="ctr"/>
        <c:lblOffset val="100"/>
        <c:noMultiLvlLbl val="0"/>
      </c:catAx>
      <c:valAx>
        <c:axId val="159985024"/>
        <c:scaling>
          <c:orientation val="minMax"/>
          <c:max val="1"/>
          <c:min val="0.15000000000000002"/>
        </c:scaling>
        <c:delete val="0"/>
        <c:axPos val="l"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59983488"/>
        <c:crosses val="autoZero"/>
        <c:crossBetween val="between"/>
      </c:valAx>
    </c:plotArea>
    <c:legend>
      <c:legendPos val="b"/>
      <c:legendEntry>
        <c:idx val="4"/>
        <c:delete val="1"/>
      </c:legendEntry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PH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Compliance Commitment</a:t>
            </a:r>
            <a:endParaRPr lang="en-PH" sz="1200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'Performance trend'!$P$6</c:f>
              <c:strCache>
                <c:ptCount val="1"/>
                <c:pt idx="0">
                  <c:v>CLC</c:v>
                </c:pt>
              </c:strCache>
            </c:strRef>
          </c:tx>
          <c:invertIfNegative val="0"/>
          <c:cat>
            <c:strRef>
              <c:f>'Performance trend'!$C$5:$N$5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'Performance trend'!$Q$6:$AB$6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A28E-44DD-BD9C-68C88D514702}"/>
            </c:ext>
          </c:extLst>
        </c:ser>
        <c:ser>
          <c:idx val="1"/>
          <c:order val="1"/>
          <c:tx>
            <c:strRef>
              <c:f>'Performance trend'!$P$7</c:f>
              <c:strCache>
                <c:ptCount val="1"/>
                <c:pt idx="0">
                  <c:v>JED</c:v>
                </c:pt>
              </c:strCache>
            </c:strRef>
          </c:tx>
          <c:invertIfNegative val="0"/>
          <c:val>
            <c:numRef>
              <c:f>'Performance trend'!$Q$7:$AB$7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A28E-44DD-BD9C-68C88D514702}"/>
            </c:ext>
          </c:extLst>
        </c:ser>
        <c:ser>
          <c:idx val="2"/>
          <c:order val="2"/>
          <c:tx>
            <c:strRef>
              <c:f>'Performance trend'!$P$8</c:f>
              <c:strCache>
                <c:ptCount val="1"/>
                <c:pt idx="0">
                  <c:v>VPL</c:v>
                </c:pt>
              </c:strCache>
            </c:strRef>
          </c:tx>
          <c:invertIfNegative val="0"/>
          <c:val>
            <c:numRef>
              <c:f>'Performance trend'!$Q$8:$AB$8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A28E-44DD-BD9C-68C88D514702}"/>
            </c:ext>
          </c:extLst>
        </c:ser>
        <c:ser>
          <c:idx val="3"/>
          <c:order val="3"/>
          <c:tx>
            <c:strRef>
              <c:f>'Performance trend'!$P$9</c:f>
              <c:strCache>
                <c:ptCount val="1"/>
                <c:pt idx="0">
                  <c:v>NJL</c:v>
                </c:pt>
              </c:strCache>
            </c:strRef>
          </c:tx>
          <c:invertIfNegative val="0"/>
          <c:val>
            <c:numRef>
              <c:f>'Performance trend'!$Q$9:$AB$9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A28E-44DD-BD9C-68C88D514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204998144"/>
        <c:axId val="205000064"/>
      </c:barChart>
      <c:lineChart>
        <c:grouping val="standard"/>
        <c:varyColors val="0"/>
        <c:ser>
          <c:idx val="4"/>
          <c:order val="4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'Performance trend'!$Q$10:$AB$10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8E-44DD-BD9C-68C88D514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998144"/>
        <c:axId val="205000064"/>
      </c:lineChart>
      <c:catAx>
        <c:axId val="204998144"/>
        <c:scaling>
          <c:orientation val="minMax"/>
        </c:scaling>
        <c:delete val="0"/>
        <c:axPos val="b"/>
        <c:numFmt formatCode="General" sourceLinked="0"/>
        <c:majorTickMark val="in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05000064"/>
        <c:crosses val="autoZero"/>
        <c:auto val="1"/>
        <c:lblAlgn val="ctr"/>
        <c:lblOffset val="100"/>
        <c:noMultiLvlLbl val="0"/>
      </c:catAx>
      <c:valAx>
        <c:axId val="205000064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04998144"/>
        <c:crosses val="autoZero"/>
        <c:crossBetween val="between"/>
        <c:majorUnit val="0.2"/>
      </c:valAx>
    </c:plotArea>
    <c:legend>
      <c:legendPos val="b"/>
      <c:legendEntry>
        <c:idx val="4"/>
        <c:delete val="1"/>
      </c:legendEntry>
      <c:overlay val="0"/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  <c:txPr>
        <a:bodyPr/>
        <a:lstStyle/>
        <a:p>
          <a:pPr>
            <a:defRPr lang="ja-JP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lang="ja-JP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PH" sz="12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Complianc</a:t>
            </a:r>
            <a:r>
              <a:rPr lang="en-PH" sz="1200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e per Class</a:t>
            </a:r>
            <a:endParaRPr lang="en-PH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'Performance trend'!$AD$6</c:f>
              <c:strCache>
                <c:ptCount val="1"/>
                <c:pt idx="0">
                  <c:v>JS(36%)</c:v>
                </c:pt>
              </c:strCache>
            </c:strRef>
          </c:tx>
          <c:invertIfNegative val="0"/>
          <c:cat>
            <c:strRef>
              <c:f>'Performance trend'!$AE$5:$AP$5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'Performance trend'!$AE$6:$AP$6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53BF-4AA9-926C-16280CF46E51}"/>
            </c:ext>
          </c:extLst>
        </c:ser>
        <c:ser>
          <c:idx val="1"/>
          <c:order val="2"/>
          <c:tx>
            <c:strRef>
              <c:f>'Performance trend'!$AD$7</c:f>
              <c:strCache>
                <c:ptCount val="1"/>
                <c:pt idx="0">
                  <c:v>RF(63%)</c:v>
                </c:pt>
              </c:strCache>
            </c:strRef>
          </c:tx>
          <c:invertIfNegative val="0"/>
          <c:cat>
            <c:strRef>
              <c:f>'Performance trend'!$AE$5:$AP$5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'Performance trend'!$AE$7:$AP$7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53BF-4AA9-926C-16280CF46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783040"/>
        <c:axId val="232163200"/>
      </c:barChart>
      <c:lineChart>
        <c:grouping val="standard"/>
        <c:varyColors val="0"/>
        <c:ser>
          <c:idx val="4"/>
          <c:order val="0"/>
          <c:tx>
            <c:v>Average</c:v>
          </c:tx>
          <c:spPr>
            <a:ln w="25400">
              <a:solidFill>
                <a:schemeClr val="accent5"/>
              </a:solidFill>
              <a:prstDash val="solid"/>
            </a:ln>
          </c:spPr>
          <c:marker>
            <c:symbol val="plus"/>
            <c:size val="9"/>
            <c:spPr>
              <a:noFill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'Performance trend'!$AE$5:$AP$5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'Performance trend'!$AE$8:$AP$8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BF-4AA9-926C-16280CF46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783040"/>
        <c:axId val="232163200"/>
      </c:lineChart>
      <c:catAx>
        <c:axId val="231783040"/>
        <c:scaling>
          <c:orientation val="minMax"/>
        </c:scaling>
        <c:delete val="0"/>
        <c:axPos val="b"/>
        <c:numFmt formatCode="General" sourceLinked="0"/>
        <c:majorTickMark val="in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32163200"/>
        <c:crosses val="autoZero"/>
        <c:auto val="1"/>
        <c:lblAlgn val="ctr"/>
        <c:lblOffset val="100"/>
        <c:noMultiLvlLbl val="0"/>
      </c:catAx>
      <c:valAx>
        <c:axId val="232163200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31783040"/>
        <c:crosses val="autoZero"/>
        <c:crossBetween val="between"/>
      </c:valAx>
    </c:plotArea>
    <c:legend>
      <c:legendPos val="r"/>
      <c:legendEntry>
        <c:idx val="2"/>
        <c:delete val="1"/>
      </c:legendEntry>
      <c:overlay val="0"/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  <c:txPr>
        <a:bodyPr/>
        <a:lstStyle/>
        <a:p>
          <a:pPr>
            <a:defRPr lang="ja-JP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PH" sz="16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KY Card YTD</a:t>
            </a:r>
            <a:endParaRPr lang="en-PH" sz="16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5005952989924357E-2"/>
          <c:y val="0.13283536900633172"/>
          <c:w val="0.83007032817241588"/>
          <c:h val="0.69968495458016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'Performance trend'!$B$48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'Performance trend'!$C$48:$N$48</c:f>
              <c:numCache>
                <c:formatCode>General</c:formatCode>
                <c:ptCount val="12"/>
                <c:pt idx="0">
                  <c:v>1063</c:v>
                </c:pt>
                <c:pt idx="1">
                  <c:v>2492</c:v>
                </c:pt>
                <c:pt idx="2">
                  <c:v>3005</c:v>
                </c:pt>
                <c:pt idx="3">
                  <c:v>4508</c:v>
                </c:pt>
                <c:pt idx="4">
                  <c:v>6208</c:v>
                </c:pt>
                <c:pt idx="5">
                  <c:v>7727</c:v>
                </c:pt>
                <c:pt idx="6">
                  <c:v>9093</c:v>
                </c:pt>
                <c:pt idx="7">
                  <c:v>10450</c:v>
                </c:pt>
                <c:pt idx="8" formatCode="0">
                  <c:v>10450</c:v>
                </c:pt>
                <c:pt idx="9" formatCode="0">
                  <c:v>12012</c:v>
                </c:pt>
                <c:pt idx="10" formatCode="0">
                  <c:v>14118</c:v>
                </c:pt>
                <c:pt idx="11" formatCode="0">
                  <c:v>15856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5A-412B-9DF1-C1FFBCB2F807}"/>
            </c:ext>
          </c:extLst>
        </c:ser>
        <c:ser>
          <c:idx val="4"/>
          <c:order val="1"/>
          <c:tx>
            <c:strRef>
              <c:f>'Performance trend'!$B$47</c:f>
              <c:strCache>
                <c:ptCount val="1"/>
                <c:pt idx="0">
                  <c:v>TARGET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'Performance trend'!$AE$5:$AP$5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'Performance trend'!$C$47:$N$47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5A-412B-9DF1-C1FFBCB2F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466688"/>
        <c:axId val="232568704"/>
      </c:barChart>
      <c:catAx>
        <c:axId val="23246668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32568704"/>
        <c:crosses val="autoZero"/>
        <c:auto val="1"/>
        <c:lblAlgn val="ctr"/>
        <c:lblOffset val="100"/>
        <c:noMultiLvlLbl val="0"/>
      </c:catAx>
      <c:valAx>
        <c:axId val="232568704"/>
        <c:scaling>
          <c:orientation val="minMax"/>
          <c:max val="2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324666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5765185102764063"/>
          <c:y val="0.90592647168455598"/>
          <c:w val="0.21873124521912554"/>
          <c:h val="4.6185389506876826E-2"/>
        </c:manualLayout>
      </c:layout>
      <c:overlay val="0"/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  <c:txPr>
        <a:bodyPr/>
        <a:lstStyle/>
        <a:p>
          <a:pPr>
            <a:defRPr lang="ja-JP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12</xdr:row>
      <xdr:rowOff>47625</xdr:rowOff>
    </xdr:from>
    <xdr:to>
      <xdr:col>13</xdr:col>
      <xdr:colOff>209550</xdr:colOff>
      <xdr:row>35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8403</xdr:colOff>
      <xdr:row>12</xdr:row>
      <xdr:rowOff>28575</xdr:rowOff>
    </xdr:from>
    <xdr:to>
      <xdr:col>28</xdr:col>
      <xdr:colOff>0</xdr:colOff>
      <xdr:row>35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19050</xdr:colOff>
      <xdr:row>10</xdr:row>
      <xdr:rowOff>57150</xdr:rowOff>
    </xdr:from>
    <xdr:to>
      <xdr:col>42</xdr:col>
      <xdr:colOff>21949</xdr:colOff>
      <xdr:row>26</xdr:row>
      <xdr:rowOff>179070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20</xdr:col>
      <xdr:colOff>409254</xdr:colOff>
      <xdr:row>75</xdr:row>
      <xdr:rowOff>157283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0.1002</cdr:x>
      <cdr:y>0.12981</cdr:y>
    </cdr:from>
    <cdr:to>
      <cdr:x>0.27485</cdr:x>
      <cdr:y>0.26312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829876" y="648809"/>
          <a:ext cx="1446540" cy="666314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2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PH" sz="1200" b="0">
              <a:latin typeface="Arial" panose="020B0604020202020204" pitchFamily="34" charset="0"/>
              <a:cs typeface="Arial" panose="020B0604020202020204" pitchFamily="34" charset="0"/>
            </a:rPr>
            <a:t>Target</a:t>
          </a:r>
          <a:r>
            <a:rPr lang="en-PH" sz="1200" b="0" baseline="0">
              <a:latin typeface="Arial" panose="020B0604020202020204" pitchFamily="34" charset="0"/>
              <a:cs typeface="Arial" panose="020B0604020202020204" pitchFamily="34" charset="0"/>
            </a:rPr>
            <a:t> = 18720</a:t>
          </a:r>
        </a:p>
        <a:p xmlns:a="http://schemas.openxmlformats.org/drawingml/2006/main">
          <a:r>
            <a:rPr lang="en-PH" sz="1200" baseline="0">
              <a:latin typeface="Arial" panose="020B0604020202020204" pitchFamily="34" charset="0"/>
              <a:cs typeface="Arial" panose="020B0604020202020204" pitchFamily="34" charset="0"/>
            </a:rPr>
            <a:t>Actual = </a:t>
          </a:r>
          <a:r>
            <a:rPr lang="en-PH" sz="1200" b="0" baseline="0">
              <a:latin typeface="Arial" panose="020B0604020202020204" pitchFamily="34" charset="0"/>
              <a:cs typeface="Arial" panose="020B0604020202020204" pitchFamily="34" charset="0"/>
            </a:rPr>
            <a:t>17410</a:t>
          </a:r>
        </a:p>
        <a:p xmlns:a="http://schemas.openxmlformats.org/drawingml/2006/main">
          <a:r>
            <a:rPr lang="en-PH" sz="1200" baseline="0">
              <a:latin typeface="Arial" panose="020B0604020202020204" pitchFamily="34" charset="0"/>
              <a:cs typeface="Arial" panose="020B0604020202020204" pitchFamily="34" charset="0"/>
            </a:rPr>
            <a:t>Balance = (1310)</a:t>
          </a:r>
          <a:endParaRPr lang="en-PH" sz="12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3</xdr:row>
          <xdr:rowOff>9525</xdr:rowOff>
        </xdr:from>
        <xdr:to>
          <xdr:col>18</xdr:col>
          <xdr:colOff>542925</xdr:colOff>
          <xdr:row>5</xdr:row>
          <xdr:rowOff>95250</xdr:rowOff>
        </xdr:to>
        <xdr:sp macro="" textlink="">
          <xdr:nvSpPr>
            <xdr:cNvPr id="146438" name="CommandButton1" hidden="1">
              <a:extLst>
                <a:ext uri="{63B3BB69-23CF-44E3-9099-C40C66FF867C}">
                  <a14:compatExt spid="_x0000_s146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142875</xdr:rowOff>
    </xdr:from>
    <xdr:to>
      <xdr:col>3</xdr:col>
      <xdr:colOff>266700</xdr:colOff>
      <xdr:row>2</xdr:row>
      <xdr:rowOff>219075</xdr:rowOff>
    </xdr:to>
    <xdr:sp macro="" textlink="">
      <xdr:nvSpPr>
        <xdr:cNvPr id="2" name="CommandButton2" hidden="1">
          <a:extLst>
            <a:ext uri="{63B3BB69-23CF-44E3-9099-C40C66FF867C}">
              <a14:compatExt xmlns:a14="http://schemas.microsoft.com/office/drawing/2010/main" spid="_x0000_s205825"/>
            </a:ext>
          </a:extLst>
        </xdr:cNvPr>
        <xdr:cNvSpPr/>
      </xdr:nvSpPr>
      <xdr:spPr bwMode="auto">
        <a:xfrm>
          <a:off x="628650" y="457200"/>
          <a:ext cx="1133475" cy="390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142875</xdr:rowOff>
    </xdr:from>
    <xdr:to>
      <xdr:col>3</xdr:col>
      <xdr:colOff>266700</xdr:colOff>
      <xdr:row>2</xdr:row>
      <xdr:rowOff>219075</xdr:rowOff>
    </xdr:to>
    <xdr:sp macro="" textlink="">
      <xdr:nvSpPr>
        <xdr:cNvPr id="2" name="CommandButton2" hidden="1">
          <a:extLst>
            <a:ext uri="{63B3BB69-23CF-44E3-9099-C40C66FF867C}">
              <a14:compatExt xmlns:a14="http://schemas.microsoft.com/office/drawing/2010/main" spid="_x0000_s205825"/>
            </a:ext>
          </a:extLst>
        </xdr:cNvPr>
        <xdr:cNvSpPr/>
      </xdr:nvSpPr>
      <xdr:spPr bwMode="auto">
        <a:xfrm>
          <a:off x="628650" y="457200"/>
          <a:ext cx="1133475" cy="390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12</xdr:row>
      <xdr:rowOff>47625</xdr:rowOff>
    </xdr:from>
    <xdr:to>
      <xdr:col>13</xdr:col>
      <xdr:colOff>209550</xdr:colOff>
      <xdr:row>35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8403</xdr:colOff>
      <xdr:row>12</xdr:row>
      <xdr:rowOff>28575</xdr:rowOff>
    </xdr:from>
    <xdr:to>
      <xdr:col>28</xdr:col>
      <xdr:colOff>0</xdr:colOff>
      <xdr:row>35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19050</xdr:colOff>
      <xdr:row>10</xdr:row>
      <xdr:rowOff>57150</xdr:rowOff>
    </xdr:from>
    <xdr:to>
      <xdr:col>42</xdr:col>
      <xdr:colOff>21949</xdr:colOff>
      <xdr:row>26</xdr:row>
      <xdr:rowOff>179070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59</xdr:row>
      <xdr:rowOff>0</xdr:rowOff>
    </xdr:from>
    <xdr:to>
      <xdr:col>20</xdr:col>
      <xdr:colOff>409254</xdr:colOff>
      <xdr:row>86</xdr:row>
      <xdr:rowOff>157283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0.1002</cdr:x>
      <cdr:y>0.12981</cdr:y>
    </cdr:from>
    <cdr:to>
      <cdr:x>0.27485</cdr:x>
      <cdr:y>0.26312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829876" y="648809"/>
          <a:ext cx="1446540" cy="666314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2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PH" sz="1200" b="0">
              <a:latin typeface="Arial" panose="020B0604020202020204" pitchFamily="34" charset="0"/>
              <a:cs typeface="Arial" panose="020B0604020202020204" pitchFamily="34" charset="0"/>
            </a:rPr>
            <a:t>Target</a:t>
          </a:r>
          <a:r>
            <a:rPr lang="en-PH" sz="1200" b="0" baseline="0">
              <a:latin typeface="Arial" panose="020B0604020202020204" pitchFamily="34" charset="0"/>
              <a:cs typeface="Arial" panose="020B0604020202020204" pitchFamily="34" charset="0"/>
            </a:rPr>
            <a:t> = 18720</a:t>
          </a:r>
        </a:p>
        <a:p xmlns:a="http://schemas.openxmlformats.org/drawingml/2006/main">
          <a:r>
            <a:rPr lang="en-PH" sz="1200" baseline="0">
              <a:latin typeface="Arial" panose="020B0604020202020204" pitchFamily="34" charset="0"/>
              <a:cs typeface="Arial" panose="020B0604020202020204" pitchFamily="34" charset="0"/>
            </a:rPr>
            <a:t>Actual = </a:t>
          </a:r>
          <a:r>
            <a:rPr lang="en-PH" sz="1200" b="0" baseline="0">
              <a:latin typeface="Arial" panose="020B0604020202020204" pitchFamily="34" charset="0"/>
              <a:cs typeface="Arial" panose="020B0604020202020204" pitchFamily="34" charset="0"/>
            </a:rPr>
            <a:t>17410</a:t>
          </a:r>
        </a:p>
        <a:p xmlns:a="http://schemas.openxmlformats.org/drawingml/2006/main">
          <a:r>
            <a:rPr lang="en-PH" sz="1200" baseline="0">
              <a:latin typeface="Arial" panose="020B0604020202020204" pitchFamily="34" charset="0"/>
              <a:cs typeface="Arial" panose="020B0604020202020204" pitchFamily="34" charset="0"/>
            </a:rPr>
            <a:t>Balance = (1310)</a:t>
          </a:r>
          <a:endParaRPr lang="en-PH" sz="12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9524</xdr:colOff>
      <xdr:row>6</xdr:row>
      <xdr:rowOff>28575</xdr:rowOff>
    </xdr:from>
    <xdr:to>
      <xdr:col>24</xdr:col>
      <xdr:colOff>38100</xdr:colOff>
      <xdr:row>20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180975</xdr:colOff>
      <xdr:row>7</xdr:row>
      <xdr:rowOff>152400</xdr:rowOff>
    </xdr:from>
    <xdr:to>
      <xdr:col>6</xdr:col>
      <xdr:colOff>295275</xdr:colOff>
      <xdr:row>9</xdr:row>
      <xdr:rowOff>66675</xdr:rowOff>
    </xdr:to>
    <xdr:sp macro="" textlink="">
      <xdr:nvSpPr>
        <xdr:cNvPr id="3" name="TextBox 2"/>
        <xdr:cNvSpPr txBox="1"/>
      </xdr:nvSpPr>
      <xdr:spPr>
        <a:xfrm>
          <a:off x="3505200" y="1485900"/>
          <a:ext cx="7239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98.59%</a:t>
          </a:r>
        </a:p>
      </xdr:txBody>
    </xdr:sp>
    <xdr:clientData/>
  </xdr:twoCellAnchor>
  <xdr:twoCellAnchor>
    <xdr:from>
      <xdr:col>6</xdr:col>
      <xdr:colOff>561975</xdr:colOff>
      <xdr:row>7</xdr:row>
      <xdr:rowOff>152400</xdr:rowOff>
    </xdr:from>
    <xdr:to>
      <xdr:col>8</xdr:col>
      <xdr:colOff>66675</xdr:colOff>
      <xdr:row>9</xdr:row>
      <xdr:rowOff>66675</xdr:rowOff>
    </xdr:to>
    <xdr:sp macro="" textlink="">
      <xdr:nvSpPr>
        <xdr:cNvPr id="4" name="TextBox 3"/>
        <xdr:cNvSpPr txBox="1"/>
      </xdr:nvSpPr>
      <xdr:spPr>
        <a:xfrm>
          <a:off x="4495800" y="1485900"/>
          <a:ext cx="7239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100%</a:t>
          </a:r>
        </a:p>
      </xdr:txBody>
    </xdr:sp>
    <xdr:clientData/>
  </xdr:twoCellAnchor>
  <xdr:twoCellAnchor>
    <xdr:from>
      <xdr:col>8</xdr:col>
      <xdr:colOff>266700</xdr:colOff>
      <xdr:row>7</xdr:row>
      <xdr:rowOff>180975</xdr:rowOff>
    </xdr:from>
    <xdr:to>
      <xdr:col>9</xdr:col>
      <xdr:colOff>381000</xdr:colOff>
      <xdr:row>9</xdr:row>
      <xdr:rowOff>95250</xdr:rowOff>
    </xdr:to>
    <xdr:sp macro="" textlink="">
      <xdr:nvSpPr>
        <xdr:cNvPr id="5" name="TextBox 4"/>
        <xdr:cNvSpPr txBox="1"/>
      </xdr:nvSpPr>
      <xdr:spPr>
        <a:xfrm>
          <a:off x="5419725" y="1514475"/>
          <a:ext cx="7239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97.92%</a:t>
          </a:r>
        </a:p>
      </xdr:txBody>
    </xdr:sp>
    <xdr:clientData/>
  </xdr:twoCellAnchor>
  <xdr:twoCellAnchor>
    <xdr:from>
      <xdr:col>10</xdr:col>
      <xdr:colOff>47625</xdr:colOff>
      <xdr:row>7</xdr:row>
      <xdr:rowOff>142875</xdr:rowOff>
    </xdr:from>
    <xdr:to>
      <xdr:col>11</xdr:col>
      <xdr:colOff>161925</xdr:colOff>
      <xdr:row>9</xdr:row>
      <xdr:rowOff>57150</xdr:rowOff>
    </xdr:to>
    <xdr:sp macro="" textlink="">
      <xdr:nvSpPr>
        <xdr:cNvPr id="6" name="TextBox 5"/>
        <xdr:cNvSpPr txBox="1"/>
      </xdr:nvSpPr>
      <xdr:spPr>
        <a:xfrm>
          <a:off x="6419850" y="1476375"/>
          <a:ext cx="7239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100%</a:t>
          </a:r>
        </a:p>
      </xdr:txBody>
    </xdr:sp>
    <xdr:clientData/>
  </xdr:twoCellAnchor>
  <xdr:twoCellAnchor>
    <xdr:from>
      <xdr:col>4</xdr:col>
      <xdr:colOff>571500</xdr:colOff>
      <xdr:row>9</xdr:row>
      <xdr:rowOff>57150</xdr:rowOff>
    </xdr:from>
    <xdr:to>
      <xdr:col>11</xdr:col>
      <xdr:colOff>152400</xdr:colOff>
      <xdr:row>9</xdr:row>
      <xdr:rowOff>57150</xdr:rowOff>
    </xdr:to>
    <xdr:cxnSp macro="">
      <xdr:nvCxnSpPr>
        <xdr:cNvPr id="9" name="Straight Connector 8"/>
        <xdr:cNvCxnSpPr/>
      </xdr:nvCxnSpPr>
      <xdr:spPr>
        <a:xfrm>
          <a:off x="3286125" y="1771650"/>
          <a:ext cx="384810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0.81766</cdr:x>
      <cdr:y>0.17477</cdr:y>
    </cdr:from>
    <cdr:to>
      <cdr:x>1</cdr:x>
      <cdr:y>0.28241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4509375" y="479426"/>
          <a:ext cx="1005601" cy="2952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rgbClr val="FF0000"/>
              </a:solidFill>
            </a:rPr>
            <a:t>Target:</a:t>
          </a:r>
          <a:r>
            <a:rPr lang="en-US" sz="1100" baseline="0">
              <a:solidFill>
                <a:srgbClr val="FF0000"/>
              </a:solidFill>
            </a:rPr>
            <a:t> 95%</a:t>
          </a:r>
          <a:endParaRPr lang="en-US" sz="1100">
            <a:solidFill>
              <a:srgbClr val="FF0000"/>
            </a:solidFill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57149</xdr:rowOff>
    </xdr:from>
    <xdr:to>
      <xdr:col>13</xdr:col>
      <xdr:colOff>438150</xdr:colOff>
      <xdr:row>27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427504</xdr:colOff>
      <xdr:row>10</xdr:row>
      <xdr:rowOff>71717</xdr:rowOff>
    </xdr:from>
    <xdr:to>
      <xdr:col>27</xdr:col>
      <xdr:colOff>424075</xdr:colOff>
      <xdr:row>27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19050</xdr:colOff>
      <xdr:row>10</xdr:row>
      <xdr:rowOff>57150</xdr:rowOff>
    </xdr:from>
    <xdr:to>
      <xdr:col>42</xdr:col>
      <xdr:colOff>21949</xdr:colOff>
      <xdr:row>26</xdr:row>
      <xdr:rowOff>179070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419421</xdr:colOff>
      <xdr:row>50</xdr:row>
      <xdr:rowOff>4642</xdr:rowOff>
    </xdr:from>
    <xdr:to>
      <xdr:col>20</xdr:col>
      <xdr:colOff>409575</xdr:colOff>
      <xdr:row>77</xdr:row>
      <xdr:rowOff>161925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0.1002</cdr:x>
      <cdr:y>0.12981</cdr:y>
    </cdr:from>
    <cdr:to>
      <cdr:x>0.27485</cdr:x>
      <cdr:y>0.26312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829876" y="648809"/>
          <a:ext cx="1446540" cy="666314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2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PH" sz="1200" b="0">
              <a:latin typeface="Arial" panose="020B0604020202020204" pitchFamily="34" charset="0"/>
              <a:cs typeface="Arial" panose="020B0604020202020204" pitchFamily="34" charset="0"/>
            </a:rPr>
            <a:t>Target</a:t>
          </a:r>
          <a:r>
            <a:rPr lang="en-PH" sz="1200" b="0" baseline="0">
              <a:latin typeface="Arial" panose="020B0604020202020204" pitchFamily="34" charset="0"/>
              <a:cs typeface="Arial" panose="020B0604020202020204" pitchFamily="34" charset="0"/>
            </a:rPr>
            <a:t> = 18720</a:t>
          </a:r>
        </a:p>
        <a:p xmlns:a="http://schemas.openxmlformats.org/drawingml/2006/main">
          <a:r>
            <a:rPr lang="en-PH" sz="1200" baseline="0">
              <a:latin typeface="Arial" panose="020B0604020202020204" pitchFamily="34" charset="0"/>
              <a:cs typeface="Arial" panose="020B0604020202020204" pitchFamily="34" charset="0"/>
            </a:rPr>
            <a:t>Actual = </a:t>
          </a:r>
          <a:r>
            <a:rPr lang="en-PH" sz="1200" b="0" baseline="0">
              <a:latin typeface="Arial" panose="020B0604020202020204" pitchFamily="34" charset="0"/>
              <a:cs typeface="Arial" panose="020B0604020202020204" pitchFamily="34" charset="0"/>
            </a:rPr>
            <a:t>17410</a:t>
          </a:r>
        </a:p>
        <a:p xmlns:a="http://schemas.openxmlformats.org/drawingml/2006/main">
          <a:r>
            <a:rPr lang="en-PH" sz="1200" baseline="0">
              <a:latin typeface="Arial" panose="020B0604020202020204" pitchFamily="34" charset="0"/>
              <a:cs typeface="Arial" panose="020B0604020202020204" pitchFamily="34" charset="0"/>
            </a:rPr>
            <a:t>Balance = (1310)</a:t>
          </a:r>
          <a:endParaRPr lang="en-PH" sz="12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142875</xdr:rowOff>
        </xdr:from>
        <xdr:to>
          <xdr:col>3</xdr:col>
          <xdr:colOff>266700</xdr:colOff>
          <xdr:row>2</xdr:row>
          <xdr:rowOff>219075</xdr:rowOff>
        </xdr:to>
        <xdr:sp macro="" textlink="">
          <xdr:nvSpPr>
            <xdr:cNvPr id="117761" name="CommandButton2" hidden="1">
              <a:extLst>
                <a:ext uri="{63B3BB69-23CF-44E3-9099-C40C66FF867C}">
                  <a14:compatExt spid="_x0000_s117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od\312%20Safety%20MS\14%20Daily%20KY%20Card%20Monitoring\2024\MS%20Personnel%20KY%20Competency%20Record%202024%20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GOBNA002\thpal\05%20Production\310%20Management%20-%20Safety\16%20MS%20Section%20Safety%20Matters\03%20Daily%20KY%20Card%20monitoring\2018\Personnel%20KY%20competency%20record%202018%20Rev03%20(Autosaved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ctober"/>
      <sheetName val="Performance trend- Summary"/>
      <sheetName val="Guidelines"/>
      <sheetName val="Jan"/>
      <sheetName val="Feb"/>
      <sheetName val="Mar"/>
      <sheetName val="Apr"/>
      <sheetName val="May 24"/>
      <sheetName val="Jun2024"/>
      <sheetName val="JuL2024"/>
      <sheetName val="Aug24"/>
      <sheetName val="Sep"/>
      <sheetName val="Oct"/>
      <sheetName val="Nov"/>
      <sheetName val="Dec"/>
      <sheetName val="Graph"/>
      <sheetName val="List of Wall of Fame"/>
      <sheetName val="Performance trend"/>
      <sheetName val="template"/>
      <sheetName val="Summary"/>
      <sheetName val="May"/>
      <sheetName val="Jun"/>
      <sheetName val="Jul"/>
      <sheetName val="Aug"/>
      <sheetName val="Sheet2"/>
      <sheetName val="March"/>
      <sheetName val="Sheet3"/>
      <sheetName val="Sheet4"/>
      <sheetName val="Sheet5"/>
    </sheetNames>
    <sheetDataSet>
      <sheetData sheetId="0"/>
      <sheetData sheetId="1">
        <row r="5">
          <cell r="C5" t="str">
            <v>Jan</v>
          </cell>
          <cell r="D5" t="str">
            <v>Feb</v>
          </cell>
          <cell r="E5" t="str">
            <v>Mar</v>
          </cell>
          <cell r="F5" t="str">
            <v>Apr</v>
          </cell>
          <cell r="G5" t="str">
            <v>May</v>
          </cell>
          <cell r="H5" t="str">
            <v>Jun</v>
          </cell>
          <cell r="I5" t="str">
            <v>Jul</v>
          </cell>
          <cell r="J5" t="str">
            <v>Aug</v>
          </cell>
          <cell r="K5" t="str">
            <v>Sep</v>
          </cell>
          <cell r="L5" t="str">
            <v>Oct</v>
          </cell>
          <cell r="M5" t="str">
            <v>Nov</v>
          </cell>
          <cell r="N5" t="str">
            <v>Dec</v>
          </cell>
          <cell r="AE5" t="str">
            <v>Jan</v>
          </cell>
          <cell r="AF5" t="str">
            <v>Feb</v>
          </cell>
          <cell r="AG5" t="str">
            <v>Mar</v>
          </cell>
          <cell r="AH5" t="str">
            <v>Apr</v>
          </cell>
          <cell r="AI5" t="str">
            <v>May</v>
          </cell>
          <cell r="AJ5" t="str">
            <v>Jun</v>
          </cell>
          <cell r="AK5" t="str">
            <v>Jul</v>
          </cell>
          <cell r="AL5" t="str">
            <v>Aug</v>
          </cell>
          <cell r="AM5" t="str">
            <v>Sep</v>
          </cell>
          <cell r="AN5" t="str">
            <v>Oct</v>
          </cell>
          <cell r="AO5" t="str">
            <v>Nov</v>
          </cell>
          <cell r="AP5" t="str">
            <v>Dec</v>
          </cell>
        </row>
        <row r="6">
          <cell r="B6" t="str">
            <v>CLC</v>
          </cell>
          <cell r="C6">
            <v>0.84303556165602567</v>
          </cell>
          <cell r="D6">
            <v>0.96887880011584404</v>
          </cell>
          <cell r="E6">
            <v>0.99370326643053919</v>
          </cell>
          <cell r="F6">
            <v>0.97699999999999998</v>
          </cell>
          <cell r="G6">
            <v>0.99299999999999999</v>
          </cell>
          <cell r="H6">
            <v>0.97399999999999998</v>
          </cell>
          <cell r="I6">
            <v>0.98799999999999999</v>
          </cell>
          <cell r="J6">
            <v>0.97599999999999998</v>
          </cell>
          <cell r="K6">
            <v>1</v>
          </cell>
          <cell r="L6">
            <v>0</v>
          </cell>
          <cell r="M6">
            <v>0</v>
          </cell>
          <cell r="N6">
            <v>0</v>
          </cell>
          <cell r="P6" t="str">
            <v>CLC</v>
          </cell>
          <cell r="Q6">
            <v>0</v>
          </cell>
          <cell r="R6">
            <v>0</v>
          </cell>
          <cell r="S6">
            <v>1</v>
          </cell>
          <cell r="T6">
            <v>0.97699999999999998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D6" t="str">
            <v>JS(36%)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</row>
        <row r="7">
          <cell r="B7" t="str">
            <v>JED</v>
          </cell>
          <cell r="C7">
            <v>0.9366254562879277</v>
          </cell>
          <cell r="D7">
            <v>1</v>
          </cell>
          <cell r="E7">
            <v>0.99736842105263146</v>
          </cell>
          <cell r="F7">
            <v>1</v>
          </cell>
          <cell r="G7">
            <v>1</v>
          </cell>
          <cell r="H7">
            <v>0.98799999999999999</v>
          </cell>
          <cell r="I7">
            <v>0.98799999999999999</v>
          </cell>
          <cell r="J7">
            <v>0.997</v>
          </cell>
          <cell r="K7">
            <v>1</v>
          </cell>
          <cell r="L7">
            <v>0</v>
          </cell>
          <cell r="M7">
            <v>0</v>
          </cell>
          <cell r="N7">
            <v>0</v>
          </cell>
          <cell r="P7" t="str">
            <v>JED</v>
          </cell>
          <cell r="Q7">
            <v>0</v>
          </cell>
          <cell r="R7">
            <v>0</v>
          </cell>
          <cell r="S7">
            <v>0.95238095238095233</v>
          </cell>
          <cell r="T7">
            <v>1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D7" t="str">
            <v>RF(63%)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</row>
        <row r="8">
          <cell r="B8" t="str">
            <v>VPL</v>
          </cell>
          <cell r="C8">
            <v>0.83209935908726884</v>
          </cell>
          <cell r="D8">
            <v>0.9821585419411506</v>
          </cell>
          <cell r="E8">
            <v>0.99370629370629371</v>
          </cell>
          <cell r="F8">
            <v>1</v>
          </cell>
          <cell r="G8">
            <v>0.99199999999999999</v>
          </cell>
          <cell r="H8">
            <v>0.98699999999999999</v>
          </cell>
          <cell r="I8">
            <v>0.98099999999999998</v>
          </cell>
          <cell r="J8">
            <v>0.99</v>
          </cell>
          <cell r="K8">
            <v>1</v>
          </cell>
          <cell r="L8">
            <v>0</v>
          </cell>
          <cell r="M8">
            <v>0</v>
          </cell>
          <cell r="N8">
            <v>0</v>
          </cell>
          <cell r="P8" t="str">
            <v>VPL</v>
          </cell>
          <cell r="Q8">
            <v>0</v>
          </cell>
          <cell r="R8">
            <v>0</v>
          </cell>
          <cell r="S8">
            <v>0.95454545454545459</v>
          </cell>
          <cell r="T8">
            <v>1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1</v>
          </cell>
          <cell r="AN8">
            <v>0</v>
          </cell>
          <cell r="AO8">
            <v>0</v>
          </cell>
          <cell r="AP8">
            <v>0</v>
          </cell>
        </row>
        <row r="9">
          <cell r="B9" t="str">
            <v>NJL</v>
          </cell>
          <cell r="C9">
            <v>0.8665920601137993</v>
          </cell>
          <cell r="D9">
            <v>0.99175000000000002</v>
          </cell>
          <cell r="E9">
            <v>0.98698215364882036</v>
          </cell>
          <cell r="F9">
            <v>0.94599999999999995</v>
          </cell>
          <cell r="G9">
            <v>0.98399999999999999</v>
          </cell>
          <cell r="H9">
            <v>0.94599999999999995</v>
          </cell>
          <cell r="I9">
            <v>0.96599999999999997</v>
          </cell>
          <cell r="J9">
            <v>0.98399999999999999</v>
          </cell>
          <cell r="K9">
            <v>1</v>
          </cell>
          <cell r="L9">
            <v>0</v>
          </cell>
          <cell r="M9">
            <v>0</v>
          </cell>
          <cell r="N9">
            <v>0</v>
          </cell>
          <cell r="P9" t="str">
            <v>NJL</v>
          </cell>
          <cell r="Q9">
            <v>0</v>
          </cell>
          <cell r="R9">
            <v>0</v>
          </cell>
          <cell r="S9">
            <v>0.95238095238095233</v>
          </cell>
          <cell r="T9">
            <v>0.94599999999999995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</row>
        <row r="10">
          <cell r="C10">
            <v>0.86958810928625541</v>
          </cell>
          <cell r="D10">
            <v>0.98569683551424869</v>
          </cell>
          <cell r="E10">
            <v>0.99294003370957107</v>
          </cell>
          <cell r="F10">
            <v>0.98075000000000001</v>
          </cell>
          <cell r="G10">
            <v>0.99224999999999997</v>
          </cell>
          <cell r="H10">
            <v>0.97374999999999989</v>
          </cell>
          <cell r="I10">
            <v>0.98075000000000001</v>
          </cell>
          <cell r="J10">
            <v>0.98675000000000002</v>
          </cell>
          <cell r="K10">
            <v>1</v>
          </cell>
          <cell r="L10" t="e">
            <v>#DIV/0!</v>
          </cell>
          <cell r="M10" t="e">
            <v>#DIV/0!</v>
          </cell>
          <cell r="N10" t="e">
            <v>#DIV/0!</v>
          </cell>
          <cell r="Q10" t="e">
            <v>#DIV/0!</v>
          </cell>
          <cell r="R10" t="e">
            <v>#DIV/0!</v>
          </cell>
          <cell r="S10">
            <v>0.96482683982683981</v>
          </cell>
          <cell r="T10">
            <v>0.98075000000000001</v>
          </cell>
          <cell r="U10" t="e">
            <v>#DIV/0!</v>
          </cell>
          <cell r="V10" t="e">
            <v>#DIV/0!</v>
          </cell>
          <cell r="W10" t="e">
            <v>#DIV/0!</v>
          </cell>
          <cell r="X10" t="e">
            <v>#DIV/0!</v>
          </cell>
          <cell r="Y10" t="e">
            <v>#DIV/0!</v>
          </cell>
          <cell r="Z10" t="e">
            <v>#DIV/0!</v>
          </cell>
          <cell r="AA10" t="e">
            <v>#DIV/0!</v>
          </cell>
          <cell r="AB10" t="e">
            <v>#DIV/0!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5">
          <cell r="AE5" t="str">
            <v>Jan</v>
          </cell>
          <cell r="AF5" t="str">
            <v>Feb</v>
          </cell>
          <cell r="AG5" t="str">
            <v>Mar</v>
          </cell>
          <cell r="AH5" t="str">
            <v>Apr</v>
          </cell>
          <cell r="AI5" t="str">
            <v>May</v>
          </cell>
          <cell r="AJ5" t="str">
            <v>Jun</v>
          </cell>
          <cell r="AK5" t="str">
            <v>Jul</v>
          </cell>
          <cell r="AL5" t="str">
            <v>Aug</v>
          </cell>
          <cell r="AM5" t="str">
            <v>Sep</v>
          </cell>
          <cell r="AN5" t="str">
            <v>Oct</v>
          </cell>
          <cell r="AO5" t="str">
            <v>Nov</v>
          </cell>
          <cell r="AP5" t="str">
            <v>Dec</v>
          </cell>
        </row>
        <row r="47">
          <cell r="B47" t="str">
            <v>TARGET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B48" t="str">
            <v>ACTUAL</v>
          </cell>
          <cell r="C48">
            <v>1063</v>
          </cell>
          <cell r="D48">
            <v>2492</v>
          </cell>
          <cell r="E48">
            <v>3005</v>
          </cell>
          <cell r="F48">
            <v>4508</v>
          </cell>
          <cell r="G48">
            <v>6208</v>
          </cell>
          <cell r="H48">
            <v>7727</v>
          </cell>
          <cell r="I48">
            <v>9093</v>
          </cell>
          <cell r="J48">
            <v>10450</v>
          </cell>
          <cell r="K48">
            <v>10450</v>
          </cell>
          <cell r="L48">
            <v>12012</v>
          </cell>
          <cell r="M48">
            <v>14118</v>
          </cell>
          <cell r="N48">
            <v>15856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KY"/>
      <sheetName val="Guidelines"/>
      <sheetName val="List of Wall of Fame"/>
      <sheetName val="Performance trend"/>
      <sheetName val="Jan"/>
      <sheetName val="Feb"/>
      <sheetName val="Mar"/>
      <sheetName val="Apr"/>
      <sheetName val="May"/>
      <sheetName val="June"/>
      <sheetName val="July"/>
      <sheetName val="Aug"/>
      <sheetName val="Sept"/>
      <sheetName val="Oct"/>
      <sheetName val="Nov"/>
      <sheetName val="Dec"/>
      <sheetName val="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02">
          <cell r="AQ102">
            <v>1700</v>
          </cell>
        </row>
      </sheetData>
      <sheetData sheetId="9">
        <row r="102">
          <cell r="AQ102">
            <v>1519</v>
          </cell>
        </row>
      </sheetData>
      <sheetData sheetId="10">
        <row r="101">
          <cell r="AQ101">
            <v>1366</v>
          </cell>
        </row>
      </sheetData>
      <sheetData sheetId="11">
        <row r="97">
          <cell r="AQ97">
            <v>1357</v>
          </cell>
        </row>
      </sheetData>
      <sheetData sheetId="12"/>
      <sheetData sheetId="13">
        <row r="106">
          <cell r="AS106">
            <v>1562</v>
          </cell>
        </row>
      </sheetData>
      <sheetData sheetId="14">
        <row r="109">
          <cell r="AR109">
            <v>2106</v>
          </cell>
        </row>
      </sheetData>
      <sheetData sheetId="15">
        <row r="110">
          <cell r="AS110">
            <v>1738</v>
          </cell>
        </row>
      </sheetData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P57"/>
  <sheetViews>
    <sheetView view="pageLayout" zoomScaleNormal="100" workbookViewId="0">
      <selection activeCell="S12" sqref="S12"/>
    </sheetView>
  </sheetViews>
  <sheetFormatPr defaultColWidth="6.42578125" defaultRowHeight="14.25" customHeight="1"/>
  <cols>
    <col min="1" max="16384" width="6.42578125" style="3"/>
  </cols>
  <sheetData>
    <row r="1" spans="1:16" ht="14.25" customHeight="1">
      <c r="A1" s="541" t="s">
        <v>89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3"/>
      <c r="P1" s="4"/>
    </row>
    <row r="2" spans="1:16" ht="14.25" customHeight="1" thickBot="1">
      <c r="A2" s="544"/>
      <c r="B2" s="545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6"/>
      <c r="P2" s="4"/>
    </row>
    <row r="3" spans="1:16" ht="14.25" customHeight="1">
      <c r="A3" s="6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P3" s="4"/>
    </row>
    <row r="4" spans="1:16" ht="14.25" customHeight="1">
      <c r="A4" s="6">
        <v>1</v>
      </c>
      <c r="B4" s="7" t="s">
        <v>63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8"/>
      <c r="P4" s="4"/>
    </row>
    <row r="5" spans="1:16" ht="14.25" customHeight="1">
      <c r="A5" s="6"/>
      <c r="B5" s="9" t="s">
        <v>64</v>
      </c>
      <c r="C5" s="7" t="s">
        <v>66</v>
      </c>
      <c r="D5" s="7"/>
      <c r="E5" s="7" t="s">
        <v>65</v>
      </c>
      <c r="F5" s="7"/>
      <c r="G5" s="7"/>
      <c r="H5" s="7"/>
      <c r="I5" s="7"/>
      <c r="J5" s="7"/>
      <c r="K5" s="7"/>
      <c r="L5" s="7"/>
      <c r="M5" s="7"/>
      <c r="N5" s="7"/>
      <c r="O5" s="8"/>
      <c r="P5" s="4"/>
    </row>
    <row r="6" spans="1:16" ht="14.25" customHeight="1">
      <c r="A6" s="6"/>
      <c r="B6" s="7"/>
      <c r="C6" s="7"/>
      <c r="D6" s="7"/>
      <c r="E6" s="550" t="s">
        <v>67</v>
      </c>
      <c r="F6" s="550"/>
      <c r="G6" s="550" t="s">
        <v>69</v>
      </c>
      <c r="H6" s="550"/>
      <c r="I6" s="7"/>
      <c r="J6" s="7"/>
      <c r="K6" s="7"/>
      <c r="L6" s="7"/>
      <c r="M6" s="7"/>
      <c r="N6" s="7"/>
      <c r="O6" s="8"/>
      <c r="P6" s="4"/>
    </row>
    <row r="7" spans="1:16" ht="14.25" customHeight="1">
      <c r="A7" s="6"/>
      <c r="B7" s="7"/>
      <c r="C7" s="7"/>
      <c r="D7" s="7"/>
      <c r="E7" s="550" t="s">
        <v>68</v>
      </c>
      <c r="F7" s="550"/>
      <c r="G7" s="550" t="s">
        <v>70</v>
      </c>
      <c r="H7" s="550"/>
      <c r="I7" s="7"/>
      <c r="J7" s="7"/>
      <c r="K7" s="7"/>
      <c r="L7" s="7"/>
      <c r="M7" s="7"/>
      <c r="N7" s="7"/>
      <c r="O7" s="8"/>
      <c r="P7" s="4"/>
    </row>
    <row r="8" spans="1:16" ht="14.25" customHeight="1">
      <c r="A8" s="6"/>
      <c r="B8" s="7"/>
      <c r="C8" s="7"/>
      <c r="D8" s="7"/>
      <c r="E8" s="550" t="s">
        <v>73</v>
      </c>
      <c r="F8" s="550"/>
      <c r="G8" s="550" t="s">
        <v>71</v>
      </c>
      <c r="H8" s="550"/>
      <c r="I8" s="7"/>
      <c r="J8" s="7"/>
      <c r="K8" s="7"/>
      <c r="L8" s="7"/>
      <c r="M8" s="7"/>
      <c r="N8" s="7"/>
      <c r="O8" s="8"/>
      <c r="P8" s="4"/>
    </row>
    <row r="9" spans="1:16" ht="14.25" customHeight="1">
      <c r="A9" s="6"/>
      <c r="B9" s="9" t="s">
        <v>72</v>
      </c>
      <c r="C9" s="7" t="s">
        <v>74</v>
      </c>
      <c r="D9" s="7"/>
      <c r="E9" s="7" t="s">
        <v>75</v>
      </c>
      <c r="F9" s="7"/>
      <c r="G9" s="7"/>
      <c r="H9" s="7"/>
      <c r="I9" s="7"/>
      <c r="J9" s="7"/>
      <c r="K9" s="7"/>
      <c r="L9" s="7"/>
      <c r="M9" s="7"/>
      <c r="N9" s="7"/>
      <c r="O9" s="8"/>
      <c r="P9" s="4"/>
    </row>
    <row r="10" spans="1:16" ht="14.25" customHeight="1">
      <c r="A10" s="6"/>
      <c r="B10" s="9" t="s">
        <v>76</v>
      </c>
      <c r="C10" s="7" t="s">
        <v>77</v>
      </c>
      <c r="D10" s="7"/>
      <c r="E10" s="7" t="s">
        <v>78</v>
      </c>
      <c r="F10" s="7"/>
      <c r="G10" s="7"/>
      <c r="H10" s="7"/>
      <c r="I10" s="7"/>
      <c r="J10" s="7"/>
      <c r="K10" s="7"/>
      <c r="L10" s="7"/>
      <c r="M10" s="7"/>
      <c r="N10" s="7"/>
      <c r="O10" s="8"/>
      <c r="P10" s="4"/>
    </row>
    <row r="11" spans="1:16" ht="14.25" customHeight="1">
      <c r="A11" s="6"/>
      <c r="B11" s="7"/>
      <c r="C11" s="7"/>
      <c r="D11" s="7"/>
      <c r="E11" s="7" t="s">
        <v>79</v>
      </c>
      <c r="F11" s="7"/>
      <c r="G11" s="7"/>
      <c r="H11" s="7"/>
      <c r="I11" s="7"/>
      <c r="J11" s="7"/>
      <c r="K11" s="7"/>
      <c r="L11" s="7"/>
      <c r="M11" s="7"/>
      <c r="N11" s="7"/>
      <c r="O11" s="8"/>
      <c r="P11" s="4"/>
    </row>
    <row r="12" spans="1:16" ht="14.25" customHeight="1">
      <c r="A12" s="6"/>
      <c r="B12" s="9" t="s">
        <v>80</v>
      </c>
      <c r="C12" s="7" t="s">
        <v>81</v>
      </c>
      <c r="D12" s="7"/>
      <c r="E12" s="7" t="s">
        <v>82</v>
      </c>
      <c r="F12" s="7"/>
      <c r="G12" s="7"/>
      <c r="H12" s="7"/>
      <c r="I12" s="7"/>
      <c r="J12" s="7"/>
      <c r="K12" s="7"/>
      <c r="L12" s="7"/>
      <c r="M12" s="7"/>
      <c r="N12" s="7"/>
      <c r="O12" s="8"/>
      <c r="P12" s="4"/>
    </row>
    <row r="13" spans="1:16" ht="14.25" customHeight="1">
      <c r="A13" s="6"/>
      <c r="B13" s="7"/>
      <c r="C13" s="7"/>
      <c r="D13" s="7"/>
      <c r="E13" s="7" t="s">
        <v>83</v>
      </c>
      <c r="F13" s="7"/>
      <c r="G13" s="7"/>
      <c r="H13" s="7"/>
      <c r="I13" s="7"/>
      <c r="J13" s="7"/>
      <c r="K13" s="7"/>
      <c r="L13" s="7"/>
      <c r="M13" s="7"/>
      <c r="N13" s="7"/>
      <c r="O13" s="8"/>
      <c r="P13" s="4"/>
    </row>
    <row r="14" spans="1:16" ht="14.25" customHeight="1">
      <c r="A14" s="6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8"/>
      <c r="P14" s="4"/>
    </row>
    <row r="15" spans="1:16" ht="14.25" customHeight="1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8"/>
      <c r="P15" s="4"/>
    </row>
    <row r="16" spans="1:16" ht="14.25" customHeight="1">
      <c r="A16" s="6">
        <v>2</v>
      </c>
      <c r="B16" s="7" t="s">
        <v>84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8"/>
      <c r="P16" s="4"/>
    </row>
    <row r="17" spans="1:16" ht="14.25" customHeight="1">
      <c r="A17" s="6"/>
      <c r="B17" s="9" t="s">
        <v>64</v>
      </c>
      <c r="C17" s="7" t="s">
        <v>85</v>
      </c>
      <c r="D17" s="7"/>
      <c r="E17" s="7" t="s">
        <v>86</v>
      </c>
      <c r="F17" s="7"/>
      <c r="G17" s="7"/>
      <c r="H17" s="7"/>
      <c r="I17" s="7"/>
      <c r="J17" s="7"/>
      <c r="K17" s="7"/>
      <c r="L17" s="7"/>
      <c r="M17" s="7"/>
      <c r="N17" s="7"/>
      <c r="O17" s="8"/>
      <c r="P17" s="4"/>
    </row>
    <row r="18" spans="1:16" ht="14.25" customHeight="1">
      <c r="A18" s="6"/>
      <c r="B18" s="7"/>
      <c r="C18" s="7"/>
      <c r="D18" s="7"/>
      <c r="E18" s="7" t="s">
        <v>87</v>
      </c>
      <c r="F18" s="7"/>
      <c r="G18" s="7"/>
      <c r="H18" s="7"/>
      <c r="I18" s="7"/>
      <c r="J18" s="7"/>
      <c r="K18" s="7"/>
      <c r="L18" s="7"/>
      <c r="M18" s="7"/>
      <c r="N18" s="7"/>
      <c r="O18" s="8"/>
      <c r="P18" s="4"/>
    </row>
    <row r="19" spans="1:16" ht="14.25" customHeight="1">
      <c r="A19" s="6"/>
      <c r="B19" s="7"/>
      <c r="C19" s="7"/>
      <c r="D19" s="7"/>
      <c r="E19" s="7" t="s">
        <v>88</v>
      </c>
      <c r="F19" s="7"/>
      <c r="G19" s="7"/>
      <c r="H19" s="7"/>
      <c r="I19" s="7"/>
      <c r="J19" s="7"/>
      <c r="K19" s="7"/>
      <c r="L19" s="7"/>
      <c r="M19" s="7"/>
      <c r="N19" s="7"/>
      <c r="O19" s="8"/>
      <c r="P19" s="4"/>
    </row>
    <row r="20" spans="1:16" ht="14.25" customHeight="1">
      <c r="A20" s="6"/>
      <c r="B20" s="9" t="s">
        <v>72</v>
      </c>
      <c r="C20" s="7" t="s">
        <v>90</v>
      </c>
      <c r="D20" s="7"/>
      <c r="E20" s="7" t="s">
        <v>91</v>
      </c>
      <c r="F20" s="7"/>
      <c r="G20" s="7"/>
      <c r="H20" s="7"/>
      <c r="I20" s="7"/>
      <c r="J20" s="7"/>
      <c r="K20" s="7"/>
      <c r="L20" s="7"/>
      <c r="M20" s="7"/>
      <c r="N20" s="7"/>
      <c r="O20" s="8"/>
      <c r="P20" s="4"/>
    </row>
    <row r="21" spans="1:16" ht="14.25" customHeight="1">
      <c r="A21" s="6"/>
      <c r="B21" s="7"/>
      <c r="C21" s="7"/>
      <c r="D21" s="7"/>
      <c r="E21" s="10">
        <v>1</v>
      </c>
      <c r="F21" s="10" t="s">
        <v>92</v>
      </c>
      <c r="G21" s="7"/>
      <c r="H21" s="7"/>
      <c r="I21" s="7"/>
      <c r="J21" s="7"/>
      <c r="K21" s="7"/>
      <c r="L21" s="7"/>
      <c r="M21" s="7"/>
      <c r="N21" s="7"/>
      <c r="O21" s="8"/>
      <c r="P21" s="4"/>
    </row>
    <row r="22" spans="1:16" ht="14.25" customHeight="1">
      <c r="A22" s="6"/>
      <c r="B22" s="7"/>
      <c r="C22" s="7"/>
      <c r="D22" s="7"/>
      <c r="E22" s="7"/>
      <c r="F22" s="11" t="s">
        <v>93</v>
      </c>
      <c r="G22" s="7"/>
      <c r="H22" s="7"/>
      <c r="I22" s="7"/>
      <c r="J22" s="7"/>
      <c r="K22" s="7"/>
      <c r="L22" s="7"/>
      <c r="M22" s="7"/>
      <c r="N22" s="7"/>
      <c r="O22" s="8"/>
      <c r="P22" s="4"/>
    </row>
    <row r="23" spans="1:16" ht="14.25" customHeight="1">
      <c r="A23" s="6"/>
      <c r="B23" s="7"/>
      <c r="C23" s="7"/>
      <c r="D23" s="7"/>
      <c r="E23" s="7"/>
      <c r="F23" s="11" t="s">
        <v>94</v>
      </c>
      <c r="G23" s="7"/>
      <c r="H23" s="7"/>
      <c r="I23" s="7"/>
      <c r="J23" s="7"/>
      <c r="K23" s="7"/>
      <c r="L23" s="7"/>
      <c r="M23" s="7"/>
      <c r="N23" s="7"/>
      <c r="O23" s="8"/>
      <c r="P23" s="4"/>
    </row>
    <row r="24" spans="1:16" ht="14.25" customHeight="1">
      <c r="A24" s="6"/>
      <c r="B24" s="7"/>
      <c r="C24" s="7"/>
      <c r="D24" s="7"/>
      <c r="E24" s="7"/>
      <c r="F24" s="11" t="s">
        <v>95</v>
      </c>
      <c r="G24" s="7"/>
      <c r="H24" s="7"/>
      <c r="I24" s="7"/>
      <c r="J24" s="7"/>
      <c r="K24" s="7"/>
      <c r="L24" s="7"/>
      <c r="M24" s="7"/>
      <c r="N24" s="7"/>
      <c r="O24" s="8"/>
      <c r="P24" s="4"/>
    </row>
    <row r="25" spans="1:16" ht="14.25" customHeight="1">
      <c r="A25" s="6"/>
      <c r="B25" s="7"/>
      <c r="C25" s="7"/>
      <c r="D25" s="7"/>
      <c r="E25" s="10">
        <v>1</v>
      </c>
      <c r="F25" s="7" t="s">
        <v>55</v>
      </c>
      <c r="G25" s="7"/>
      <c r="H25" s="7"/>
      <c r="I25" s="7"/>
      <c r="J25" s="7"/>
      <c r="K25" s="7"/>
      <c r="L25" s="7"/>
      <c r="M25" s="7"/>
      <c r="N25" s="7"/>
      <c r="O25" s="8"/>
      <c r="P25" s="4"/>
    </row>
    <row r="26" spans="1:16" ht="14.25" customHeight="1">
      <c r="A26" s="6"/>
      <c r="B26" s="7"/>
      <c r="C26" s="7"/>
      <c r="D26" s="7"/>
      <c r="E26" s="7"/>
      <c r="F26" s="11" t="s">
        <v>101</v>
      </c>
      <c r="G26" s="12"/>
      <c r="H26" s="7"/>
      <c r="I26" s="7"/>
      <c r="J26" s="7"/>
      <c r="K26" s="7"/>
      <c r="L26" s="7"/>
      <c r="M26" s="7"/>
      <c r="N26" s="7"/>
      <c r="O26" s="8"/>
      <c r="P26" s="4"/>
    </row>
    <row r="27" spans="1:16" ht="14.25" customHeight="1">
      <c r="A27" s="6"/>
      <c r="B27" s="7"/>
      <c r="C27" s="7"/>
      <c r="D27" s="7"/>
      <c r="E27" s="7"/>
      <c r="F27" s="11" t="s">
        <v>96</v>
      </c>
      <c r="G27" s="7"/>
      <c r="H27" s="7"/>
      <c r="I27" s="7"/>
      <c r="J27" s="7"/>
      <c r="K27" s="7"/>
      <c r="L27" s="7"/>
      <c r="M27" s="7"/>
      <c r="N27" s="7"/>
      <c r="O27" s="8"/>
      <c r="P27" s="4"/>
    </row>
    <row r="28" spans="1:16" ht="14.25" customHeight="1">
      <c r="A28" s="6"/>
      <c r="B28" s="7"/>
      <c r="C28" s="7"/>
      <c r="D28" s="7"/>
      <c r="E28" s="7"/>
      <c r="F28" s="11" t="s">
        <v>97</v>
      </c>
      <c r="G28" s="7"/>
      <c r="H28" s="7"/>
      <c r="I28" s="7"/>
      <c r="J28" s="7"/>
      <c r="K28" s="7"/>
      <c r="L28" s="7"/>
      <c r="M28" s="7"/>
      <c r="N28" s="7"/>
      <c r="O28" s="8"/>
      <c r="P28" s="4"/>
    </row>
    <row r="29" spans="1:16" ht="14.25" customHeight="1">
      <c r="A29" s="6"/>
      <c r="B29" s="7"/>
      <c r="C29" s="7"/>
      <c r="D29" s="7"/>
      <c r="E29" s="7"/>
      <c r="F29" s="11" t="s">
        <v>98</v>
      </c>
      <c r="G29" s="7"/>
      <c r="H29" s="7"/>
      <c r="I29" s="7"/>
      <c r="J29" s="7"/>
      <c r="K29" s="7"/>
      <c r="L29" s="7"/>
      <c r="M29" s="7"/>
      <c r="N29" s="7"/>
      <c r="O29" s="8"/>
      <c r="P29" s="4"/>
    </row>
    <row r="30" spans="1:16" ht="14.25" customHeight="1">
      <c r="A30" s="6"/>
      <c r="B30" s="7"/>
      <c r="C30" s="7"/>
      <c r="D30" s="7"/>
      <c r="E30" s="7"/>
      <c r="F30" s="11" t="s">
        <v>99</v>
      </c>
      <c r="G30" s="7"/>
      <c r="H30" s="7"/>
      <c r="I30" s="7"/>
      <c r="J30" s="7"/>
      <c r="K30" s="7"/>
      <c r="L30" s="7"/>
      <c r="M30" s="7"/>
      <c r="N30" s="7"/>
      <c r="O30" s="8"/>
      <c r="P30" s="5"/>
    </row>
    <row r="31" spans="1:16" ht="14.25" customHeight="1">
      <c r="A31" s="6"/>
      <c r="B31" s="7"/>
      <c r="C31" s="7"/>
      <c r="D31" s="7"/>
      <c r="E31" s="7"/>
      <c r="F31" s="11" t="s">
        <v>100</v>
      </c>
      <c r="G31" s="7"/>
      <c r="H31" s="7"/>
      <c r="I31" s="7"/>
      <c r="J31" s="7"/>
      <c r="K31" s="7"/>
      <c r="L31" s="7"/>
      <c r="M31" s="7"/>
      <c r="N31" s="7"/>
      <c r="O31" s="8"/>
      <c r="P31" s="4"/>
    </row>
    <row r="32" spans="1:16" ht="14.25" customHeight="1">
      <c r="A32" s="6"/>
      <c r="B32" s="7"/>
      <c r="C32" s="7"/>
      <c r="D32" s="7"/>
      <c r="E32" s="10">
        <v>1</v>
      </c>
      <c r="F32" s="7" t="s">
        <v>60</v>
      </c>
      <c r="G32" s="7"/>
      <c r="H32" s="7"/>
      <c r="I32" s="7"/>
      <c r="J32" s="7"/>
      <c r="K32" s="7"/>
      <c r="L32" s="7"/>
      <c r="M32" s="7"/>
      <c r="N32" s="7"/>
      <c r="O32" s="8"/>
      <c r="P32" s="4"/>
    </row>
    <row r="33" spans="1:16" ht="14.25" customHeight="1">
      <c r="A33" s="6"/>
      <c r="B33" s="7"/>
      <c r="C33" s="7"/>
      <c r="D33" s="7"/>
      <c r="E33" s="7"/>
      <c r="F33" s="11" t="s">
        <v>102</v>
      </c>
      <c r="G33" s="7"/>
      <c r="H33" s="7"/>
      <c r="I33" s="7"/>
      <c r="J33" s="7"/>
      <c r="K33" s="7"/>
      <c r="L33" s="7"/>
      <c r="M33" s="7"/>
      <c r="N33" s="7"/>
      <c r="O33" s="8"/>
      <c r="P33" s="4"/>
    </row>
    <row r="34" spans="1:16" ht="14.25" customHeight="1">
      <c r="A34" s="6"/>
      <c r="B34" s="7"/>
      <c r="C34" s="7"/>
      <c r="D34" s="7"/>
      <c r="E34" s="7"/>
      <c r="F34" s="11" t="s">
        <v>96</v>
      </c>
      <c r="G34" s="7"/>
      <c r="H34" s="7"/>
      <c r="I34" s="7"/>
      <c r="J34" s="7"/>
      <c r="K34" s="7"/>
      <c r="L34" s="7"/>
      <c r="M34" s="7"/>
      <c r="N34" s="7"/>
      <c r="O34" s="8"/>
      <c r="P34" s="4"/>
    </row>
    <row r="35" spans="1:16" ht="14.25" customHeight="1">
      <c r="A35" s="6"/>
      <c r="B35" s="7"/>
      <c r="C35" s="7"/>
      <c r="D35" s="7"/>
      <c r="E35" s="7"/>
      <c r="F35" s="11" t="s">
        <v>97</v>
      </c>
      <c r="G35" s="7"/>
      <c r="H35" s="7"/>
      <c r="I35" s="7"/>
      <c r="J35" s="7"/>
      <c r="K35" s="7"/>
      <c r="L35" s="7"/>
      <c r="M35" s="7"/>
      <c r="N35" s="7"/>
      <c r="O35" s="8"/>
      <c r="P35" s="4"/>
    </row>
    <row r="36" spans="1:16" ht="14.25" customHeight="1">
      <c r="A36" s="6"/>
      <c r="B36" s="7"/>
      <c r="C36" s="7"/>
      <c r="D36" s="7"/>
      <c r="E36" s="7"/>
      <c r="F36" s="11" t="s">
        <v>98</v>
      </c>
      <c r="G36" s="7"/>
      <c r="H36" s="7"/>
      <c r="I36" s="7"/>
      <c r="J36" s="7"/>
      <c r="K36" s="7"/>
      <c r="L36" s="7"/>
      <c r="M36" s="7"/>
      <c r="N36" s="7"/>
      <c r="O36" s="8"/>
      <c r="P36" s="4"/>
    </row>
    <row r="37" spans="1:16" ht="14.25" customHeight="1">
      <c r="A37" s="6"/>
      <c r="B37" s="7"/>
      <c r="C37" s="7"/>
      <c r="D37" s="7"/>
      <c r="E37" s="7"/>
      <c r="F37" s="11" t="s">
        <v>99</v>
      </c>
      <c r="G37" s="7"/>
      <c r="H37" s="7"/>
      <c r="I37" s="7"/>
      <c r="J37" s="7"/>
      <c r="K37" s="7"/>
      <c r="L37" s="7"/>
      <c r="M37" s="7"/>
      <c r="N37" s="7"/>
      <c r="O37" s="8"/>
      <c r="P37" s="4"/>
    </row>
    <row r="38" spans="1:16" ht="14.25" customHeight="1">
      <c r="A38" s="6"/>
      <c r="B38" s="7"/>
      <c r="C38" s="7"/>
      <c r="D38" s="7"/>
      <c r="E38" s="7"/>
      <c r="F38" s="11" t="s">
        <v>100</v>
      </c>
      <c r="G38" s="7"/>
      <c r="H38" s="7"/>
      <c r="I38" s="7"/>
      <c r="J38" s="7"/>
      <c r="K38" s="7"/>
      <c r="L38" s="7"/>
      <c r="M38" s="7"/>
      <c r="N38" s="7"/>
      <c r="O38" s="8"/>
      <c r="P38" s="4"/>
    </row>
    <row r="39" spans="1:16" ht="14.25" customHeight="1">
      <c r="A39" s="6"/>
      <c r="B39" s="7"/>
      <c r="C39" s="7"/>
      <c r="D39" s="7"/>
      <c r="E39" s="10">
        <v>1</v>
      </c>
      <c r="F39" s="7" t="s">
        <v>103</v>
      </c>
      <c r="G39" s="7"/>
      <c r="H39" s="7"/>
      <c r="I39" s="7"/>
      <c r="J39" s="7"/>
      <c r="K39" s="7"/>
      <c r="L39" s="7"/>
      <c r="M39" s="7"/>
      <c r="N39" s="7"/>
      <c r="O39" s="8"/>
      <c r="P39" s="4"/>
    </row>
    <row r="40" spans="1:16" ht="14.25" customHeight="1">
      <c r="A40" s="6"/>
      <c r="B40" s="7"/>
      <c r="C40" s="7"/>
      <c r="D40" s="7"/>
      <c r="E40" s="7"/>
      <c r="F40" s="11" t="s">
        <v>104</v>
      </c>
      <c r="G40" s="7"/>
      <c r="H40" s="7"/>
      <c r="I40" s="7"/>
      <c r="J40" s="7"/>
      <c r="K40" s="7"/>
      <c r="L40" s="7"/>
      <c r="M40" s="7"/>
      <c r="N40" s="7"/>
      <c r="O40" s="8"/>
      <c r="P40" s="4"/>
    </row>
    <row r="41" spans="1:16" ht="14.25" customHeight="1">
      <c r="A41" s="6"/>
      <c r="B41" s="7"/>
      <c r="C41" s="7"/>
      <c r="D41" s="7"/>
      <c r="E41" s="7"/>
      <c r="F41" s="11" t="s">
        <v>105</v>
      </c>
      <c r="G41" s="7"/>
      <c r="H41" s="7"/>
      <c r="I41" s="7"/>
      <c r="J41" s="7"/>
      <c r="K41" s="7"/>
      <c r="L41" s="7"/>
      <c r="M41" s="7"/>
      <c r="N41" s="7"/>
      <c r="O41" s="8"/>
      <c r="P41" s="4"/>
    </row>
    <row r="42" spans="1:16" ht="14.25" customHeight="1">
      <c r="A42" s="6"/>
      <c r="B42" s="7"/>
      <c r="C42" s="7"/>
      <c r="D42" s="7"/>
      <c r="E42" s="7"/>
      <c r="F42" s="11" t="s">
        <v>106</v>
      </c>
      <c r="G42" s="7"/>
      <c r="H42" s="7"/>
      <c r="I42" s="7"/>
      <c r="J42" s="7"/>
      <c r="K42" s="7"/>
      <c r="L42" s="7"/>
      <c r="M42" s="7"/>
      <c r="N42" s="7"/>
      <c r="O42" s="8"/>
    </row>
    <row r="43" spans="1:16" ht="14.25" customHeight="1">
      <c r="A43" s="6"/>
      <c r="B43" s="7"/>
      <c r="C43" s="7"/>
      <c r="D43" s="7"/>
      <c r="E43" s="7"/>
      <c r="F43" s="11" t="s">
        <v>107</v>
      </c>
      <c r="G43" s="7"/>
      <c r="H43" s="7"/>
      <c r="I43" s="7"/>
      <c r="J43" s="7"/>
      <c r="K43" s="7"/>
      <c r="L43" s="7"/>
      <c r="M43" s="7"/>
      <c r="N43" s="7"/>
      <c r="O43" s="8"/>
    </row>
    <row r="44" spans="1:16" ht="14.25" customHeight="1">
      <c r="A44" s="6"/>
      <c r="B44" s="9" t="s">
        <v>76</v>
      </c>
      <c r="C44" s="7" t="s">
        <v>108</v>
      </c>
      <c r="D44" s="7"/>
      <c r="E44" s="7" t="s">
        <v>109</v>
      </c>
      <c r="F44" s="7"/>
      <c r="G44" s="7"/>
      <c r="H44" s="7"/>
      <c r="I44" s="7"/>
      <c r="J44" s="7"/>
      <c r="K44" s="7"/>
      <c r="L44" s="7"/>
      <c r="M44" s="7"/>
      <c r="N44" s="7"/>
      <c r="O44" s="8"/>
    </row>
    <row r="45" spans="1:16" ht="14.25" customHeight="1">
      <c r="A45" s="6"/>
      <c r="B45" s="7"/>
      <c r="C45" s="7"/>
      <c r="D45" s="7"/>
      <c r="E45" s="7" t="s">
        <v>110</v>
      </c>
      <c r="F45" s="7"/>
      <c r="G45" s="7"/>
      <c r="H45" s="7"/>
      <c r="I45" s="7"/>
      <c r="J45" s="7"/>
      <c r="K45" s="7"/>
      <c r="L45" s="7"/>
      <c r="M45" s="7"/>
      <c r="N45" s="7"/>
      <c r="O45" s="8"/>
    </row>
    <row r="46" spans="1:16" ht="14.25" customHeight="1">
      <c r="A46" s="6"/>
      <c r="B46" s="7"/>
      <c r="C46" s="7"/>
      <c r="D46" s="7"/>
      <c r="E46" s="7" t="s">
        <v>111</v>
      </c>
      <c r="F46" s="7"/>
      <c r="G46" s="7"/>
      <c r="H46" s="7"/>
      <c r="I46" s="7"/>
      <c r="J46" s="7"/>
      <c r="K46" s="7"/>
      <c r="L46" s="7"/>
      <c r="M46" s="7"/>
      <c r="N46" s="7"/>
      <c r="O46" s="8"/>
    </row>
    <row r="47" spans="1:16" ht="14.25" customHeight="1">
      <c r="A47" s="6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8"/>
    </row>
    <row r="48" spans="1:16" ht="14.25" customHeight="1">
      <c r="A48" s="6">
        <v>3</v>
      </c>
      <c r="B48" s="7" t="s">
        <v>112</v>
      </c>
      <c r="C48" s="7"/>
      <c r="D48" s="7"/>
      <c r="E48" s="7" t="s">
        <v>113</v>
      </c>
      <c r="F48" s="7"/>
      <c r="G48" s="7"/>
      <c r="H48" s="7"/>
      <c r="I48" s="7"/>
      <c r="J48" s="7"/>
      <c r="K48" s="7"/>
      <c r="L48" s="7"/>
      <c r="M48" s="7"/>
      <c r="N48" s="7"/>
      <c r="O48" s="8"/>
    </row>
    <row r="49" spans="1:15" ht="14.25" customHeight="1">
      <c r="A49" s="6"/>
      <c r="B49" s="7"/>
      <c r="C49" s="7"/>
      <c r="D49" s="7"/>
      <c r="E49" s="7" t="s">
        <v>114</v>
      </c>
      <c r="F49" s="7"/>
      <c r="G49" s="7"/>
      <c r="H49" s="7"/>
      <c r="I49" s="7"/>
      <c r="J49" s="7"/>
      <c r="K49" s="7"/>
      <c r="L49" s="7"/>
      <c r="M49" s="7"/>
      <c r="N49" s="7"/>
      <c r="O49" s="8"/>
    </row>
    <row r="50" spans="1:15" ht="14.25" customHeight="1">
      <c r="A50" s="6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8"/>
    </row>
    <row r="51" spans="1:15" ht="14.25" customHeight="1">
      <c r="A51" s="6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8"/>
    </row>
    <row r="52" spans="1:15" ht="14.25" customHeight="1">
      <c r="A52" s="6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8"/>
    </row>
    <row r="53" spans="1:15" ht="14.25" customHeight="1">
      <c r="A53" s="6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8"/>
    </row>
    <row r="54" spans="1:15" ht="14.25" customHeight="1" thickBot="1">
      <c r="A54" s="6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8"/>
    </row>
    <row r="55" spans="1:15" ht="14.25" customHeight="1" thickBot="1">
      <c r="A55" s="6"/>
      <c r="B55" s="547" t="s">
        <v>115</v>
      </c>
      <c r="C55" s="548"/>
      <c r="D55" s="7"/>
      <c r="E55" s="547" t="s">
        <v>116</v>
      </c>
      <c r="F55" s="549"/>
      <c r="G55" s="549"/>
      <c r="H55" s="548"/>
      <c r="I55" s="7"/>
      <c r="J55" s="7"/>
      <c r="K55" s="7"/>
      <c r="L55" s="7"/>
      <c r="M55" s="7"/>
      <c r="N55" s="7"/>
      <c r="O55" s="8"/>
    </row>
    <row r="56" spans="1:15" ht="14.25" customHeight="1">
      <c r="A56" s="6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8"/>
    </row>
    <row r="57" spans="1:15" ht="14.25" customHeight="1" thickBot="1">
      <c r="A57" s="13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5"/>
    </row>
  </sheetData>
  <mergeCells count="9">
    <mergeCell ref="A1:O2"/>
    <mergeCell ref="B55:C55"/>
    <mergeCell ref="E55:H55"/>
    <mergeCell ref="E6:F6"/>
    <mergeCell ref="E7:F7"/>
    <mergeCell ref="E8:F8"/>
    <mergeCell ref="G6:H6"/>
    <mergeCell ref="G7:H7"/>
    <mergeCell ref="G8:H8"/>
  </mergeCells>
  <phoneticPr fontId="20"/>
  <printOptions horizontalCentered="1"/>
  <pageMargins left="0.2" right="0.2" top="0.2" bottom="0.2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R76"/>
  <sheetViews>
    <sheetView zoomScale="55" zoomScaleNormal="55" workbookViewId="0">
      <selection activeCell="AD52" sqref="AD52"/>
    </sheetView>
  </sheetViews>
  <sheetFormatPr defaultRowHeight="15"/>
  <sheetData>
    <row r="1" spans="1:44" ht="15.75" thickBot="1">
      <c r="A1" s="3"/>
      <c r="B1" s="555" t="s">
        <v>278</v>
      </c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556"/>
      <c r="T1" s="556"/>
      <c r="U1" s="556"/>
      <c r="V1" s="556"/>
      <c r="W1" s="556"/>
      <c r="X1" s="556"/>
      <c r="Y1" s="556"/>
      <c r="Z1" s="556"/>
      <c r="AA1" s="556"/>
      <c r="AB1" s="556"/>
      <c r="AC1" s="556"/>
      <c r="AD1" s="556"/>
      <c r="AE1" s="556"/>
      <c r="AF1" s="556"/>
      <c r="AG1" s="556"/>
      <c r="AH1" s="556"/>
      <c r="AI1" s="556"/>
      <c r="AJ1" s="556"/>
      <c r="AK1" s="556"/>
      <c r="AL1" s="556"/>
      <c r="AM1" s="556"/>
      <c r="AN1" s="556"/>
      <c r="AO1" s="556"/>
      <c r="AP1" s="557"/>
      <c r="AQ1" s="3"/>
      <c r="AR1" s="3"/>
    </row>
    <row r="2" spans="1:44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</row>
    <row r="3" spans="1:44" ht="15.75" thickBot="1">
      <c r="A3" s="3"/>
      <c r="B3" s="3" t="s">
        <v>277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 t="s">
        <v>276</v>
      </c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 t="s">
        <v>275</v>
      </c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</row>
    <row r="4" spans="1:44">
      <c r="A4" s="3"/>
      <c r="B4" s="551" t="s">
        <v>274</v>
      </c>
      <c r="C4" s="558" t="s">
        <v>268</v>
      </c>
      <c r="D4" s="559"/>
      <c r="E4" s="559"/>
      <c r="F4" s="559"/>
      <c r="G4" s="559"/>
      <c r="H4" s="559"/>
      <c r="I4" s="559"/>
      <c r="J4" s="559"/>
      <c r="K4" s="559"/>
      <c r="L4" s="559"/>
      <c r="M4" s="559"/>
      <c r="N4" s="560"/>
      <c r="O4" s="3"/>
      <c r="P4" s="551" t="s">
        <v>274</v>
      </c>
      <c r="Q4" s="558" t="s">
        <v>352</v>
      </c>
      <c r="R4" s="559"/>
      <c r="S4" s="559"/>
      <c r="T4" s="559"/>
      <c r="U4" s="559"/>
      <c r="V4" s="559"/>
      <c r="W4" s="559"/>
      <c r="X4" s="559"/>
      <c r="Y4" s="559"/>
      <c r="Z4" s="559"/>
      <c r="AA4" s="559"/>
      <c r="AB4" s="560"/>
      <c r="AC4" s="3"/>
      <c r="AD4" s="551" t="s">
        <v>263</v>
      </c>
      <c r="AE4" s="553" t="s">
        <v>351</v>
      </c>
      <c r="AF4" s="553"/>
      <c r="AG4" s="553"/>
      <c r="AH4" s="553"/>
      <c r="AI4" s="553"/>
      <c r="AJ4" s="553"/>
      <c r="AK4" s="553"/>
      <c r="AL4" s="553"/>
      <c r="AM4" s="553"/>
      <c r="AN4" s="553"/>
      <c r="AO4" s="553"/>
      <c r="AP4" s="554"/>
      <c r="AQ4" s="3"/>
      <c r="AR4" s="3"/>
    </row>
    <row r="5" spans="1:44" ht="15.75" thickBot="1">
      <c r="A5" s="3"/>
      <c r="B5" s="552"/>
      <c r="C5" s="210" t="s">
        <v>261</v>
      </c>
      <c r="D5" s="209" t="s">
        <v>260</v>
      </c>
      <c r="E5" s="209" t="s">
        <v>259</v>
      </c>
      <c r="F5" s="209" t="s">
        <v>258</v>
      </c>
      <c r="G5" s="209" t="s">
        <v>54</v>
      </c>
      <c r="H5" s="209" t="s">
        <v>257</v>
      </c>
      <c r="I5" s="209" t="s">
        <v>256</v>
      </c>
      <c r="J5" s="209" t="s">
        <v>255</v>
      </c>
      <c r="K5" s="209" t="s">
        <v>254</v>
      </c>
      <c r="L5" s="209" t="s">
        <v>253</v>
      </c>
      <c r="M5" s="209" t="s">
        <v>252</v>
      </c>
      <c r="N5" s="208" t="s">
        <v>251</v>
      </c>
      <c r="O5" s="3"/>
      <c r="P5" s="552"/>
      <c r="Q5" s="210" t="s">
        <v>261</v>
      </c>
      <c r="R5" s="209" t="s">
        <v>260</v>
      </c>
      <c r="S5" s="209" t="s">
        <v>259</v>
      </c>
      <c r="T5" s="209" t="s">
        <v>258</v>
      </c>
      <c r="U5" s="209" t="s">
        <v>54</v>
      </c>
      <c r="V5" s="209" t="s">
        <v>257</v>
      </c>
      <c r="W5" s="209" t="s">
        <v>256</v>
      </c>
      <c r="X5" s="209" t="s">
        <v>255</v>
      </c>
      <c r="Y5" s="209" t="s">
        <v>254</v>
      </c>
      <c r="Z5" s="209" t="s">
        <v>253</v>
      </c>
      <c r="AA5" s="209" t="s">
        <v>252</v>
      </c>
      <c r="AB5" s="208" t="s">
        <v>251</v>
      </c>
      <c r="AC5" s="3"/>
      <c r="AD5" s="552"/>
      <c r="AE5" s="210" t="s">
        <v>261</v>
      </c>
      <c r="AF5" s="209" t="s">
        <v>260</v>
      </c>
      <c r="AG5" s="209" t="s">
        <v>259</v>
      </c>
      <c r="AH5" s="209" t="s">
        <v>258</v>
      </c>
      <c r="AI5" s="209" t="s">
        <v>54</v>
      </c>
      <c r="AJ5" s="209" t="s">
        <v>257</v>
      </c>
      <c r="AK5" s="209" t="s">
        <v>256</v>
      </c>
      <c r="AL5" s="209" t="s">
        <v>255</v>
      </c>
      <c r="AM5" s="209" t="s">
        <v>254</v>
      </c>
      <c r="AN5" s="209" t="s">
        <v>253</v>
      </c>
      <c r="AO5" s="209" t="s">
        <v>252</v>
      </c>
      <c r="AP5" s="208" t="s">
        <v>251</v>
      </c>
      <c r="AQ5" s="3"/>
      <c r="AR5" s="3"/>
    </row>
    <row r="6" spans="1:44">
      <c r="A6" s="3"/>
      <c r="B6" s="258" t="s">
        <v>347</v>
      </c>
      <c r="C6" s="455"/>
      <c r="D6" s="452"/>
      <c r="E6" s="452"/>
      <c r="F6" s="252"/>
      <c r="G6" s="465"/>
      <c r="H6" s="452"/>
      <c r="I6" s="259"/>
      <c r="J6" s="252"/>
      <c r="K6" s="252"/>
      <c r="L6" s="252"/>
      <c r="M6" s="252"/>
      <c r="N6" s="254"/>
      <c r="O6" s="230"/>
      <c r="P6" s="258" t="str">
        <f>B6</f>
        <v>CLC</v>
      </c>
      <c r="Q6" s="257"/>
      <c r="R6" s="256"/>
      <c r="S6" s="256"/>
      <c r="T6" s="256"/>
      <c r="U6" s="252"/>
      <c r="V6" s="256"/>
      <c r="W6" s="252"/>
      <c r="X6" s="252"/>
      <c r="Y6" s="252"/>
      <c r="Z6" s="252"/>
      <c r="AA6" s="255"/>
      <c r="AB6" s="254"/>
      <c r="AC6" s="230"/>
      <c r="AD6" s="207" t="s">
        <v>272</v>
      </c>
      <c r="AE6" s="253"/>
      <c r="AF6" s="252"/>
      <c r="AG6" s="252"/>
      <c r="AH6" s="252"/>
      <c r="AI6" s="252"/>
      <c r="AJ6" s="252"/>
      <c r="AK6" s="252"/>
      <c r="AL6" s="252"/>
      <c r="AM6" s="252"/>
      <c r="AN6" s="189"/>
      <c r="AO6" s="251"/>
      <c r="AP6" s="189"/>
      <c r="AQ6" s="3"/>
      <c r="AR6" s="3"/>
    </row>
    <row r="7" spans="1:44" ht="15.75" thickBot="1">
      <c r="A7" s="3"/>
      <c r="B7" s="244" t="s">
        <v>348</v>
      </c>
      <c r="C7" s="456"/>
      <c r="D7" s="453"/>
      <c r="E7" s="453"/>
      <c r="F7" s="242"/>
      <c r="G7" s="242"/>
      <c r="H7" s="453"/>
      <c r="I7" s="250"/>
      <c r="J7" s="241"/>
      <c r="K7" s="241"/>
      <c r="L7" s="241"/>
      <c r="M7" s="241"/>
      <c r="N7" s="240"/>
      <c r="O7" s="230"/>
      <c r="P7" s="244" t="str">
        <f>B7</f>
        <v>JED</v>
      </c>
      <c r="Q7" s="243"/>
      <c r="R7" s="241"/>
      <c r="S7" s="241"/>
      <c r="T7" s="241"/>
      <c r="U7" s="242"/>
      <c r="V7" s="241"/>
      <c r="W7" s="241"/>
      <c r="X7" s="241"/>
      <c r="Y7" s="241"/>
      <c r="Z7" s="241"/>
      <c r="AA7" s="241"/>
      <c r="AB7" s="240"/>
      <c r="AC7" s="230"/>
      <c r="AD7" s="249" t="s">
        <v>271</v>
      </c>
      <c r="AE7" s="237"/>
      <c r="AF7" s="236"/>
      <c r="AG7" s="236"/>
      <c r="AH7" s="236"/>
      <c r="AI7" s="236"/>
      <c r="AJ7" s="236"/>
      <c r="AK7" s="236"/>
      <c r="AL7" s="236"/>
      <c r="AM7" s="236"/>
      <c r="AN7" s="248"/>
      <c r="AO7" s="248"/>
      <c r="AP7" s="247"/>
      <c r="AQ7" s="3"/>
      <c r="AR7" s="3"/>
    </row>
    <row r="8" spans="1:44" ht="15.75" thickBot="1">
      <c r="A8" s="3"/>
      <c r="B8" s="244" t="s">
        <v>349</v>
      </c>
      <c r="C8" s="457"/>
      <c r="D8" s="453"/>
      <c r="E8" s="453"/>
      <c r="F8" s="241"/>
      <c r="G8" s="453"/>
      <c r="H8" s="453"/>
      <c r="I8" s="245"/>
      <c r="J8" s="242"/>
      <c r="K8" s="241"/>
      <c r="L8" s="241"/>
      <c r="M8" s="241"/>
      <c r="N8" s="240"/>
      <c r="O8" s="230"/>
      <c r="P8" s="244" t="str">
        <f>B8</f>
        <v>VPL</v>
      </c>
      <c r="Q8" s="243"/>
      <c r="R8" s="241"/>
      <c r="S8" s="241"/>
      <c r="T8" s="241"/>
      <c r="U8" s="241"/>
      <c r="V8" s="241"/>
      <c r="W8" s="242"/>
      <c r="X8" s="242"/>
      <c r="Y8" s="241"/>
      <c r="Z8" s="241"/>
      <c r="AA8" s="241"/>
      <c r="AB8" s="240"/>
      <c r="AC8" s="230"/>
      <c r="AD8" s="234" t="s">
        <v>270</v>
      </c>
      <c r="AE8" s="233">
        <f>AE6*28/79+AE7*51/79</f>
        <v>0</v>
      </c>
      <c r="AF8" s="232">
        <f>AF6*31/82+AF7*51/82</f>
        <v>0</v>
      </c>
      <c r="AG8" s="232">
        <f>AG6*30/81+AG7*51/81</f>
        <v>0</v>
      </c>
      <c r="AH8" s="232">
        <f>AH6*29/(29+51)+AH7*51/(29+51)</f>
        <v>0</v>
      </c>
      <c r="AI8" s="232">
        <f>AI6*27/78+AI7*51/78</f>
        <v>0</v>
      </c>
      <c r="AJ8" s="232">
        <f>AJ6*25/77+AJ7*52/77</f>
        <v>0</v>
      </c>
      <c r="AK8" s="232">
        <f>AK6*25/77+'[1]Performance trend- Summary'!AK7*51/77</f>
        <v>0</v>
      </c>
      <c r="AL8" s="232">
        <f>AL6*23/75+'[1]Performance trend- Summary'!AL7*52/75</f>
        <v>0</v>
      </c>
      <c r="AM8" s="232">
        <v>1</v>
      </c>
      <c r="AN8" s="232">
        <f>AN6*27/82+AN7*55/82</f>
        <v>0</v>
      </c>
      <c r="AO8" s="232">
        <f>AO6*29/82+'[1]Performance trend- Summary'!AO7*53/82</f>
        <v>0</v>
      </c>
      <c r="AP8" s="231">
        <f>AP6*29/85+'[1]Performance trend- Summary'!AP7*56/85</f>
        <v>0</v>
      </c>
      <c r="AQ8" s="3"/>
      <c r="AR8" s="3"/>
    </row>
    <row r="9" spans="1:44" ht="15.75" thickBot="1">
      <c r="A9" s="3"/>
      <c r="B9" s="238" t="s">
        <v>350</v>
      </c>
      <c r="C9" s="458"/>
      <c r="D9" s="454"/>
      <c r="E9" s="454"/>
      <c r="F9" s="236"/>
      <c r="G9" s="454"/>
      <c r="H9" s="454"/>
      <c r="I9" s="239"/>
      <c r="J9" s="236"/>
      <c r="K9" s="236"/>
      <c r="L9" s="236"/>
      <c r="M9" s="236"/>
      <c r="N9" s="235"/>
      <c r="O9" s="230"/>
      <c r="P9" s="238" t="str">
        <f>B9</f>
        <v>NJL</v>
      </c>
      <c r="Q9" s="237"/>
      <c r="R9" s="236"/>
      <c r="S9" s="241"/>
      <c r="T9" s="241"/>
      <c r="U9" s="236"/>
      <c r="V9" s="236"/>
      <c r="W9" s="236"/>
      <c r="X9" s="236"/>
      <c r="Y9" s="236"/>
      <c r="Z9" s="236"/>
      <c r="AA9" s="236"/>
      <c r="AB9" s="235"/>
      <c r="AC9" s="230"/>
      <c r="AD9" s="3"/>
      <c r="AE9" s="3"/>
      <c r="AF9" s="3"/>
      <c r="AG9" s="3"/>
      <c r="AH9" s="230"/>
      <c r="AI9" s="3"/>
      <c r="AJ9" s="3"/>
      <c r="AK9" s="3"/>
      <c r="AL9" s="3"/>
      <c r="AM9" s="3"/>
      <c r="AN9" s="3"/>
      <c r="AO9" s="3"/>
      <c r="AP9" s="3"/>
      <c r="AQ9" s="3"/>
      <c r="AR9" s="3"/>
    </row>
    <row r="10" spans="1:44" ht="15.75" thickBot="1">
      <c r="A10" s="3"/>
      <c r="B10" s="234" t="s">
        <v>270</v>
      </c>
      <c r="C10" s="467" t="str">
        <f>IF((C6=0),"",AVERAGE(C6:C9))</f>
        <v/>
      </c>
      <c r="D10" s="466" t="e">
        <f t="shared" ref="D10:N10" si="0">AVERAGE(D6:D9)</f>
        <v>#DIV/0!</v>
      </c>
      <c r="E10" s="466" t="e">
        <f t="shared" si="0"/>
        <v>#DIV/0!</v>
      </c>
      <c r="F10" s="466" t="e">
        <f t="shared" si="0"/>
        <v>#DIV/0!</v>
      </c>
      <c r="G10" s="466" t="e">
        <f t="shared" si="0"/>
        <v>#DIV/0!</v>
      </c>
      <c r="H10" s="466" t="e">
        <f t="shared" si="0"/>
        <v>#DIV/0!</v>
      </c>
      <c r="I10" s="232" t="e">
        <f t="shared" si="0"/>
        <v>#DIV/0!</v>
      </c>
      <c r="J10" s="232" t="e">
        <f t="shared" si="0"/>
        <v>#DIV/0!</v>
      </c>
      <c r="K10" s="232" t="e">
        <f t="shared" si="0"/>
        <v>#DIV/0!</v>
      </c>
      <c r="L10" s="232" t="e">
        <f t="shared" si="0"/>
        <v>#DIV/0!</v>
      </c>
      <c r="M10" s="232" t="e">
        <f t="shared" si="0"/>
        <v>#DIV/0!</v>
      </c>
      <c r="N10" s="231" t="e">
        <f t="shared" si="0"/>
        <v>#DIV/0!</v>
      </c>
      <c r="O10" s="3"/>
      <c r="P10" s="234" t="s">
        <v>270</v>
      </c>
      <c r="Q10" s="233" t="e">
        <f t="shared" ref="Q10:AB10" si="1">AVERAGE(Q6:Q9)</f>
        <v>#DIV/0!</v>
      </c>
      <c r="R10" s="232" t="e">
        <f t="shared" si="1"/>
        <v>#DIV/0!</v>
      </c>
      <c r="S10" s="232" t="e">
        <f t="shared" si="1"/>
        <v>#DIV/0!</v>
      </c>
      <c r="T10" s="232" t="e">
        <f t="shared" si="1"/>
        <v>#DIV/0!</v>
      </c>
      <c r="U10" s="232" t="e">
        <f t="shared" si="1"/>
        <v>#DIV/0!</v>
      </c>
      <c r="V10" s="232" t="e">
        <f t="shared" si="1"/>
        <v>#DIV/0!</v>
      </c>
      <c r="W10" s="232" t="e">
        <f t="shared" si="1"/>
        <v>#DIV/0!</v>
      </c>
      <c r="X10" s="232" t="e">
        <f t="shared" si="1"/>
        <v>#DIV/0!</v>
      </c>
      <c r="Y10" s="232" t="e">
        <f t="shared" si="1"/>
        <v>#DIV/0!</v>
      </c>
      <c r="Z10" s="232" t="e">
        <f t="shared" si="1"/>
        <v>#DIV/0!</v>
      </c>
      <c r="AA10" s="232" t="e">
        <f t="shared" si="1"/>
        <v>#DIV/0!</v>
      </c>
      <c r="AB10" s="231" t="e">
        <f t="shared" si="1"/>
        <v>#DIV/0!</v>
      </c>
      <c r="AC10" s="3"/>
      <c r="AD10" s="3"/>
      <c r="AE10" s="3"/>
      <c r="AF10" s="3"/>
      <c r="AG10" s="3"/>
      <c r="AH10" s="230"/>
      <c r="AI10" s="3"/>
      <c r="AJ10" s="3"/>
      <c r="AK10" s="3"/>
      <c r="AL10" s="3"/>
      <c r="AM10" s="3"/>
      <c r="AN10" s="3"/>
      <c r="AO10" s="3"/>
      <c r="AP10" s="3"/>
      <c r="AQ10" s="3"/>
      <c r="AR10" s="3"/>
    </row>
    <row r="11" spans="1:44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</row>
    <row r="12" spans="1:44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</row>
    <row r="13" spans="1:44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</row>
    <row r="14" spans="1:44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</row>
    <row r="15" spans="1:44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</row>
    <row r="16" spans="1:44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</row>
    <row r="17" spans="1:44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</row>
    <row r="18" spans="1:4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</row>
    <row r="19" spans="1:44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</row>
    <row r="20" spans="1:4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</row>
    <row r="21" spans="1:44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</row>
    <row r="22" spans="1:44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</row>
    <row r="23" spans="1:44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</row>
    <row r="24" spans="1:44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</row>
    <row r="25" spans="1:44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</row>
    <row r="26" spans="1:44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</row>
    <row r="27" spans="1:44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</row>
    <row r="28" spans="1:44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</row>
    <row r="29" spans="1:44" ht="15.75" thickBo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 t="s">
        <v>269</v>
      </c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</row>
    <row r="30" spans="1:44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551" t="s">
        <v>263</v>
      </c>
      <c r="AE30" s="553" t="s">
        <v>353</v>
      </c>
      <c r="AF30" s="553"/>
      <c r="AG30" s="553"/>
      <c r="AH30" s="553"/>
      <c r="AI30" s="553"/>
      <c r="AJ30" s="553"/>
      <c r="AK30" s="553"/>
      <c r="AL30" s="553"/>
      <c r="AM30" s="553"/>
      <c r="AN30" s="553"/>
      <c r="AO30" s="553"/>
      <c r="AP30" s="554"/>
      <c r="AQ30" s="3"/>
      <c r="AR30" s="3"/>
    </row>
    <row r="31" spans="1:44" ht="15.75" thickBo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552"/>
      <c r="AE31" s="210" t="s">
        <v>261</v>
      </c>
      <c r="AF31" s="209" t="s">
        <v>260</v>
      </c>
      <c r="AG31" s="209" t="s">
        <v>259</v>
      </c>
      <c r="AH31" s="209" t="s">
        <v>258</v>
      </c>
      <c r="AI31" s="209" t="s">
        <v>54</v>
      </c>
      <c r="AJ31" s="209" t="s">
        <v>257</v>
      </c>
      <c r="AK31" s="209" t="s">
        <v>256</v>
      </c>
      <c r="AL31" s="209" t="s">
        <v>255</v>
      </c>
      <c r="AM31" s="209" t="s">
        <v>254</v>
      </c>
      <c r="AN31" s="209" t="s">
        <v>253</v>
      </c>
      <c r="AO31" s="209" t="s">
        <v>252</v>
      </c>
      <c r="AP31" s="208" t="s">
        <v>251</v>
      </c>
      <c r="AQ31" s="3"/>
      <c r="AR31" s="3"/>
    </row>
    <row r="32" spans="1:44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8"/>
      <c r="AD32" s="229" t="s">
        <v>250</v>
      </c>
      <c r="AE32" s="228"/>
      <c r="AF32" s="227"/>
      <c r="AG32" s="227"/>
      <c r="AH32" s="227"/>
      <c r="AI32" s="227"/>
      <c r="AJ32" s="227"/>
      <c r="AK32" s="226"/>
      <c r="AL32" s="227"/>
      <c r="AM32" s="226"/>
      <c r="AN32" s="227"/>
      <c r="AO32" s="226"/>
      <c r="AP32" s="225"/>
      <c r="AQ32" s="3"/>
      <c r="AR32" s="3"/>
    </row>
    <row r="33" spans="1:44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8"/>
      <c r="AD33" s="206" t="s">
        <v>249</v>
      </c>
      <c r="AE33" s="224"/>
      <c r="AF33" s="223"/>
      <c r="AG33" s="223"/>
      <c r="AH33" s="223"/>
      <c r="AI33" s="223"/>
      <c r="AJ33" s="223"/>
      <c r="AK33" s="222"/>
      <c r="AL33" s="223"/>
      <c r="AM33" s="222"/>
      <c r="AN33" s="223"/>
      <c r="AO33" s="222"/>
      <c r="AP33" s="221"/>
      <c r="AQ33" s="3"/>
      <c r="AR33" s="3"/>
    </row>
    <row r="34" spans="1:44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220" t="s">
        <v>267</v>
      </c>
      <c r="AE34" s="219">
        <f t="shared" ref="AE34:AP34" si="2">SUM(AE32:AE33)</f>
        <v>0</v>
      </c>
      <c r="AF34" s="218">
        <f t="shared" si="2"/>
        <v>0</v>
      </c>
      <c r="AG34" s="218">
        <f t="shared" si="2"/>
        <v>0</v>
      </c>
      <c r="AH34" s="218">
        <f t="shared" si="2"/>
        <v>0</v>
      </c>
      <c r="AI34" s="218">
        <f t="shared" si="2"/>
        <v>0</v>
      </c>
      <c r="AJ34" s="218">
        <f t="shared" si="2"/>
        <v>0</v>
      </c>
      <c r="AK34" s="218">
        <f t="shared" si="2"/>
        <v>0</v>
      </c>
      <c r="AL34" s="218">
        <f t="shared" si="2"/>
        <v>0</v>
      </c>
      <c r="AM34" s="218">
        <f t="shared" si="2"/>
        <v>0</v>
      </c>
      <c r="AN34" s="218">
        <f t="shared" si="2"/>
        <v>0</v>
      </c>
      <c r="AO34" s="218">
        <f t="shared" si="2"/>
        <v>0</v>
      </c>
      <c r="AP34" s="218">
        <f t="shared" si="2"/>
        <v>0</v>
      </c>
      <c r="AQ34" s="3"/>
      <c r="AR34" s="3"/>
    </row>
    <row r="35" spans="1:44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217" t="s">
        <v>266</v>
      </c>
      <c r="AE35" s="216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4"/>
      <c r="AQ35" s="3"/>
      <c r="AR35" s="3"/>
    </row>
    <row r="36" spans="1:44" ht="15.75" thickBo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213" t="s">
        <v>265</v>
      </c>
      <c r="AE36" s="212">
        <f t="shared" ref="AE36:AP36" si="3">AE35-AE34</f>
        <v>0</v>
      </c>
      <c r="AF36" s="211">
        <f t="shared" si="3"/>
        <v>0</v>
      </c>
      <c r="AG36" s="211">
        <f t="shared" si="3"/>
        <v>0</v>
      </c>
      <c r="AH36" s="211">
        <f t="shared" si="3"/>
        <v>0</v>
      </c>
      <c r="AI36" s="211">
        <f t="shared" si="3"/>
        <v>0</v>
      </c>
      <c r="AJ36" s="211">
        <f t="shared" si="3"/>
        <v>0</v>
      </c>
      <c r="AK36" s="211">
        <f t="shared" si="3"/>
        <v>0</v>
      </c>
      <c r="AL36" s="211">
        <f t="shared" si="3"/>
        <v>0</v>
      </c>
      <c r="AM36" s="211">
        <f t="shared" si="3"/>
        <v>0</v>
      </c>
      <c r="AN36" s="211">
        <f t="shared" si="3"/>
        <v>0</v>
      </c>
      <c r="AO36" s="211">
        <f t="shared" si="3"/>
        <v>0</v>
      </c>
      <c r="AP36" s="211">
        <f t="shared" si="3"/>
        <v>0</v>
      </c>
      <c r="AQ36" s="3"/>
      <c r="AR36" s="3"/>
    </row>
    <row r="37" spans="1:44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</row>
    <row r="38" spans="1:44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</row>
    <row r="39" spans="1:44" ht="15.75" thickBot="1">
      <c r="A39" s="3"/>
      <c r="B39" s="3" t="s">
        <v>355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</row>
    <row r="40" spans="1:44">
      <c r="A40" s="3"/>
      <c r="B40" s="551" t="s">
        <v>263</v>
      </c>
      <c r="C40" s="553" t="s">
        <v>354</v>
      </c>
      <c r="D40" s="553"/>
      <c r="E40" s="553"/>
      <c r="F40" s="553"/>
      <c r="G40" s="553"/>
      <c r="H40" s="553"/>
      <c r="I40" s="553"/>
      <c r="J40" s="553"/>
      <c r="K40" s="553"/>
      <c r="L40" s="553"/>
      <c r="M40" s="553"/>
      <c r="N40" s="554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</row>
    <row r="41" spans="1:44" ht="15.75" thickBot="1">
      <c r="A41" s="3"/>
      <c r="B41" s="552"/>
      <c r="C41" s="210" t="s">
        <v>261</v>
      </c>
      <c r="D41" s="209" t="s">
        <v>260</v>
      </c>
      <c r="E41" s="209" t="s">
        <v>259</v>
      </c>
      <c r="F41" s="209" t="s">
        <v>258</v>
      </c>
      <c r="G41" s="209" t="s">
        <v>54</v>
      </c>
      <c r="H41" s="209" t="s">
        <v>257</v>
      </c>
      <c r="I41" s="209" t="s">
        <v>256</v>
      </c>
      <c r="J41" s="209" t="s">
        <v>255</v>
      </c>
      <c r="K41" s="209" t="s">
        <v>254</v>
      </c>
      <c r="L41" s="209" t="s">
        <v>253</v>
      </c>
      <c r="M41" s="209" t="s">
        <v>252</v>
      </c>
      <c r="N41" s="208" t="s">
        <v>251</v>
      </c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</row>
    <row r="42" spans="1:44">
      <c r="A42" s="3"/>
      <c r="B42" s="207" t="s">
        <v>250</v>
      </c>
      <c r="C42" s="205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20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</row>
    <row r="43" spans="1:44" ht="15.75" thickBot="1">
      <c r="A43" s="3"/>
      <c r="B43" s="206" t="s">
        <v>249</v>
      </c>
      <c r="C43" s="205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20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</row>
    <row r="44" spans="1:44" ht="15.75" thickBot="1">
      <c r="A44" s="3"/>
      <c r="B44" s="202" t="s">
        <v>248</v>
      </c>
      <c r="C44" s="201">
        <f t="shared" ref="C44:N44" si="4">SUM(C42:C43)</f>
        <v>0</v>
      </c>
      <c r="D44" s="200">
        <f t="shared" si="4"/>
        <v>0</v>
      </c>
      <c r="E44" s="200">
        <f t="shared" si="4"/>
        <v>0</v>
      </c>
      <c r="F44" s="200">
        <f t="shared" si="4"/>
        <v>0</v>
      </c>
      <c r="G44" s="200">
        <f t="shared" si="4"/>
        <v>0</v>
      </c>
      <c r="H44" s="200">
        <f t="shared" si="4"/>
        <v>0</v>
      </c>
      <c r="I44" s="200">
        <f t="shared" si="4"/>
        <v>0</v>
      </c>
      <c r="J44" s="200">
        <f t="shared" si="4"/>
        <v>0</v>
      </c>
      <c r="K44" s="200">
        <f t="shared" si="4"/>
        <v>0</v>
      </c>
      <c r="L44" s="200">
        <f t="shared" si="4"/>
        <v>0</v>
      </c>
      <c r="M44" s="200">
        <f t="shared" si="4"/>
        <v>0</v>
      </c>
      <c r="N44" s="199">
        <f t="shared" si="4"/>
        <v>0</v>
      </c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</row>
    <row r="45" spans="1:44" ht="15.75" thickBot="1">
      <c r="A45" s="3"/>
      <c r="B45" s="198" t="s">
        <v>247</v>
      </c>
      <c r="C45" s="197"/>
      <c r="D45" s="196"/>
      <c r="E45" s="196"/>
      <c r="F45" s="196"/>
      <c r="G45" s="196"/>
      <c r="H45" s="196"/>
      <c r="I45" s="196"/>
      <c r="J45" s="196"/>
      <c r="K45" s="195"/>
      <c r="L45" s="195"/>
      <c r="M45" s="195"/>
      <c r="N45" s="194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</row>
    <row r="46" spans="1:44" ht="15.75" thickBot="1">
      <c r="A46" s="3"/>
      <c r="B46" s="193" t="s">
        <v>246</v>
      </c>
      <c r="C46" s="192"/>
      <c r="D46" s="192"/>
      <c r="E46" s="192"/>
      <c r="F46" s="192"/>
      <c r="G46" s="192"/>
      <c r="H46" s="192"/>
      <c r="I46" s="192"/>
      <c r="J46" s="192"/>
      <c r="K46" s="192"/>
      <c r="L46" s="192"/>
      <c r="M46" s="192"/>
      <c r="N46" s="191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</row>
    <row r="47" spans="1:44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</row>
    <row r="48" spans="1:44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</row>
    <row r="49" spans="1:44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</row>
    <row r="50" spans="1:44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</row>
    <row r="51" spans="1:44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</row>
    <row r="52" spans="1:44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</row>
    <row r="53" spans="1:44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</row>
    <row r="54" spans="1:44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</row>
    <row r="55" spans="1:44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</row>
    <row r="56" spans="1:44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</row>
    <row r="57" spans="1:44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</row>
    <row r="58" spans="1:44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</row>
    <row r="59" spans="1:44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</row>
    <row r="60" spans="1:44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</row>
    <row r="61" spans="1:44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</row>
    <row r="62" spans="1:44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</row>
    <row r="63" spans="1:44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</row>
    <row r="64" spans="1:44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</row>
    <row r="65" spans="1:44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</row>
    <row r="66" spans="1:44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</row>
    <row r="67" spans="1:44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</row>
    <row r="68" spans="1:44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</row>
    <row r="69" spans="1:44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</row>
    <row r="70" spans="1:44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</row>
    <row r="71" spans="1:44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</row>
    <row r="72" spans="1:44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</row>
    <row r="73" spans="1:44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</row>
    <row r="74" spans="1:44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</row>
    <row r="75" spans="1:44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</row>
    <row r="76" spans="1:44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</row>
  </sheetData>
  <mergeCells count="11">
    <mergeCell ref="AD30:AD31"/>
    <mergeCell ref="AE30:AP30"/>
    <mergeCell ref="B40:B41"/>
    <mergeCell ref="C40:N40"/>
    <mergeCell ref="B1:AP1"/>
    <mergeCell ref="B4:B5"/>
    <mergeCell ref="C4:N4"/>
    <mergeCell ref="P4:P5"/>
    <mergeCell ref="Q4:AB4"/>
    <mergeCell ref="AD4:AD5"/>
    <mergeCell ref="AE4:AP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03"/>
  <sheetViews>
    <sheetView tabSelected="1" topLeftCell="A52" workbookViewId="0">
      <selection sqref="A1:N84"/>
    </sheetView>
  </sheetViews>
  <sheetFormatPr defaultRowHeight="15"/>
  <cols>
    <col min="1" max="1" width="9.140625" style="534"/>
    <col min="2" max="2" width="24.5703125" style="536" bestFit="1" customWidth="1"/>
    <col min="3" max="3" width="9.140625" style="534"/>
  </cols>
  <sheetData>
    <row r="1" spans="1:14">
      <c r="A1" s="534" t="s">
        <v>389</v>
      </c>
      <c r="B1" s="534" t="s">
        <v>390</v>
      </c>
      <c r="C1" s="534" t="s">
        <v>261</v>
      </c>
      <c r="D1" s="534" t="s">
        <v>260</v>
      </c>
      <c r="E1" s="534" t="s">
        <v>259</v>
      </c>
      <c r="F1" s="534" t="s">
        <v>258</v>
      </c>
      <c r="G1" s="534" t="s">
        <v>54</v>
      </c>
      <c r="H1" s="534" t="s">
        <v>257</v>
      </c>
      <c r="I1" s="534" t="s">
        <v>256</v>
      </c>
      <c r="J1" s="534" t="s">
        <v>255</v>
      </c>
      <c r="K1" s="534" t="s">
        <v>254</v>
      </c>
      <c r="L1" s="534" t="s">
        <v>253</v>
      </c>
      <c r="M1" s="534" t="s">
        <v>252</v>
      </c>
      <c r="N1" s="534" t="s">
        <v>251</v>
      </c>
    </row>
    <row r="2" spans="1:14">
      <c r="A2" s="534">
        <v>1</v>
      </c>
      <c r="B2" s="536" t="str">
        <f>Jan!E6</f>
        <v>ESTOLANO, Ronnie</v>
      </c>
      <c r="C2" s="535">
        <f ca="1">INDEX(INDIRECT($C$1 &amp; "!AM:AM"), MATCH(B2, INDIRECT($C$1 &amp; "!E:E"), 0))</f>
        <v>0.96153846153846156</v>
      </c>
      <c r="D2" s="262">
        <f ca="1">INDEX(INDIRECT($D$1 &amp; "!Aj:Aj"), MATCH(B2, INDIRECT($D$1 &amp; "!E:E"), 0))</f>
        <v>1</v>
      </c>
    </row>
    <row r="3" spans="1:14">
      <c r="A3" s="534">
        <v>1</v>
      </c>
      <c r="B3" s="536" t="str">
        <f>Jan!E7</f>
        <v>BOSQUE, Jonry</v>
      </c>
      <c r="C3" s="535">
        <f t="shared" ref="C3:C66" ca="1" si="0">INDEX(INDIRECT($C$1 &amp; "!AM:AM"), MATCH(B3, INDIRECT($C$1 &amp; "!E:E"), 0))</f>
        <v>0.96</v>
      </c>
      <c r="D3" s="262">
        <f t="shared" ref="D3:D66" ca="1" si="1">INDEX(INDIRECT($D$1 &amp; "!Aj:Aj"), MATCH(B3, INDIRECT($D$1 &amp; "!E:E"), 0))</f>
        <v>1</v>
      </c>
    </row>
    <row r="4" spans="1:14">
      <c r="A4" s="534">
        <v>1</v>
      </c>
      <c r="B4" s="536" t="str">
        <f>Jan!E8</f>
        <v>ORCEJOLA, Karen Mae</v>
      </c>
      <c r="C4" s="535">
        <f t="shared" ca="1" si="0"/>
        <v>1</v>
      </c>
      <c r="D4" s="262">
        <f t="shared" ca="1" si="1"/>
        <v>1</v>
      </c>
    </row>
    <row r="5" spans="1:14">
      <c r="A5" s="534">
        <v>1</v>
      </c>
      <c r="B5" s="536" t="str">
        <f>Jan!E9</f>
        <v>PLATERO, Paul</v>
      </c>
      <c r="C5" s="535">
        <f t="shared" ca="1" si="0"/>
        <v>1</v>
      </c>
      <c r="D5" s="262">
        <f t="shared" ca="1" si="1"/>
        <v>1</v>
      </c>
    </row>
    <row r="6" spans="1:14">
      <c r="A6" s="534">
        <v>1</v>
      </c>
      <c r="B6" s="536" t="str">
        <f>Jan!E10</f>
        <v>BAYETA, Louie</v>
      </c>
      <c r="C6" s="535">
        <f t="shared" ca="1" si="0"/>
        <v>1</v>
      </c>
      <c r="D6" s="262">
        <f t="shared" ca="1" si="1"/>
        <v>1</v>
      </c>
    </row>
    <row r="7" spans="1:14">
      <c r="A7" s="534">
        <v>1</v>
      </c>
      <c r="B7" s="536" t="str">
        <f>Jan!E11</f>
        <v>CINCO, Richard</v>
      </c>
      <c r="C7" s="535">
        <f t="shared" ca="1" si="0"/>
        <v>1</v>
      </c>
      <c r="D7" s="262">
        <f t="shared" ca="1" si="1"/>
        <v>1</v>
      </c>
    </row>
    <row r="8" spans="1:14">
      <c r="A8" s="534">
        <v>1</v>
      </c>
      <c r="B8" s="536" t="str">
        <f>Jan!E12</f>
        <v>BILAD, Marvin A.</v>
      </c>
      <c r="C8" s="535">
        <f t="shared" ca="1" si="0"/>
        <v>1</v>
      </c>
      <c r="D8" s="262">
        <f t="shared" ca="1" si="1"/>
        <v>1</v>
      </c>
    </row>
    <row r="9" spans="1:14">
      <c r="A9" s="534">
        <v>1</v>
      </c>
      <c r="B9" s="536" t="str">
        <f>Jan!E13</f>
        <v>NASAYAO, Flordecante</v>
      </c>
      <c r="C9" s="535">
        <f t="shared" ca="1" si="0"/>
        <v>1</v>
      </c>
      <c r="D9" s="262">
        <f t="shared" ca="1" si="1"/>
        <v>1</v>
      </c>
    </row>
    <row r="10" spans="1:14">
      <c r="A10" s="534">
        <v>1</v>
      </c>
      <c r="B10" s="536" t="str">
        <f>Jan!E14</f>
        <v>HILVANO, Christian Joul P.</v>
      </c>
      <c r="C10" s="535">
        <f t="shared" ca="1" si="0"/>
        <v>1</v>
      </c>
      <c r="D10" s="262">
        <f t="shared" ca="1" si="1"/>
        <v>1</v>
      </c>
    </row>
    <row r="11" spans="1:14">
      <c r="A11" s="534">
        <v>1</v>
      </c>
      <c r="B11" s="536" t="str">
        <f>Jan!E15</f>
        <v>NUÑEZ, Reus</v>
      </c>
      <c r="C11" s="535">
        <f t="shared" ca="1" si="0"/>
        <v>1</v>
      </c>
      <c r="D11" s="262">
        <f t="shared" ca="1" si="1"/>
        <v>1</v>
      </c>
    </row>
    <row r="12" spans="1:14">
      <c r="A12" s="534">
        <v>1</v>
      </c>
      <c r="B12" s="536" t="str">
        <f>Jan!E16</f>
        <v>JABINAL, Jewel Mae</v>
      </c>
      <c r="C12" s="535">
        <f t="shared" ca="1" si="0"/>
        <v>1</v>
      </c>
      <c r="D12" s="262">
        <f t="shared" ca="1" si="1"/>
        <v>1</v>
      </c>
    </row>
    <row r="13" spans="1:14">
      <c r="A13" s="534">
        <v>1</v>
      </c>
      <c r="B13" s="536" t="str">
        <f>Jan!E17</f>
        <v>ELCULLADA, Junmor S.</v>
      </c>
      <c r="C13" s="535">
        <f t="shared" ca="1" si="0"/>
        <v>1</v>
      </c>
      <c r="D13" s="262">
        <f t="shared" ca="1" si="1"/>
        <v>0.88888888888888884</v>
      </c>
    </row>
    <row r="14" spans="1:14">
      <c r="A14" s="534">
        <v>1</v>
      </c>
      <c r="B14" s="536" t="str">
        <f>Jan!E18</f>
        <v>CAGATA, Renan A.</v>
      </c>
      <c r="C14" s="535">
        <f t="shared" ca="1" si="0"/>
        <v>1</v>
      </c>
      <c r="D14" s="262">
        <f t="shared" ca="1" si="1"/>
        <v>1</v>
      </c>
    </row>
    <row r="15" spans="1:14">
      <c r="A15" s="534">
        <v>1</v>
      </c>
      <c r="B15" s="536" t="str">
        <f>Jan!E19</f>
        <v>CAGAMPANG, Josan C.</v>
      </c>
      <c r="C15" s="535">
        <f t="shared" ca="1" si="0"/>
        <v>0.96153846153846156</v>
      </c>
      <c r="D15" s="262">
        <f t="shared" ca="1" si="1"/>
        <v>1</v>
      </c>
    </row>
    <row r="16" spans="1:14">
      <c r="A16" s="534">
        <v>1</v>
      </c>
      <c r="B16" s="536" t="str">
        <f>Jan!E20</f>
        <v>JAMERO, Donald</v>
      </c>
      <c r="C16" s="535">
        <f t="shared" ca="1" si="0"/>
        <v>1</v>
      </c>
      <c r="D16" s="262">
        <f t="shared" ca="1" si="1"/>
        <v>1</v>
      </c>
    </row>
    <row r="17" spans="1:4">
      <c r="A17" s="534">
        <v>1</v>
      </c>
      <c r="B17" s="536" t="str">
        <f>Jan!E21</f>
        <v>BANZON Jr., Nicanor R.</v>
      </c>
      <c r="C17" s="535">
        <f t="shared" ca="1" si="0"/>
        <v>1</v>
      </c>
      <c r="D17" s="262">
        <f t="shared" ca="1" si="1"/>
        <v>1</v>
      </c>
    </row>
    <row r="18" spans="1:4">
      <c r="A18" s="534">
        <v>1</v>
      </c>
      <c r="B18" s="536" t="str">
        <f>Jan!E22</f>
        <v>ESTILLORE, Marbert</v>
      </c>
      <c r="C18" s="535">
        <f t="shared" ca="1" si="0"/>
        <v>1</v>
      </c>
      <c r="D18" s="262">
        <f t="shared" ca="1" si="1"/>
        <v>1</v>
      </c>
    </row>
    <row r="19" spans="1:4">
      <c r="A19" s="534">
        <v>1</v>
      </c>
      <c r="B19" s="536" t="str">
        <f>Jan!E23</f>
        <v>KHO, Jansen D.</v>
      </c>
      <c r="C19" s="535">
        <f t="shared" ca="1" si="0"/>
        <v>1</v>
      </c>
      <c r="D19" s="262">
        <f t="shared" ca="1" si="1"/>
        <v>1</v>
      </c>
    </row>
    <row r="20" spans="1:4">
      <c r="A20" s="534">
        <v>1</v>
      </c>
      <c r="B20" s="536" t="str">
        <f>Jan!E24</f>
        <v>CARACOL, Marwin</v>
      </c>
      <c r="C20" s="535">
        <f t="shared" ca="1" si="0"/>
        <v>0.96153846153846156</v>
      </c>
      <c r="D20" s="262">
        <f t="shared" ca="1" si="1"/>
        <v>1</v>
      </c>
    </row>
    <row r="21" spans="1:4">
      <c r="A21" s="534">
        <v>1</v>
      </c>
      <c r="B21" s="536" t="str">
        <f>Jan!E25</f>
        <v>CONSIGNA, Joel L.</v>
      </c>
      <c r="C21" s="535">
        <f t="shared" ca="1" si="0"/>
        <v>0.96153846153846156</v>
      </c>
      <c r="D21" s="262">
        <f t="shared" ca="1" si="1"/>
        <v>1</v>
      </c>
    </row>
    <row r="22" spans="1:4">
      <c r="A22" s="534">
        <v>1</v>
      </c>
      <c r="B22" s="536" t="str">
        <f>Jan!E26</f>
        <v>PEROL, Remart</v>
      </c>
      <c r="C22" s="535">
        <f t="shared" ca="1" si="0"/>
        <v>1</v>
      </c>
      <c r="D22" s="262">
        <f t="shared" ca="1" si="1"/>
        <v>1</v>
      </c>
    </row>
    <row r="23" spans="1:4">
      <c r="A23" s="534">
        <v>2</v>
      </c>
      <c r="B23" s="536" t="str">
        <f>Jan!E34</f>
        <v>NECESARIO, Christie P.</v>
      </c>
      <c r="C23" s="535">
        <f t="shared" ca="1" si="0"/>
        <v>1</v>
      </c>
      <c r="D23" s="262">
        <f t="shared" ca="1" si="1"/>
        <v>1</v>
      </c>
    </row>
    <row r="24" spans="1:4">
      <c r="A24" s="534">
        <v>2</v>
      </c>
      <c r="B24" s="536" t="str">
        <f>Jan!E35</f>
        <v>MARATAS, Ernie</v>
      </c>
      <c r="C24" s="535">
        <f t="shared" ca="1" si="0"/>
        <v>1</v>
      </c>
      <c r="D24" s="262">
        <f t="shared" ca="1" si="1"/>
        <v>1</v>
      </c>
    </row>
    <row r="25" spans="1:4">
      <c r="A25" s="534">
        <v>2</v>
      </c>
      <c r="B25" s="536" t="str">
        <f>Jan!E36</f>
        <v>COMPASIVO, Jomar</v>
      </c>
      <c r="C25" s="535">
        <f t="shared" ca="1" si="0"/>
        <v>1</v>
      </c>
      <c r="D25" s="262">
        <f t="shared" ca="1" si="1"/>
        <v>1</v>
      </c>
    </row>
    <row r="26" spans="1:4">
      <c r="A26" s="534">
        <v>2</v>
      </c>
      <c r="B26" s="536" t="str">
        <f>Jan!E37</f>
        <v>ROBLES, Felmir</v>
      </c>
      <c r="C26" s="535">
        <f t="shared" ca="1" si="0"/>
        <v>1</v>
      </c>
      <c r="D26" s="262">
        <f t="shared" ca="1" si="1"/>
        <v>1</v>
      </c>
    </row>
    <row r="27" spans="1:4">
      <c r="A27" s="534">
        <v>2</v>
      </c>
      <c r="B27" s="536" t="str">
        <f>Jan!E38</f>
        <v>BAYANG, Algemero</v>
      </c>
      <c r="C27" s="535">
        <f t="shared" ca="1" si="0"/>
        <v>1</v>
      </c>
      <c r="D27" s="262">
        <f t="shared" ca="1" si="1"/>
        <v>1</v>
      </c>
    </row>
    <row r="28" spans="1:4">
      <c r="A28" s="534">
        <v>2</v>
      </c>
      <c r="B28" s="536" t="str">
        <f>Jan!E39</f>
        <v>LUMAYNO, Junrey</v>
      </c>
      <c r="C28" s="535">
        <f t="shared" ca="1" si="0"/>
        <v>1</v>
      </c>
      <c r="D28" s="262">
        <f t="shared" ca="1" si="1"/>
        <v>1</v>
      </c>
    </row>
    <row r="29" spans="1:4">
      <c r="A29" s="534">
        <v>2</v>
      </c>
      <c r="B29" s="536" t="str">
        <f>Jan!E40</f>
        <v>BADIANG, Luciano Jr.</v>
      </c>
      <c r="C29" s="535">
        <f t="shared" ca="1" si="0"/>
        <v>1</v>
      </c>
      <c r="D29" s="262">
        <f t="shared" ca="1" si="1"/>
        <v>1</v>
      </c>
    </row>
    <row r="30" spans="1:4">
      <c r="A30" s="534">
        <v>2</v>
      </c>
      <c r="B30" s="536" t="str">
        <f>Jan!E41</f>
        <v>GALVEZ, Jaypoy</v>
      </c>
      <c r="C30" s="535">
        <f t="shared" ca="1" si="0"/>
        <v>1</v>
      </c>
      <c r="D30" s="262">
        <f t="shared" ca="1" si="1"/>
        <v>1</v>
      </c>
    </row>
    <row r="31" spans="1:4">
      <c r="A31" s="534">
        <v>2</v>
      </c>
      <c r="B31" s="536" t="str">
        <f>Jan!E42</f>
        <v>GIDA, Lenie Mae R.</v>
      </c>
      <c r="C31" s="535">
        <f t="shared" ca="1" si="0"/>
        <v>1</v>
      </c>
      <c r="D31" s="262">
        <f t="shared" ca="1" si="1"/>
        <v>1</v>
      </c>
    </row>
    <row r="32" spans="1:4">
      <c r="A32" s="534">
        <v>2</v>
      </c>
      <c r="B32" s="536" t="str">
        <f>Jan!E43</f>
        <v>WONG, Harold G.</v>
      </c>
      <c r="C32" s="535">
        <f t="shared" ca="1" si="0"/>
        <v>1</v>
      </c>
      <c r="D32" s="262">
        <f t="shared" ca="1" si="1"/>
        <v>1</v>
      </c>
    </row>
    <row r="33" spans="1:4">
      <c r="A33" s="534">
        <v>2</v>
      </c>
      <c r="B33" s="536" t="str">
        <f>Jan!E44</f>
        <v>BALACUIT, Jonesa Queen</v>
      </c>
      <c r="C33" s="535">
        <f t="shared" ca="1" si="0"/>
        <v>1</v>
      </c>
      <c r="D33" s="262">
        <f t="shared" ca="1" si="1"/>
        <v>1</v>
      </c>
    </row>
    <row r="34" spans="1:4">
      <c r="A34" s="534">
        <v>2</v>
      </c>
      <c r="B34" s="536" t="str">
        <f>Jan!E45</f>
        <v>ERCILLO, Marvin J.</v>
      </c>
      <c r="C34" s="535">
        <f t="shared" ca="1" si="0"/>
        <v>1</v>
      </c>
      <c r="D34" s="262">
        <f t="shared" ca="1" si="1"/>
        <v>1</v>
      </c>
    </row>
    <row r="35" spans="1:4">
      <c r="A35" s="534">
        <v>2</v>
      </c>
      <c r="B35" s="536" t="str">
        <f>Jan!E46</f>
        <v>PRESILDA, Winston</v>
      </c>
      <c r="C35" s="535">
        <f t="shared" ca="1" si="0"/>
        <v>1</v>
      </c>
      <c r="D35" s="262">
        <f t="shared" ca="1" si="1"/>
        <v>1</v>
      </c>
    </row>
    <row r="36" spans="1:4">
      <c r="A36" s="534">
        <v>2</v>
      </c>
      <c r="B36" s="536" t="str">
        <f>Jan!E47</f>
        <v>NASAYAO, Jesus</v>
      </c>
      <c r="C36" s="535">
        <f t="shared" ca="1" si="0"/>
        <v>1</v>
      </c>
      <c r="D36" s="262">
        <f t="shared" ca="1" si="1"/>
        <v>1</v>
      </c>
    </row>
    <row r="37" spans="1:4">
      <c r="A37" s="534">
        <v>2</v>
      </c>
      <c r="B37" s="536" t="str">
        <f>Jan!E48</f>
        <v>BALACUIT,  Prince Joewen</v>
      </c>
      <c r="C37" s="535">
        <f t="shared" ca="1" si="0"/>
        <v>1</v>
      </c>
      <c r="D37" s="262">
        <f t="shared" ca="1" si="1"/>
        <v>1</v>
      </c>
    </row>
    <row r="38" spans="1:4">
      <c r="A38" s="534">
        <v>2</v>
      </c>
      <c r="B38" s="536" t="str">
        <f>Jan!E49</f>
        <v>DELA PENA, Rapie S.</v>
      </c>
      <c r="C38" s="535">
        <f t="shared" ca="1" si="0"/>
        <v>1</v>
      </c>
      <c r="D38" s="262">
        <f t="shared" ca="1" si="1"/>
        <v>1</v>
      </c>
    </row>
    <row r="39" spans="1:4">
      <c r="A39" s="534">
        <v>2</v>
      </c>
      <c r="B39" s="536" t="str">
        <f>Jan!E50</f>
        <v>BUYO, Rico Jay</v>
      </c>
      <c r="C39" s="535">
        <f t="shared" ca="1" si="0"/>
        <v>1</v>
      </c>
      <c r="D39" s="262">
        <f t="shared" ca="1" si="1"/>
        <v>1</v>
      </c>
    </row>
    <row r="40" spans="1:4">
      <c r="A40" s="534">
        <v>2</v>
      </c>
      <c r="B40" s="536" t="str">
        <f>Jan!E51</f>
        <v>RUDIS, June Mar</v>
      </c>
      <c r="C40" s="535">
        <f t="shared" ca="1" si="0"/>
        <v>1</v>
      </c>
      <c r="D40" s="262">
        <f t="shared" ca="1" si="1"/>
        <v>1</v>
      </c>
    </row>
    <row r="41" spans="1:4">
      <c r="A41" s="534">
        <v>2</v>
      </c>
      <c r="B41" s="536" t="str">
        <f>Jan!E52</f>
        <v>GASAPO, Alladin</v>
      </c>
      <c r="C41" s="535">
        <f t="shared" ca="1" si="0"/>
        <v>1</v>
      </c>
      <c r="D41" s="262">
        <f t="shared" ca="1" si="1"/>
        <v>1</v>
      </c>
    </row>
    <row r="42" spans="1:4">
      <c r="A42" s="534">
        <v>2</v>
      </c>
      <c r="B42" s="536" t="str">
        <f>Jan!E53</f>
        <v>AMALIAS, Carlo</v>
      </c>
      <c r="C42" s="535">
        <f t="shared" ca="1" si="0"/>
        <v>1</v>
      </c>
      <c r="D42" s="262">
        <f t="shared" ca="1" si="1"/>
        <v>1</v>
      </c>
    </row>
    <row r="43" spans="1:4">
      <c r="A43" s="534">
        <v>2</v>
      </c>
      <c r="B43" s="536" t="str">
        <f>Jan!E54</f>
        <v>DAGASDAS, Gregorio Jr.</v>
      </c>
      <c r="C43" s="535">
        <f t="shared" ca="1" si="0"/>
        <v>1</v>
      </c>
      <c r="D43" s="262">
        <f t="shared" ca="1" si="1"/>
        <v>1</v>
      </c>
    </row>
    <row r="44" spans="1:4">
      <c r="A44" s="534">
        <v>3</v>
      </c>
      <c r="B44" s="536" t="str">
        <f>Jan!E62</f>
        <v>SIMBAJON, Sherman Nove B.</v>
      </c>
      <c r="C44" s="535">
        <f t="shared" ca="1" si="0"/>
        <v>1</v>
      </c>
      <c r="D44" s="262">
        <f t="shared" ca="1" si="1"/>
        <v>1</v>
      </c>
    </row>
    <row r="45" spans="1:4">
      <c r="A45" s="534">
        <v>3</v>
      </c>
      <c r="B45" s="536" t="str">
        <f>Jan!E63</f>
        <v>MORDENO, Chelsea</v>
      </c>
      <c r="C45" s="535">
        <f t="shared" ca="1" si="0"/>
        <v>1</v>
      </c>
      <c r="D45" s="262">
        <f t="shared" ca="1" si="1"/>
        <v>1</v>
      </c>
    </row>
    <row r="46" spans="1:4">
      <c r="A46" s="534">
        <v>3</v>
      </c>
      <c r="B46" s="536" t="str">
        <f>Jan!E64</f>
        <v>CORMINAL, Roland</v>
      </c>
      <c r="C46" s="535">
        <f t="shared" ca="1" si="0"/>
        <v>1</v>
      </c>
      <c r="D46" s="262">
        <f t="shared" ca="1" si="1"/>
        <v>1</v>
      </c>
    </row>
    <row r="47" spans="1:4">
      <c r="A47" s="534">
        <v>3</v>
      </c>
      <c r="B47" s="536" t="str">
        <f>Jan!E65</f>
        <v>MAGLINTE, Jerryll</v>
      </c>
      <c r="C47" s="535">
        <f t="shared" ca="1" si="0"/>
        <v>1</v>
      </c>
      <c r="D47" s="262">
        <f t="shared" ca="1" si="1"/>
        <v>1</v>
      </c>
    </row>
    <row r="48" spans="1:4">
      <c r="A48" s="534">
        <v>3</v>
      </c>
      <c r="B48" s="536" t="str">
        <f>Jan!E66</f>
        <v>MANILI, Jessie</v>
      </c>
      <c r="C48" s="535">
        <f t="shared" ca="1" si="0"/>
        <v>1</v>
      </c>
      <c r="D48" s="262">
        <f t="shared" ca="1" si="1"/>
        <v>1</v>
      </c>
    </row>
    <row r="49" spans="1:4">
      <c r="A49" s="534">
        <v>3</v>
      </c>
      <c r="B49" s="536" t="str">
        <f>Jan!E67</f>
        <v>CATONG, Abel</v>
      </c>
      <c r="C49" s="535">
        <f t="shared" ca="1" si="0"/>
        <v>1</v>
      </c>
      <c r="D49" s="262">
        <f t="shared" ca="1" si="1"/>
        <v>1</v>
      </c>
    </row>
    <row r="50" spans="1:4">
      <c r="A50" s="534">
        <v>3</v>
      </c>
      <c r="B50" s="536" t="str">
        <f>Jan!E68</f>
        <v xml:space="preserve">SAMONTINA, Michael Jhun </v>
      </c>
      <c r="C50" s="535">
        <f t="shared" ca="1" si="0"/>
        <v>1</v>
      </c>
      <c r="D50" s="262">
        <f t="shared" ca="1" si="1"/>
        <v>1</v>
      </c>
    </row>
    <row r="51" spans="1:4">
      <c r="A51" s="534">
        <v>3</v>
      </c>
      <c r="B51" s="536" t="str">
        <f>Jan!E69</f>
        <v xml:space="preserve">DEGOLTO, Joel </v>
      </c>
      <c r="C51" s="535">
        <f t="shared" ca="1" si="0"/>
        <v>1</v>
      </c>
      <c r="D51" s="262">
        <f t="shared" ca="1" si="1"/>
        <v>1</v>
      </c>
    </row>
    <row r="52" spans="1:4">
      <c r="A52" s="534">
        <v>3</v>
      </c>
      <c r="B52" s="536" t="str">
        <f>Jan!E70</f>
        <v>TAYOR,  Rocar John Paul P.</v>
      </c>
      <c r="C52" s="535">
        <f t="shared" ca="1" si="0"/>
        <v>1</v>
      </c>
      <c r="D52" s="262">
        <f t="shared" ca="1" si="1"/>
        <v>1</v>
      </c>
    </row>
    <row r="53" spans="1:4">
      <c r="A53" s="534">
        <v>3</v>
      </c>
      <c r="B53" s="536" t="str">
        <f>Jan!E71</f>
        <v>CAMINO, Jyzl E.</v>
      </c>
      <c r="C53" s="535">
        <f t="shared" ca="1" si="0"/>
        <v>1</v>
      </c>
      <c r="D53" s="262">
        <f t="shared" ca="1" si="1"/>
        <v>1</v>
      </c>
    </row>
    <row r="54" spans="1:4">
      <c r="A54" s="534">
        <v>3</v>
      </c>
      <c r="B54" s="536" t="str">
        <f>Jan!E72</f>
        <v>COCAMAS, Louie R</v>
      </c>
      <c r="C54" s="535">
        <f t="shared" ca="1" si="0"/>
        <v>0.96</v>
      </c>
      <c r="D54" s="262">
        <f t="shared" ca="1" si="1"/>
        <v>0.75</v>
      </c>
    </row>
    <row r="55" spans="1:4">
      <c r="A55" s="534">
        <v>3</v>
      </c>
      <c r="B55" s="536" t="str">
        <f>Jan!E73</f>
        <v>NECESARIO, Nhergil</v>
      </c>
      <c r="C55" s="535">
        <f t="shared" ca="1" si="0"/>
        <v>1</v>
      </c>
      <c r="D55" s="262">
        <f t="shared" ca="1" si="1"/>
        <v>0.875</v>
      </c>
    </row>
    <row r="56" spans="1:4">
      <c r="A56" s="534">
        <v>3</v>
      </c>
      <c r="B56" s="536" t="str">
        <f>Jan!E74</f>
        <v>OCON, Jonathan P.</v>
      </c>
      <c r="C56" s="535">
        <f t="shared" ca="1" si="0"/>
        <v>0.96153846153846156</v>
      </c>
      <c r="D56" s="262">
        <f t="shared" ca="1" si="1"/>
        <v>1</v>
      </c>
    </row>
    <row r="57" spans="1:4">
      <c r="A57" s="534">
        <v>3</v>
      </c>
      <c r="B57" s="536" t="str">
        <f>Jan!E75</f>
        <v>DOCOR, Romeo</v>
      </c>
      <c r="C57" s="535">
        <f t="shared" ca="1" si="0"/>
        <v>1</v>
      </c>
      <c r="D57" s="262">
        <f t="shared" ca="1" si="1"/>
        <v>1</v>
      </c>
    </row>
    <row r="58" spans="1:4">
      <c r="A58" s="534">
        <v>3</v>
      </c>
      <c r="B58" s="536" t="str">
        <f>Jan!E76</f>
        <v>VALLEJOS, Ronelo</v>
      </c>
      <c r="C58" s="535">
        <f t="shared" ca="1" si="0"/>
        <v>1</v>
      </c>
      <c r="D58" s="262">
        <f t="shared" ca="1" si="1"/>
        <v>0.8571428571428571</v>
      </c>
    </row>
    <row r="59" spans="1:4">
      <c r="A59" s="534">
        <v>3</v>
      </c>
      <c r="B59" s="536" t="str">
        <f>Jan!E77</f>
        <v xml:space="preserve">GALENDEZ, Reyden </v>
      </c>
      <c r="C59" s="535">
        <f t="shared" ca="1" si="0"/>
        <v>1</v>
      </c>
      <c r="D59" s="262">
        <f t="shared" ca="1" si="1"/>
        <v>1</v>
      </c>
    </row>
    <row r="60" spans="1:4">
      <c r="A60" s="534">
        <v>3</v>
      </c>
      <c r="B60" s="536" t="str">
        <f>Jan!E78</f>
        <v>CERIO, Jenny Mae A.</v>
      </c>
      <c r="C60" s="535">
        <f t="shared" ca="1" si="0"/>
        <v>1</v>
      </c>
      <c r="D60" s="262">
        <f t="shared" ca="1" si="1"/>
        <v>1</v>
      </c>
    </row>
    <row r="61" spans="1:4">
      <c r="A61" s="534">
        <v>3</v>
      </c>
      <c r="B61" s="536" t="str">
        <f>Jan!E79</f>
        <v>LAPINING, Sanny Boy S.</v>
      </c>
      <c r="C61" s="535">
        <f t="shared" ca="1" si="0"/>
        <v>1</v>
      </c>
      <c r="D61" s="262">
        <f t="shared" ca="1" si="1"/>
        <v>1</v>
      </c>
    </row>
    <row r="62" spans="1:4">
      <c r="A62" s="534">
        <v>3</v>
      </c>
      <c r="B62" s="536" t="str">
        <f>Jan!E80</f>
        <v>SANCHEZ, Pablo</v>
      </c>
      <c r="C62" s="535">
        <f t="shared" ca="1" si="0"/>
        <v>1</v>
      </c>
      <c r="D62" s="262">
        <f t="shared" ca="1" si="1"/>
        <v>1</v>
      </c>
    </row>
    <row r="63" spans="1:4">
      <c r="A63" s="534">
        <v>3</v>
      </c>
      <c r="B63" s="536" t="str">
        <f>Jan!E81</f>
        <v>GALOS, Marlon</v>
      </c>
      <c r="C63" s="535">
        <f t="shared" ca="1" si="0"/>
        <v>0.90909090909090906</v>
      </c>
      <c r="D63" s="262">
        <f t="shared" ca="1" si="1"/>
        <v>1</v>
      </c>
    </row>
    <row r="64" spans="1:4">
      <c r="A64" s="534">
        <v>4</v>
      </c>
      <c r="B64" s="537" t="str">
        <f>Jan!E85</f>
        <v>ELLO, Janine</v>
      </c>
      <c r="C64" s="535">
        <f t="shared" ca="1" si="0"/>
        <v>1</v>
      </c>
      <c r="D64" s="262">
        <f t="shared" ca="1" si="1"/>
        <v>1</v>
      </c>
    </row>
    <row r="65" spans="1:4">
      <c r="A65" s="534">
        <v>4</v>
      </c>
      <c r="B65" s="537" t="str">
        <f>Jan!E86</f>
        <v>URBIZTONDO, Grace</v>
      </c>
      <c r="C65" s="535">
        <f t="shared" ca="1" si="0"/>
        <v>1</v>
      </c>
      <c r="D65" s="262">
        <f t="shared" ca="1" si="1"/>
        <v>1</v>
      </c>
    </row>
    <row r="66" spans="1:4">
      <c r="A66" s="534">
        <v>4</v>
      </c>
      <c r="B66" s="537" t="str">
        <f>Jan!E87</f>
        <v>LAUREJAS, Eduardo Jr. A.</v>
      </c>
      <c r="C66" s="535">
        <f t="shared" ca="1" si="0"/>
        <v>1</v>
      </c>
      <c r="D66" s="262">
        <f t="shared" ca="1" si="1"/>
        <v>0.875</v>
      </c>
    </row>
    <row r="67" spans="1:4">
      <c r="A67" s="534">
        <v>4</v>
      </c>
      <c r="B67" s="537" t="str">
        <f>Jan!E88</f>
        <v>ROSILLO, King Mark</v>
      </c>
      <c r="C67" s="535">
        <f t="shared" ref="C67:C84" ca="1" si="2">INDEX(INDIRECT($C$1 &amp; "!AM:AM"), MATCH(B67, INDIRECT($C$1 &amp; "!E:E"), 0))</f>
        <v>1</v>
      </c>
      <c r="D67" s="262">
        <f t="shared" ref="D67:D84" ca="1" si="3">INDEX(INDIRECT($D$1 &amp; "!Aj:Aj"), MATCH(B67, INDIRECT($D$1 &amp; "!E:E"), 0))</f>
        <v>1</v>
      </c>
    </row>
    <row r="68" spans="1:4">
      <c r="A68" s="534">
        <v>4</v>
      </c>
      <c r="B68" s="537" t="str">
        <f>Jan!E89</f>
        <v>PADILLA, Chris Anthony</v>
      </c>
      <c r="C68" s="535">
        <f t="shared" ca="1" si="2"/>
        <v>1</v>
      </c>
      <c r="D68" s="262">
        <f t="shared" ca="1" si="3"/>
        <v>1</v>
      </c>
    </row>
    <row r="69" spans="1:4">
      <c r="A69" s="534">
        <v>4</v>
      </c>
      <c r="B69" s="537" t="str">
        <f>Jan!E90</f>
        <v>SOLAR, Ricardo Jr.</v>
      </c>
      <c r="C69" s="535">
        <f t="shared" ca="1" si="2"/>
        <v>0.92592592592592593</v>
      </c>
      <c r="D69" s="262">
        <f t="shared" ca="1" si="3"/>
        <v>0.875</v>
      </c>
    </row>
    <row r="70" spans="1:4">
      <c r="A70" s="534">
        <v>4</v>
      </c>
      <c r="B70" s="537" t="str">
        <f>Jan!E91</f>
        <v>SALABE, Mando C.</v>
      </c>
      <c r="C70" s="535">
        <f t="shared" ca="1" si="2"/>
        <v>0.96296296296296291</v>
      </c>
      <c r="D70" s="262">
        <f t="shared" ca="1" si="3"/>
        <v>1</v>
      </c>
    </row>
    <row r="71" spans="1:4">
      <c r="A71" s="534">
        <v>4</v>
      </c>
      <c r="B71" s="537" t="str">
        <f>Jan!E92</f>
        <v>CALIMBO, Romel</v>
      </c>
      <c r="C71" s="535">
        <f t="shared" ca="1" si="2"/>
        <v>1</v>
      </c>
      <c r="D71" s="262">
        <f t="shared" ca="1" si="3"/>
        <v>1</v>
      </c>
    </row>
    <row r="72" spans="1:4">
      <c r="A72" s="534">
        <v>4</v>
      </c>
      <c r="B72" s="537" t="str">
        <f>Jan!E93</f>
        <v>EUPEÑA. Joshua</v>
      </c>
      <c r="C72" s="535">
        <f t="shared" ca="1" si="2"/>
        <v>0.92592592592592593</v>
      </c>
      <c r="D72" s="262">
        <f t="shared" ca="1" si="3"/>
        <v>1</v>
      </c>
    </row>
    <row r="73" spans="1:4">
      <c r="A73" s="534">
        <v>4</v>
      </c>
      <c r="B73" s="537" t="str">
        <f>Jan!E94</f>
        <v>LAURON, Dini Daw M.</v>
      </c>
      <c r="C73" s="535">
        <f t="shared" ca="1" si="2"/>
        <v>1</v>
      </c>
      <c r="D73" s="262">
        <f t="shared" ca="1" si="3"/>
        <v>1</v>
      </c>
    </row>
    <row r="74" spans="1:4">
      <c r="A74" s="534">
        <v>4</v>
      </c>
      <c r="B74" s="537" t="str">
        <f>Jan!E95</f>
        <v>ANIB, Karl Patrick S.</v>
      </c>
      <c r="C74" s="535">
        <f t="shared" ca="1" si="2"/>
        <v>0.92307692307692313</v>
      </c>
      <c r="D74" s="262">
        <f t="shared" ca="1" si="3"/>
        <v>1</v>
      </c>
    </row>
    <row r="75" spans="1:4">
      <c r="A75" s="534">
        <v>4</v>
      </c>
      <c r="B75" s="537" t="str">
        <f>Jan!E96</f>
        <v xml:space="preserve">SALON, Michael </v>
      </c>
      <c r="C75" s="535">
        <f t="shared" ca="1" si="2"/>
        <v>0.96296296296296291</v>
      </c>
      <c r="D75" s="262">
        <f t="shared" ca="1" si="3"/>
        <v>1</v>
      </c>
    </row>
    <row r="76" spans="1:4">
      <c r="A76" s="534">
        <v>4</v>
      </c>
      <c r="B76" s="537" t="str">
        <f>Jan!E97</f>
        <v>DELCORRO, Edgar S., Jr.</v>
      </c>
      <c r="C76" s="535">
        <f t="shared" ca="1" si="2"/>
        <v>1</v>
      </c>
      <c r="D76" s="262">
        <f t="shared" ca="1" si="3"/>
        <v>1</v>
      </c>
    </row>
    <row r="77" spans="1:4">
      <c r="A77" s="534">
        <v>4</v>
      </c>
      <c r="B77" s="537" t="str">
        <f>Jan!E98</f>
        <v xml:space="preserve">SERAFIN, Fortunato L. Jr. </v>
      </c>
      <c r="C77" s="535">
        <f t="shared" ca="1" si="2"/>
        <v>1</v>
      </c>
      <c r="D77" s="262">
        <f t="shared" ca="1" si="3"/>
        <v>1</v>
      </c>
    </row>
    <row r="78" spans="1:4">
      <c r="A78" s="534">
        <v>4</v>
      </c>
      <c r="B78" s="537" t="str">
        <f>Jan!E99</f>
        <v>ROZAL, DJ O.</v>
      </c>
      <c r="C78" s="535">
        <f t="shared" ca="1" si="2"/>
        <v>1</v>
      </c>
      <c r="D78" s="262">
        <f t="shared" ca="1" si="3"/>
        <v>1</v>
      </c>
    </row>
    <row r="79" spans="1:4">
      <c r="A79" s="534">
        <v>4</v>
      </c>
      <c r="B79" s="537" t="str">
        <f>Jan!E100</f>
        <v>JORTA, Jowei C.</v>
      </c>
      <c r="C79" s="535">
        <f t="shared" ca="1" si="2"/>
        <v>1</v>
      </c>
      <c r="D79" s="262">
        <f t="shared" ca="1" si="3"/>
        <v>0.875</v>
      </c>
    </row>
    <row r="80" spans="1:4">
      <c r="A80" s="534">
        <v>4</v>
      </c>
      <c r="B80" s="537" t="str">
        <f>Jan!E101</f>
        <v>NASAYAO, Dionesio</v>
      </c>
      <c r="C80" s="535">
        <f t="shared" ca="1" si="2"/>
        <v>1</v>
      </c>
      <c r="D80" s="262">
        <f t="shared" ca="1" si="3"/>
        <v>1</v>
      </c>
    </row>
    <row r="81" spans="1:4">
      <c r="A81" s="534">
        <v>4</v>
      </c>
      <c r="B81" s="537" t="str">
        <f>Jan!E102</f>
        <v>GRAN, April Jane</v>
      </c>
      <c r="C81" s="535">
        <f t="shared" ca="1" si="2"/>
        <v>1</v>
      </c>
      <c r="D81" s="262">
        <f t="shared" ca="1" si="3"/>
        <v>1</v>
      </c>
    </row>
    <row r="82" spans="1:4">
      <c r="A82" s="534">
        <v>4</v>
      </c>
      <c r="B82" s="537" t="str">
        <f>Jan!E103</f>
        <v>YAMIT, John Paul P.</v>
      </c>
      <c r="C82" s="535">
        <f t="shared" ca="1" si="2"/>
        <v>0.96153846153846156</v>
      </c>
      <c r="D82" s="262">
        <f t="shared" ca="1" si="3"/>
        <v>1</v>
      </c>
    </row>
    <row r="83" spans="1:4">
      <c r="A83" s="534">
        <v>4</v>
      </c>
      <c r="B83" s="537" t="str">
        <f>Jan!E104</f>
        <v>DECAP, Anthony</v>
      </c>
      <c r="C83" s="535">
        <f t="shared" ca="1" si="2"/>
        <v>1</v>
      </c>
      <c r="D83" s="262">
        <f t="shared" ca="1" si="3"/>
        <v>1</v>
      </c>
    </row>
    <row r="84" spans="1:4">
      <c r="A84" s="534">
        <v>4</v>
      </c>
      <c r="B84" s="537" t="str">
        <f>Jan!E105</f>
        <v>PATINO, Hernan L.</v>
      </c>
      <c r="C84" s="535">
        <f t="shared" ca="1" si="2"/>
        <v>0.96153846153846156</v>
      </c>
      <c r="D84" s="262">
        <f t="shared" ca="1" si="3"/>
        <v>1</v>
      </c>
    </row>
    <row r="86" spans="1:4">
      <c r="B86" s="536" t="s">
        <v>394</v>
      </c>
      <c r="C86" s="540">
        <f ca="1">C88/C89</f>
        <v>0.95180722891566261</v>
      </c>
    </row>
    <row r="87" spans="1:4">
      <c r="B87" s="536" t="s">
        <v>391</v>
      </c>
      <c r="C87" s="534">
        <f ca="1">COUNTIF(C2:C84,1)</f>
        <v>68</v>
      </c>
    </row>
    <row r="88" spans="1:4">
      <c r="B88" s="536" t="s">
        <v>392</v>
      </c>
      <c r="C88" s="534">
        <f ca="1">COUNTIF(C2:C84,"&gt;0.95")</f>
        <v>79</v>
      </c>
    </row>
    <row r="89" spans="1:4">
      <c r="B89" s="536" t="s">
        <v>267</v>
      </c>
      <c r="C89" s="534">
        <f>COUNTA(B2:B84)</f>
        <v>83</v>
      </c>
    </row>
    <row r="91" spans="1:4">
      <c r="B91" s="538">
        <v>0.95</v>
      </c>
      <c r="C91" s="535">
        <f ca="1">C88/C89</f>
        <v>0.95180722891566261</v>
      </c>
    </row>
    <row r="92" spans="1:4">
      <c r="B92" s="538">
        <v>1</v>
      </c>
      <c r="C92" s="535">
        <f ca="1">C87/C89</f>
        <v>0.81927710843373491</v>
      </c>
    </row>
    <row r="94" spans="1:4">
      <c r="B94" s="536">
        <v>1</v>
      </c>
      <c r="C94" s="539">
        <f ca="1">AVERAGEIF(A2:$A$84,B94,$C$2:C84)</f>
        <v>0.99076923076923051</v>
      </c>
    </row>
    <row r="95" spans="1:4">
      <c r="B95" s="536">
        <v>2</v>
      </c>
      <c r="C95" s="539">
        <f ca="1">AVERAGEIF(A3:$A$84,B95,$C$2:C85)</f>
        <v>1</v>
      </c>
    </row>
    <row r="96" spans="1:4">
      <c r="B96" s="536">
        <v>3</v>
      </c>
      <c r="C96" s="539">
        <f ca="1">AVERAGEIF(A4:$A$84,B96,$C$2:C86)</f>
        <v>0.99607692307692308</v>
      </c>
    </row>
    <row r="97" spans="2:3">
      <c r="B97" s="536">
        <v>4</v>
      </c>
      <c r="C97" s="539">
        <f ca="1">AVERAGEIF(A5:$A$84,B97,$C$2:C87)</f>
        <v>0.98142598142598148</v>
      </c>
    </row>
    <row r="99" spans="2:3">
      <c r="B99" s="536" t="s">
        <v>393</v>
      </c>
    </row>
    <row r="100" spans="2:3">
      <c r="B100" s="536">
        <v>1</v>
      </c>
      <c r="C100" s="534">
        <f ca="1">COUNTIFS($A$2:$A$84,B100,$C$2:$C$84,1)</f>
        <v>16</v>
      </c>
    </row>
    <row r="101" spans="2:3">
      <c r="B101" s="536">
        <v>2</v>
      </c>
      <c r="C101" s="534">
        <f t="shared" ref="C101:C103" ca="1" si="4">COUNTIFS($A$2:$A$84,B101,$C$2:$C$84,1)</f>
        <v>21</v>
      </c>
    </row>
    <row r="102" spans="2:3">
      <c r="B102" s="536">
        <v>3</v>
      </c>
      <c r="C102" s="534">
        <f t="shared" ca="1" si="4"/>
        <v>17</v>
      </c>
    </row>
    <row r="103" spans="2:3">
      <c r="B103" s="536">
        <v>4</v>
      </c>
      <c r="C103" s="534">
        <f t="shared" ca="1" si="4"/>
        <v>14</v>
      </c>
    </row>
  </sheetData>
  <autoFilter ref="A1:E84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8" r:id="rId3" name="CommandButton1">
          <controlPr defaultSize="0" autoLine="0" r:id="rId4">
            <anchor moveWithCells="1">
              <from>
                <xdr:col>17</xdr:col>
                <xdr:colOff>200025</xdr:colOff>
                <xdr:row>3</xdr:row>
                <xdr:rowOff>9525</xdr:rowOff>
              </from>
              <to>
                <xdr:col>18</xdr:col>
                <xdr:colOff>542925</xdr:colOff>
                <xdr:row>5</xdr:row>
                <xdr:rowOff>95250</xdr:rowOff>
              </to>
            </anchor>
          </controlPr>
        </control>
      </mc:Choice>
      <mc:Fallback>
        <control shapeId="146438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rgb="FF00B050"/>
  </sheetPr>
  <dimension ref="A1:BC121"/>
  <sheetViews>
    <sheetView showGridLines="0" view="pageBreakPreview" zoomScale="60" zoomScaleNormal="70" workbookViewId="0">
      <pane xSplit="6" ySplit="4" topLeftCell="G11" activePane="bottomRight" state="frozen"/>
      <selection activeCell="D5" sqref="D5"/>
      <selection pane="topRight" activeCell="D5" sqref="D5"/>
      <selection pane="bottomLeft" activeCell="D5" sqref="D5"/>
      <selection pane="bottomRight" activeCell="E34" sqref="E34"/>
    </sheetView>
  </sheetViews>
  <sheetFormatPr defaultColWidth="9.42578125" defaultRowHeight="25.35" customHeight="1"/>
  <cols>
    <col min="1" max="1" width="9.42578125" style="2"/>
    <col min="2" max="2" width="7.42578125" style="45" customWidth="1"/>
    <col min="3" max="3" width="5.5703125" style="45" customWidth="1"/>
    <col min="4" max="4" width="6.28515625" style="2" customWidth="1"/>
    <col min="5" max="5" width="45.5703125" style="2" customWidth="1"/>
    <col min="6" max="6" width="9.42578125" style="2" customWidth="1"/>
    <col min="7" max="26" width="6.42578125" style="2" customWidth="1"/>
    <col min="27" max="27" width="6.5703125" style="2" customWidth="1"/>
    <col min="28" max="36" width="6.42578125" style="2" customWidth="1"/>
    <col min="37" max="37" width="5.85546875" style="2" customWidth="1"/>
    <col min="38" max="38" width="5.42578125" style="2" hidden="1" customWidth="1"/>
    <col min="39" max="40" width="15.5703125" style="2" customWidth="1"/>
    <col min="41" max="42" width="5.5703125" style="2" customWidth="1"/>
    <col min="43" max="44" width="5.5703125" style="2" hidden="1" customWidth="1"/>
    <col min="45" max="45" width="7.5703125" style="2" hidden="1" customWidth="1"/>
    <col min="46" max="46" width="10.5703125" style="18" hidden="1" customWidth="1"/>
    <col min="47" max="47" width="5.5703125" style="2" hidden="1" customWidth="1"/>
    <col min="48" max="48" width="5.5703125" style="18" hidden="1" customWidth="1"/>
    <col min="49" max="49" width="13" style="2" hidden="1" customWidth="1"/>
    <col min="50" max="50" width="14.42578125" style="2" hidden="1" customWidth="1"/>
    <col min="51" max="51" width="11.42578125" style="2" hidden="1" customWidth="1"/>
    <col min="52" max="53" width="9.42578125" style="2" hidden="1" customWidth="1"/>
    <col min="54" max="16384" width="9.42578125" style="2"/>
  </cols>
  <sheetData>
    <row r="1" spans="1:53" ht="25.35" customHeight="1" thickBot="1">
      <c r="B1" s="46"/>
      <c r="C1" s="46"/>
      <c r="F1" s="507">
        <f>G3-1</f>
        <v>45657</v>
      </c>
    </row>
    <row r="2" spans="1:53" ht="25.35" customHeight="1">
      <c r="B2" s="46"/>
      <c r="C2" s="46"/>
      <c r="D2" s="575" t="s">
        <v>53</v>
      </c>
      <c r="E2" s="576"/>
      <c r="F2" s="156" t="s">
        <v>13</v>
      </c>
      <c r="G2" s="581" t="s">
        <v>214</v>
      </c>
      <c r="H2" s="582"/>
      <c r="I2" s="582"/>
      <c r="J2" s="582"/>
      <c r="K2" s="582"/>
      <c r="L2" s="582"/>
      <c r="M2" s="582"/>
      <c r="N2" s="582"/>
      <c r="O2" s="582"/>
      <c r="P2" s="582"/>
      <c r="Q2" s="582"/>
      <c r="R2" s="582"/>
      <c r="S2" s="582"/>
      <c r="T2" s="582"/>
      <c r="U2" s="582"/>
      <c r="V2" s="582"/>
      <c r="W2" s="582"/>
      <c r="X2" s="582"/>
      <c r="Y2" s="582"/>
      <c r="Z2" s="582"/>
      <c r="AA2" s="582"/>
      <c r="AB2" s="582"/>
      <c r="AC2" s="582"/>
      <c r="AD2" s="582"/>
      <c r="AE2" s="582"/>
      <c r="AF2" s="582"/>
      <c r="AG2" s="582"/>
      <c r="AH2" s="582"/>
      <c r="AI2" s="582"/>
      <c r="AJ2" s="582"/>
      <c r="AK2" s="582"/>
      <c r="AL2" s="582"/>
      <c r="AM2" s="157" t="s">
        <v>57</v>
      </c>
      <c r="AN2" s="158" t="s">
        <v>16</v>
      </c>
      <c r="AT2" s="2"/>
      <c r="AV2" s="2"/>
    </row>
    <row r="3" spans="1:53" ht="25.35" customHeight="1">
      <c r="B3" s="46"/>
      <c r="C3" s="46"/>
      <c r="D3" s="577"/>
      <c r="E3" s="578"/>
      <c r="F3" s="71" t="s">
        <v>14</v>
      </c>
      <c r="G3" s="72">
        <v>45658</v>
      </c>
      <c r="H3" s="508">
        <f>G3+1</f>
        <v>45659</v>
      </c>
      <c r="I3" s="508">
        <f t="shared" ref="I3:AL3" si="0">H3+1</f>
        <v>45660</v>
      </c>
      <c r="J3" s="508">
        <f t="shared" si="0"/>
        <v>45661</v>
      </c>
      <c r="K3" s="508">
        <f t="shared" si="0"/>
        <v>45662</v>
      </c>
      <c r="L3" s="508">
        <f t="shared" si="0"/>
        <v>45663</v>
      </c>
      <c r="M3" s="508">
        <f t="shared" si="0"/>
        <v>45664</v>
      </c>
      <c r="N3" s="508">
        <f t="shared" si="0"/>
        <v>45665</v>
      </c>
      <c r="O3" s="508">
        <f t="shared" si="0"/>
        <v>45666</v>
      </c>
      <c r="P3" s="508">
        <f t="shared" si="0"/>
        <v>45667</v>
      </c>
      <c r="Q3" s="508">
        <f t="shared" si="0"/>
        <v>45668</v>
      </c>
      <c r="R3" s="508">
        <f t="shared" si="0"/>
        <v>45669</v>
      </c>
      <c r="S3" s="508">
        <f t="shared" si="0"/>
        <v>45670</v>
      </c>
      <c r="T3" s="508">
        <f t="shared" si="0"/>
        <v>45671</v>
      </c>
      <c r="U3" s="508">
        <f t="shared" si="0"/>
        <v>45672</v>
      </c>
      <c r="V3" s="508">
        <f t="shared" si="0"/>
        <v>45673</v>
      </c>
      <c r="W3" s="508">
        <f t="shared" si="0"/>
        <v>45674</v>
      </c>
      <c r="X3" s="508">
        <f t="shared" si="0"/>
        <v>45675</v>
      </c>
      <c r="Y3" s="508">
        <f t="shared" si="0"/>
        <v>45676</v>
      </c>
      <c r="Z3" s="508">
        <f t="shared" si="0"/>
        <v>45677</v>
      </c>
      <c r="AA3" s="508">
        <f t="shared" si="0"/>
        <v>45678</v>
      </c>
      <c r="AB3" s="508">
        <f t="shared" si="0"/>
        <v>45679</v>
      </c>
      <c r="AC3" s="508">
        <f t="shared" si="0"/>
        <v>45680</v>
      </c>
      <c r="AD3" s="508">
        <f t="shared" si="0"/>
        <v>45681</v>
      </c>
      <c r="AE3" s="508">
        <f t="shared" si="0"/>
        <v>45682</v>
      </c>
      <c r="AF3" s="508">
        <f t="shared" si="0"/>
        <v>45683</v>
      </c>
      <c r="AG3" s="508">
        <f t="shared" si="0"/>
        <v>45684</v>
      </c>
      <c r="AH3" s="508">
        <f t="shared" si="0"/>
        <v>45685</v>
      </c>
      <c r="AI3" s="508">
        <f t="shared" si="0"/>
        <v>45686</v>
      </c>
      <c r="AJ3" s="508">
        <f>AI3+1</f>
        <v>45687</v>
      </c>
      <c r="AK3" s="508">
        <f>AJ3+1</f>
        <v>45688</v>
      </c>
      <c r="AL3" s="508">
        <f t="shared" si="0"/>
        <v>45689</v>
      </c>
      <c r="AM3" s="73" t="s">
        <v>58</v>
      </c>
      <c r="AN3" s="583" t="s">
        <v>56</v>
      </c>
      <c r="AT3" s="2"/>
      <c r="AV3" s="2"/>
    </row>
    <row r="4" spans="1:53" ht="25.35" customHeight="1" thickBot="1">
      <c r="B4" s="46"/>
      <c r="C4" s="46"/>
      <c r="D4" s="579"/>
      <c r="E4" s="580"/>
      <c r="F4" s="159" t="s">
        <v>15</v>
      </c>
      <c r="G4" s="21" t="s">
        <v>200</v>
      </c>
      <c r="H4" s="21" t="s">
        <v>201</v>
      </c>
      <c r="I4" s="21" t="s">
        <v>202</v>
      </c>
      <c r="J4" s="21" t="s">
        <v>196</v>
      </c>
      <c r="K4" s="21" t="s">
        <v>197</v>
      </c>
      <c r="L4" s="21" t="s">
        <v>198</v>
      </c>
      <c r="M4" s="21" t="s">
        <v>199</v>
      </c>
      <c r="N4" s="21" t="s">
        <v>200</v>
      </c>
      <c r="O4" s="21" t="s">
        <v>201</v>
      </c>
      <c r="P4" s="21" t="s">
        <v>202</v>
      </c>
      <c r="Q4" s="21" t="s">
        <v>196</v>
      </c>
      <c r="R4" s="21" t="s">
        <v>197</v>
      </c>
      <c r="S4" s="21" t="s">
        <v>198</v>
      </c>
      <c r="T4" s="21" t="s">
        <v>199</v>
      </c>
      <c r="U4" s="21" t="s">
        <v>200</v>
      </c>
      <c r="V4" s="21" t="s">
        <v>201</v>
      </c>
      <c r="W4" s="21" t="s">
        <v>202</v>
      </c>
      <c r="X4" s="21" t="s">
        <v>196</v>
      </c>
      <c r="Y4" s="21" t="s">
        <v>197</v>
      </c>
      <c r="Z4" s="21" t="s">
        <v>198</v>
      </c>
      <c r="AA4" s="21" t="s">
        <v>199</v>
      </c>
      <c r="AB4" s="21" t="s">
        <v>200</v>
      </c>
      <c r="AC4" s="21" t="s">
        <v>201</v>
      </c>
      <c r="AD4" s="21" t="s">
        <v>202</v>
      </c>
      <c r="AE4" s="21" t="s">
        <v>196</v>
      </c>
      <c r="AF4" s="21" t="s">
        <v>197</v>
      </c>
      <c r="AG4" s="21" t="s">
        <v>198</v>
      </c>
      <c r="AH4" s="21" t="s">
        <v>199</v>
      </c>
      <c r="AI4" s="21" t="s">
        <v>200</v>
      </c>
      <c r="AJ4" s="21" t="s">
        <v>201</v>
      </c>
      <c r="AK4" s="21" t="s">
        <v>202</v>
      </c>
      <c r="AL4" s="21" t="s">
        <v>202</v>
      </c>
      <c r="AM4" s="160" t="s">
        <v>59</v>
      </c>
      <c r="AN4" s="584"/>
      <c r="AT4" s="2"/>
      <c r="AV4" s="2"/>
    </row>
    <row r="5" spans="1:53" ht="30" customHeight="1" thickBot="1">
      <c r="C5" s="47" t="s">
        <v>164</v>
      </c>
      <c r="D5" s="565" t="str">
        <f>IF(COUNTIF(Jan!AM6:AM105, "&lt;100%")=0, Jan!E6, "")</f>
        <v/>
      </c>
      <c r="E5" s="566"/>
      <c r="F5" s="155"/>
      <c r="G5" s="476"/>
      <c r="H5" s="477"/>
      <c r="I5" s="477"/>
      <c r="J5" s="477" t="s">
        <v>372</v>
      </c>
      <c r="K5" s="477" t="s">
        <v>372</v>
      </c>
      <c r="L5" s="477" t="s">
        <v>372</v>
      </c>
      <c r="M5" s="477" t="s">
        <v>372</v>
      </c>
      <c r="N5" s="493"/>
      <c r="O5" s="477" t="s">
        <v>372</v>
      </c>
      <c r="P5" s="477" t="s">
        <v>377</v>
      </c>
      <c r="Q5" s="477" t="s">
        <v>377</v>
      </c>
      <c r="R5" s="477" t="s">
        <v>377</v>
      </c>
      <c r="S5" s="477" t="s">
        <v>377</v>
      </c>
      <c r="T5" s="477"/>
      <c r="U5" s="477"/>
      <c r="V5" s="477" t="s">
        <v>377</v>
      </c>
      <c r="W5" s="477" t="s">
        <v>377</v>
      </c>
      <c r="X5" s="477" t="s">
        <v>377</v>
      </c>
      <c r="Y5" s="477" t="s">
        <v>377</v>
      </c>
      <c r="Z5" s="477" t="s">
        <v>377</v>
      </c>
      <c r="AA5" s="477"/>
      <c r="AB5" s="477" t="s">
        <v>377</v>
      </c>
      <c r="AC5" s="477" t="s">
        <v>372</v>
      </c>
      <c r="AD5" s="477" t="s">
        <v>377</v>
      </c>
      <c r="AE5" s="477" t="s">
        <v>372</v>
      </c>
      <c r="AF5" s="477" t="s">
        <v>377</v>
      </c>
      <c r="AG5" s="477" t="s">
        <v>380</v>
      </c>
      <c r="AH5" s="477"/>
      <c r="AI5" s="477" t="s">
        <v>377</v>
      </c>
      <c r="AJ5" s="477" t="s">
        <v>372</v>
      </c>
      <c r="AK5" s="477" t="s">
        <v>377</v>
      </c>
      <c r="AL5" s="477"/>
      <c r="AM5" s="169"/>
      <c r="AN5" s="170"/>
      <c r="AO5" s="1"/>
      <c r="AP5" s="1"/>
      <c r="AQ5" s="126"/>
      <c r="AR5" s="128"/>
      <c r="AS5" s="128"/>
      <c r="AT5" s="128"/>
      <c r="AU5" s="128"/>
      <c r="AV5" s="129"/>
      <c r="AW5" s="58"/>
      <c r="AX5" s="58"/>
      <c r="AY5" s="61"/>
      <c r="AZ5" s="134"/>
      <c r="BA5" s="134"/>
    </row>
    <row r="6" spans="1:53" ht="25.35" customHeight="1">
      <c r="A6" s="585" t="s">
        <v>184</v>
      </c>
      <c r="B6" s="585"/>
      <c r="C6" s="49" t="s">
        <v>55</v>
      </c>
      <c r="D6" s="91">
        <v>1</v>
      </c>
      <c r="E6" s="498" t="s">
        <v>173</v>
      </c>
      <c r="F6" s="93"/>
      <c r="G6" s="511" t="s">
        <v>52</v>
      </c>
      <c r="H6" s="511" t="s">
        <v>145</v>
      </c>
      <c r="I6" s="511">
        <v>1</v>
      </c>
      <c r="J6" s="511">
        <v>3</v>
      </c>
      <c r="K6" s="511">
        <v>3</v>
      </c>
      <c r="L6" s="511">
        <v>3</v>
      </c>
      <c r="M6" s="511" t="s">
        <v>51</v>
      </c>
      <c r="N6" s="511" t="s">
        <v>145</v>
      </c>
      <c r="O6" s="511" t="s">
        <v>191</v>
      </c>
      <c r="P6" s="511">
        <v>2</v>
      </c>
      <c r="Q6" s="511">
        <v>2</v>
      </c>
      <c r="R6" s="511">
        <v>2</v>
      </c>
      <c r="S6" s="511">
        <v>2</v>
      </c>
      <c r="T6" s="511" t="s">
        <v>145</v>
      </c>
      <c r="U6" s="511">
        <v>1</v>
      </c>
      <c r="V6" s="511">
        <v>1</v>
      </c>
      <c r="W6" s="511">
        <v>1</v>
      </c>
      <c r="X6" s="511">
        <v>1</v>
      </c>
      <c r="Y6" s="511">
        <v>1</v>
      </c>
      <c r="Z6" s="511">
        <v>1</v>
      </c>
      <c r="AA6" s="511" t="s">
        <v>145</v>
      </c>
      <c r="AB6" s="511">
        <v>3</v>
      </c>
      <c r="AC6" s="511">
        <v>3</v>
      </c>
      <c r="AD6" s="511">
        <v>3</v>
      </c>
      <c r="AE6" s="511">
        <v>3</v>
      </c>
      <c r="AF6" s="511">
        <v>3</v>
      </c>
      <c r="AG6" s="511">
        <v>3</v>
      </c>
      <c r="AH6" s="512" t="s">
        <v>145</v>
      </c>
      <c r="AI6" s="512">
        <v>2</v>
      </c>
      <c r="AJ6" s="512">
        <v>2</v>
      </c>
      <c r="AK6" s="512">
        <v>2</v>
      </c>
      <c r="AL6" s="470"/>
      <c r="AM6" s="533">
        <f>IF((COUNTIF(G6:AK6, "x")+COUNTIF(G6:AK6, "1")+COUNTIF(G6:AK6, "2")+COUNTIF(G6:AK6, "3")+COUNTIF(G6:AK6, "L")+COUNTIF(G6:AK6, "VL")+COUNTIF(G6:AK6, "SL")+COUNTIF(G6:AK6, "EL"))=0, "", (COUNTIF(G6:AK6, "1")+COUNTIF(G6:AK6, "2")+COUNTIF(G6:AK6, "3")+COUNTIF(G6:AK6, "L")+COUNTIF(G6:AK6, "VL")+COUNTIF(G6:AK6, "SL")+COUNTIF(G6:AK6, "EL"))/(COUNTIF(G6:AK6, "x")+COUNTIF(G6:AK6, "1")+COUNTIF(G6:AK6, "2")+COUNTIF(G6:AK6, "3")+COUNTIF(G6:AK6, "L")+COUNTIF(G6:AK6, "VL")+COUNTIF(G6:AK6, "SL")+COUNTIF(G6:AK6, "EL")))</f>
        <v>0.96153846153846156</v>
      </c>
      <c r="AN6" s="586">
        <f>AVERAGE(AM6:AM27)</f>
        <v>0.99076923076923051</v>
      </c>
      <c r="AO6" s="499"/>
      <c r="AP6" s="499"/>
      <c r="AQ6" s="126"/>
      <c r="AR6" s="56"/>
      <c r="AS6" s="56"/>
      <c r="AT6" s="56"/>
      <c r="AU6" s="56"/>
      <c r="AV6" s="130"/>
      <c r="AW6" s="59"/>
      <c r="AX6" s="59"/>
      <c r="AY6" s="60"/>
      <c r="AZ6" s="134"/>
      <c r="BA6" s="134"/>
    </row>
    <row r="7" spans="1:53" ht="25.35" customHeight="1">
      <c r="A7" s="585"/>
      <c r="B7" s="585"/>
      <c r="C7" s="49" t="s">
        <v>55</v>
      </c>
      <c r="D7" s="504">
        <f>D6+1</f>
        <v>2</v>
      </c>
      <c r="E7" s="184" t="s">
        <v>189</v>
      </c>
      <c r="F7" s="97"/>
      <c r="G7" s="513" t="s">
        <v>145</v>
      </c>
      <c r="H7" s="513" t="s">
        <v>191</v>
      </c>
      <c r="I7" s="513" t="s">
        <v>191</v>
      </c>
      <c r="J7" s="513">
        <v>3</v>
      </c>
      <c r="K7" s="513">
        <v>3</v>
      </c>
      <c r="L7" s="451">
        <v>3</v>
      </c>
      <c r="M7" s="451">
        <v>3</v>
      </c>
      <c r="N7" s="451" t="s">
        <v>145</v>
      </c>
      <c r="O7" s="451">
        <v>2</v>
      </c>
      <c r="P7" s="451">
        <v>2</v>
      </c>
      <c r="Q7" s="451">
        <v>2</v>
      </c>
      <c r="R7" s="451">
        <v>2</v>
      </c>
      <c r="S7" s="451" t="s">
        <v>145</v>
      </c>
      <c r="T7" s="451">
        <v>2</v>
      </c>
      <c r="U7" s="451">
        <v>2</v>
      </c>
      <c r="V7" s="451">
        <v>2</v>
      </c>
      <c r="W7" s="451">
        <v>2</v>
      </c>
      <c r="X7" s="451" t="s">
        <v>145</v>
      </c>
      <c r="Y7" s="451">
        <v>1</v>
      </c>
      <c r="Z7" s="451">
        <v>1</v>
      </c>
      <c r="AA7" s="451" t="s">
        <v>145</v>
      </c>
      <c r="AB7" s="451">
        <v>3</v>
      </c>
      <c r="AC7" s="451">
        <v>3</v>
      </c>
      <c r="AD7" s="451">
        <v>3</v>
      </c>
      <c r="AE7" s="451">
        <v>3</v>
      </c>
      <c r="AF7" s="451">
        <v>3</v>
      </c>
      <c r="AG7" s="451" t="s">
        <v>193</v>
      </c>
      <c r="AH7" s="451" t="s">
        <v>145</v>
      </c>
      <c r="AI7" s="451">
        <v>2</v>
      </c>
      <c r="AJ7" s="451">
        <v>2</v>
      </c>
      <c r="AK7" s="451">
        <v>2</v>
      </c>
      <c r="AL7" s="52"/>
      <c r="AM7" s="94">
        <f>IF((COUNTIF(G7:AK7, "x")+COUNTIF(G7:AK7, "1")+COUNTIF(G7:AK7, "2")+COUNTIF(G7:AK7, "3")+COUNTIF(G7:AK7, "L")+COUNTIF(G7:AK7, "VL")+COUNTIF(G7:AK7, "SL")+COUNTIF(G7:AK7, "EL"))=0, "", (COUNTIF(G7:AK7, "1")+COUNTIF(G7:AK7, "2")+COUNTIF(G7:AK7, "3")+COUNTIF(G7:AK7, "L")+COUNTIF(G7:AK7, "VL")+COUNTIF(G7:AK7, "SL")+COUNTIF(G7:AK7, "EL"))/(COUNTIF(G7:AK7, "x")+COUNTIF(G7:AK7, "1")+COUNTIF(G7:AK7, "2")+COUNTIF(G7:AK7, "3")+COUNTIF(G7:AK7, "L")+COUNTIF(G7:AK7, "VL")+COUNTIF(G7:AK7, "SL")+COUNTIF(G7:AK7, "EL")))</f>
        <v>0.96</v>
      </c>
      <c r="AN7" s="564"/>
      <c r="AO7" s="1"/>
      <c r="AP7" s="1"/>
      <c r="AQ7" s="126"/>
      <c r="AR7" s="58"/>
      <c r="AS7" s="128"/>
      <c r="AT7" s="58"/>
      <c r="AU7" s="58"/>
      <c r="AV7" s="58"/>
      <c r="AW7" s="58"/>
      <c r="AX7" s="58"/>
      <c r="AY7" s="61"/>
      <c r="AZ7" s="134"/>
      <c r="BA7" s="134"/>
    </row>
    <row r="8" spans="1:53" ht="25.35" customHeight="1">
      <c r="A8" s="585"/>
      <c r="B8" s="585"/>
      <c r="C8" s="49" t="s">
        <v>55</v>
      </c>
      <c r="D8" s="504">
        <f t="shared" ref="D8:D26" si="1">D7+1</f>
        <v>3</v>
      </c>
      <c r="E8" s="184" t="s">
        <v>220</v>
      </c>
      <c r="F8" s="97"/>
      <c r="G8" s="451" t="s">
        <v>145</v>
      </c>
      <c r="H8" s="451">
        <v>3</v>
      </c>
      <c r="I8" s="451">
        <v>3</v>
      </c>
      <c r="J8" s="451">
        <v>3</v>
      </c>
      <c r="K8" s="451" t="s">
        <v>191</v>
      </c>
      <c r="L8" s="451" t="s">
        <v>191</v>
      </c>
      <c r="M8" s="451" t="s">
        <v>191</v>
      </c>
      <c r="N8" s="451" t="s">
        <v>145</v>
      </c>
      <c r="O8" s="451">
        <v>2</v>
      </c>
      <c r="P8" s="451">
        <v>2</v>
      </c>
      <c r="Q8" s="451">
        <v>2</v>
      </c>
      <c r="R8" s="451">
        <v>2</v>
      </c>
      <c r="S8" s="451">
        <v>2</v>
      </c>
      <c r="T8" s="451" t="s">
        <v>145</v>
      </c>
      <c r="U8" s="451">
        <v>1</v>
      </c>
      <c r="V8" s="451">
        <v>1</v>
      </c>
      <c r="W8" s="451">
        <v>1</v>
      </c>
      <c r="X8" s="451">
        <v>1</v>
      </c>
      <c r="Y8" s="451">
        <v>1</v>
      </c>
      <c r="Z8" s="451">
        <v>1</v>
      </c>
      <c r="AA8" s="451" t="s">
        <v>145</v>
      </c>
      <c r="AB8" s="451">
        <v>3</v>
      </c>
      <c r="AC8" s="451">
        <v>3</v>
      </c>
      <c r="AD8" s="451">
        <v>3</v>
      </c>
      <c r="AE8" s="451">
        <v>3</v>
      </c>
      <c r="AF8" s="451">
        <v>3</v>
      </c>
      <c r="AG8" s="451">
        <v>3</v>
      </c>
      <c r="AH8" s="451" t="s">
        <v>145</v>
      </c>
      <c r="AI8" s="451">
        <v>2</v>
      </c>
      <c r="AJ8" s="451">
        <v>2</v>
      </c>
      <c r="AK8" s="451">
        <v>2</v>
      </c>
      <c r="AL8" s="52"/>
      <c r="AM8" s="94">
        <f t="shared" ref="AM8:AM26" si="2">IF((COUNTIF(G8:AK8, "x")+COUNTIF(G8:AK8, "1")+COUNTIF(G8:AK8, "2")+COUNTIF(G8:AK8, "3")+COUNTIF(G8:AK8, "L")+COUNTIF(G8:AK8, "VL")+COUNTIF(G8:AK8, "SL")+COUNTIF(G8:AK8, "EL"))=0, "", (COUNTIF(G8:AK8, "1")+COUNTIF(G8:AK8, "2")+COUNTIF(G8:AK8, "3")+COUNTIF(G8:AK8, "L")+COUNTIF(G8:AK8, "VL")+COUNTIF(G8:AK8, "SL")+COUNTIF(G8:AK8, "EL"))/(COUNTIF(G8:AK8, "x")+COUNTIF(G8:AK8, "1")+COUNTIF(G8:AK8, "2")+COUNTIF(G8:AK8, "3")+COUNTIF(G8:AK8, "L")+COUNTIF(G8:AK8, "VL")+COUNTIF(G8:AK8, "SL")+COUNTIF(G8:AK8, "EL")))</f>
        <v>1</v>
      </c>
      <c r="AN8" s="564"/>
      <c r="AO8" s="1"/>
      <c r="AP8" s="1"/>
      <c r="AQ8" s="132"/>
      <c r="AR8" s="59"/>
      <c r="AS8" s="57"/>
      <c r="AT8" s="57"/>
      <c r="AU8" s="57"/>
      <c r="AV8" s="57"/>
      <c r="AW8" s="57"/>
      <c r="AX8" s="57"/>
      <c r="AY8" s="57"/>
      <c r="AZ8" s="133"/>
    </row>
    <row r="9" spans="1:53" ht="25.35" customHeight="1">
      <c r="A9" s="585"/>
      <c r="B9" s="585"/>
      <c r="C9" s="48" t="s">
        <v>55</v>
      </c>
      <c r="D9" s="504">
        <f t="shared" si="1"/>
        <v>4</v>
      </c>
      <c r="E9" s="184" t="s">
        <v>368</v>
      </c>
      <c r="F9" s="101"/>
      <c r="G9" s="451" t="s">
        <v>145</v>
      </c>
      <c r="H9" s="451">
        <v>3</v>
      </c>
      <c r="I9" s="451">
        <v>3</v>
      </c>
      <c r="J9" s="451">
        <v>3</v>
      </c>
      <c r="K9" s="451">
        <v>3</v>
      </c>
      <c r="L9" s="451">
        <v>3</v>
      </c>
      <c r="M9" s="451">
        <v>3</v>
      </c>
      <c r="N9" s="451" t="s">
        <v>145</v>
      </c>
      <c r="O9" s="451">
        <v>2</v>
      </c>
      <c r="P9" s="451">
        <v>2</v>
      </c>
      <c r="Q9" s="451">
        <v>2</v>
      </c>
      <c r="R9" s="451">
        <v>2</v>
      </c>
      <c r="S9" s="451">
        <v>2</v>
      </c>
      <c r="T9" s="451" t="s">
        <v>145</v>
      </c>
      <c r="U9" s="451">
        <v>1</v>
      </c>
      <c r="V9" s="451">
        <v>1</v>
      </c>
      <c r="W9" s="451">
        <v>1</v>
      </c>
      <c r="X9" s="451">
        <v>1</v>
      </c>
      <c r="Y9" s="451">
        <v>1</v>
      </c>
      <c r="Z9" s="451">
        <v>1</v>
      </c>
      <c r="AA9" s="451" t="s">
        <v>145</v>
      </c>
      <c r="AB9" s="451">
        <v>3</v>
      </c>
      <c r="AC9" s="451">
        <v>3</v>
      </c>
      <c r="AD9" s="451">
        <v>3</v>
      </c>
      <c r="AE9" s="451">
        <v>3</v>
      </c>
      <c r="AF9" s="451">
        <v>3</v>
      </c>
      <c r="AG9" s="451">
        <v>3</v>
      </c>
      <c r="AH9" s="451" t="s">
        <v>145</v>
      </c>
      <c r="AI9" s="451">
        <v>2</v>
      </c>
      <c r="AJ9" s="451">
        <v>2</v>
      </c>
      <c r="AK9" s="451">
        <v>2</v>
      </c>
      <c r="AL9" s="52"/>
      <c r="AM9" s="94">
        <f t="shared" si="2"/>
        <v>1</v>
      </c>
      <c r="AN9" s="564"/>
      <c r="AO9" s="1"/>
      <c r="AP9" s="1"/>
      <c r="AQ9" s="1"/>
      <c r="AT9" s="2"/>
      <c r="AV9" s="2"/>
    </row>
    <row r="10" spans="1:53" ht="25.35" customHeight="1">
      <c r="A10" s="585"/>
      <c r="B10" s="585"/>
      <c r="C10" s="48" t="s">
        <v>60</v>
      </c>
      <c r="D10" s="504">
        <f t="shared" si="1"/>
        <v>5</v>
      </c>
      <c r="E10" s="187" t="s">
        <v>45</v>
      </c>
      <c r="F10" s="102"/>
      <c r="G10" s="451" t="s">
        <v>145</v>
      </c>
      <c r="H10" s="451">
        <v>3</v>
      </c>
      <c r="I10" s="451">
        <v>3</v>
      </c>
      <c r="J10" s="451">
        <v>3</v>
      </c>
      <c r="K10" s="451">
        <v>3</v>
      </c>
      <c r="L10" s="451">
        <v>3</v>
      </c>
      <c r="M10" s="451">
        <v>3</v>
      </c>
      <c r="N10" s="451" t="s">
        <v>145</v>
      </c>
      <c r="O10" s="451">
        <v>2</v>
      </c>
      <c r="P10" s="514">
        <v>2</v>
      </c>
      <c r="Q10" s="451">
        <v>2</v>
      </c>
      <c r="R10" s="451">
        <v>2</v>
      </c>
      <c r="S10" s="451">
        <v>2</v>
      </c>
      <c r="T10" s="451" t="s">
        <v>145</v>
      </c>
      <c r="U10" s="451">
        <v>1</v>
      </c>
      <c r="V10" s="451">
        <v>1</v>
      </c>
      <c r="W10" s="451">
        <v>1</v>
      </c>
      <c r="X10" s="451">
        <v>1</v>
      </c>
      <c r="Y10" s="451">
        <v>1</v>
      </c>
      <c r="Z10" s="451">
        <v>1</v>
      </c>
      <c r="AA10" s="451" t="s">
        <v>145</v>
      </c>
      <c r="AB10" s="451">
        <v>3</v>
      </c>
      <c r="AC10" s="451">
        <v>3</v>
      </c>
      <c r="AD10" s="451">
        <v>3</v>
      </c>
      <c r="AE10" s="451">
        <v>3</v>
      </c>
      <c r="AF10" s="451">
        <v>3</v>
      </c>
      <c r="AG10" s="451">
        <v>3</v>
      </c>
      <c r="AH10" s="451" t="s">
        <v>145</v>
      </c>
      <c r="AI10" s="451">
        <v>2</v>
      </c>
      <c r="AJ10" s="451">
        <v>2</v>
      </c>
      <c r="AK10" s="451">
        <v>2</v>
      </c>
      <c r="AL10" s="52"/>
      <c r="AM10" s="94">
        <f t="shared" si="2"/>
        <v>1</v>
      </c>
      <c r="AN10" s="564"/>
      <c r="AO10" s="1"/>
      <c r="AP10" s="1"/>
      <c r="AT10" s="2"/>
      <c r="AV10" s="2"/>
    </row>
    <row r="11" spans="1:53" ht="25.35" customHeight="1">
      <c r="A11" s="585"/>
      <c r="B11" s="585"/>
      <c r="C11" s="48" t="s">
        <v>60</v>
      </c>
      <c r="D11" s="504">
        <f t="shared" si="1"/>
        <v>6</v>
      </c>
      <c r="E11" s="184" t="s">
        <v>4</v>
      </c>
      <c r="F11" s="102"/>
      <c r="G11" s="451" t="s">
        <v>145</v>
      </c>
      <c r="H11" s="451" t="s">
        <v>191</v>
      </c>
      <c r="I11" s="451">
        <v>3</v>
      </c>
      <c r="J11" s="451">
        <v>3</v>
      </c>
      <c r="K11" s="451">
        <v>3</v>
      </c>
      <c r="L11" s="451">
        <v>3</v>
      </c>
      <c r="M11" s="451">
        <v>3</v>
      </c>
      <c r="N11" s="451" t="s">
        <v>145</v>
      </c>
      <c r="O11" s="451">
        <v>2</v>
      </c>
      <c r="P11" s="451">
        <v>2</v>
      </c>
      <c r="Q11" s="451" t="s">
        <v>190</v>
      </c>
      <c r="R11" s="451">
        <v>2</v>
      </c>
      <c r="S11" s="451">
        <v>2</v>
      </c>
      <c r="T11" s="451" t="s">
        <v>145</v>
      </c>
      <c r="U11" s="451">
        <v>1</v>
      </c>
      <c r="V11" s="451">
        <v>1</v>
      </c>
      <c r="W11" s="451">
        <v>1</v>
      </c>
      <c r="X11" s="451">
        <v>1</v>
      </c>
      <c r="Y11" s="451">
        <v>1</v>
      </c>
      <c r="Z11" s="451">
        <v>1</v>
      </c>
      <c r="AA11" s="451" t="s">
        <v>145</v>
      </c>
      <c r="AB11" s="451">
        <v>3</v>
      </c>
      <c r="AC11" s="451">
        <v>3</v>
      </c>
      <c r="AD11" s="451">
        <v>3</v>
      </c>
      <c r="AE11" s="451">
        <v>3</v>
      </c>
      <c r="AF11" s="451">
        <v>3</v>
      </c>
      <c r="AG11" s="451">
        <v>3</v>
      </c>
      <c r="AH11" s="451" t="s">
        <v>145</v>
      </c>
      <c r="AI11" s="451">
        <v>2</v>
      </c>
      <c r="AJ11" s="451">
        <v>2</v>
      </c>
      <c r="AK11" s="451">
        <v>2</v>
      </c>
      <c r="AL11" s="52"/>
      <c r="AM11" s="94">
        <f t="shared" si="2"/>
        <v>1</v>
      </c>
      <c r="AN11" s="564"/>
      <c r="AO11" s="1"/>
      <c r="AP11" s="1"/>
      <c r="AQ11" s="1"/>
      <c r="AT11" s="2"/>
      <c r="AV11" s="2"/>
    </row>
    <row r="12" spans="1:53" ht="25.35" customHeight="1">
      <c r="A12" s="585"/>
      <c r="B12" s="585"/>
      <c r="C12" s="48" t="s">
        <v>60</v>
      </c>
      <c r="D12" s="504">
        <f t="shared" si="1"/>
        <v>7</v>
      </c>
      <c r="E12" s="184" t="s">
        <v>25</v>
      </c>
      <c r="F12" s="102"/>
      <c r="G12" s="451" t="s">
        <v>145</v>
      </c>
      <c r="H12" s="451">
        <v>3</v>
      </c>
      <c r="I12" s="451">
        <v>3</v>
      </c>
      <c r="J12" s="451">
        <v>3</v>
      </c>
      <c r="K12" s="451" t="s">
        <v>191</v>
      </c>
      <c r="L12" s="451">
        <v>3</v>
      </c>
      <c r="M12" s="451" t="s">
        <v>179</v>
      </c>
      <c r="N12" s="451" t="s">
        <v>145</v>
      </c>
      <c r="O12" s="451">
        <v>2</v>
      </c>
      <c r="P12" s="451">
        <v>2</v>
      </c>
      <c r="Q12" s="451">
        <v>2</v>
      </c>
      <c r="R12" s="451">
        <v>2</v>
      </c>
      <c r="S12" s="451" t="s">
        <v>190</v>
      </c>
      <c r="T12" s="451" t="s">
        <v>145</v>
      </c>
      <c r="U12" s="513" t="s">
        <v>179</v>
      </c>
      <c r="V12" s="513">
        <v>1</v>
      </c>
      <c r="W12" s="513">
        <v>1</v>
      </c>
      <c r="X12" s="513">
        <v>1</v>
      </c>
      <c r="Y12" s="451">
        <v>1</v>
      </c>
      <c r="Z12" s="451" t="s">
        <v>51</v>
      </c>
      <c r="AA12" s="451" t="s">
        <v>145</v>
      </c>
      <c r="AB12" s="451">
        <v>3</v>
      </c>
      <c r="AC12" s="451">
        <v>3</v>
      </c>
      <c r="AD12" s="451" t="s">
        <v>190</v>
      </c>
      <c r="AE12" s="451">
        <v>3</v>
      </c>
      <c r="AF12" s="451" t="s">
        <v>190</v>
      </c>
      <c r="AG12" s="451" t="s">
        <v>190</v>
      </c>
      <c r="AH12" s="451" t="s">
        <v>145</v>
      </c>
      <c r="AI12" s="451">
        <v>2</v>
      </c>
      <c r="AJ12" s="451">
        <v>2</v>
      </c>
      <c r="AK12" s="451">
        <v>2</v>
      </c>
      <c r="AL12" s="52"/>
      <c r="AM12" s="94">
        <f t="shared" si="2"/>
        <v>1</v>
      </c>
      <c r="AN12" s="564"/>
      <c r="AO12" s="1"/>
      <c r="AP12" s="1"/>
      <c r="AQ12" s="1"/>
      <c r="AT12" s="2"/>
      <c r="AV12" s="2"/>
    </row>
    <row r="13" spans="1:53" ht="25.35" customHeight="1">
      <c r="A13" s="585"/>
      <c r="B13" s="585"/>
      <c r="C13" s="48" t="s">
        <v>60</v>
      </c>
      <c r="D13" s="504">
        <f t="shared" si="1"/>
        <v>8</v>
      </c>
      <c r="E13" s="185" t="s">
        <v>28</v>
      </c>
      <c r="F13" s="97"/>
      <c r="G13" s="451" t="s">
        <v>145</v>
      </c>
      <c r="H13" s="451">
        <v>3</v>
      </c>
      <c r="I13" s="451">
        <v>3</v>
      </c>
      <c r="J13" s="451" t="s">
        <v>191</v>
      </c>
      <c r="K13" s="451">
        <v>3</v>
      </c>
      <c r="L13" s="451">
        <v>3</v>
      </c>
      <c r="M13" s="451">
        <v>3</v>
      </c>
      <c r="N13" s="451" t="s">
        <v>145</v>
      </c>
      <c r="O13" s="451">
        <v>2</v>
      </c>
      <c r="P13" s="451">
        <v>2</v>
      </c>
      <c r="Q13" s="451">
        <v>2</v>
      </c>
      <c r="R13" s="451">
        <v>2</v>
      </c>
      <c r="S13" s="451" t="s">
        <v>190</v>
      </c>
      <c r="T13" s="451" t="s">
        <v>145</v>
      </c>
      <c r="U13" s="451" t="s">
        <v>179</v>
      </c>
      <c r="V13" s="451" t="s">
        <v>179</v>
      </c>
      <c r="W13" s="451" t="s">
        <v>179</v>
      </c>
      <c r="X13" s="451" t="s">
        <v>179</v>
      </c>
      <c r="Y13" s="451">
        <v>1</v>
      </c>
      <c r="Z13" s="451">
        <v>1</v>
      </c>
      <c r="AA13" s="451" t="s">
        <v>145</v>
      </c>
      <c r="AB13" s="451">
        <v>3</v>
      </c>
      <c r="AC13" s="451">
        <v>3</v>
      </c>
      <c r="AD13" s="451" t="s">
        <v>190</v>
      </c>
      <c r="AE13" s="451">
        <v>3</v>
      </c>
      <c r="AF13" s="451">
        <v>3</v>
      </c>
      <c r="AG13" s="451">
        <v>3</v>
      </c>
      <c r="AH13" s="451" t="s">
        <v>145</v>
      </c>
      <c r="AI13" s="451">
        <v>2</v>
      </c>
      <c r="AJ13" s="451">
        <v>2</v>
      </c>
      <c r="AK13" s="451">
        <v>2</v>
      </c>
      <c r="AL13" s="52"/>
      <c r="AM13" s="94">
        <f t="shared" si="2"/>
        <v>1</v>
      </c>
      <c r="AN13" s="564"/>
      <c r="AO13" s="1"/>
      <c r="AP13" s="1"/>
      <c r="AQ13" s="1"/>
      <c r="AT13" s="2"/>
      <c r="AV13" s="2"/>
    </row>
    <row r="14" spans="1:53" ht="25.35" customHeight="1">
      <c r="A14" s="585"/>
      <c r="B14" s="585"/>
      <c r="C14" s="49" t="s">
        <v>60</v>
      </c>
      <c r="D14" s="504">
        <f t="shared" si="1"/>
        <v>9</v>
      </c>
      <c r="E14" s="184" t="s">
        <v>224</v>
      </c>
      <c r="F14" s="97"/>
      <c r="G14" s="513" t="s">
        <v>145</v>
      </c>
      <c r="H14" s="513" t="s">
        <v>191</v>
      </c>
      <c r="I14" s="513" t="s">
        <v>191</v>
      </c>
      <c r="J14" s="451">
        <v>3</v>
      </c>
      <c r="K14" s="451">
        <v>3</v>
      </c>
      <c r="L14" s="451">
        <v>3</v>
      </c>
      <c r="M14" s="451">
        <v>3</v>
      </c>
      <c r="N14" s="451" t="s">
        <v>145</v>
      </c>
      <c r="O14" s="451">
        <v>2</v>
      </c>
      <c r="P14" s="451">
        <v>2</v>
      </c>
      <c r="Q14" s="451">
        <v>2</v>
      </c>
      <c r="R14" s="451">
        <v>2</v>
      </c>
      <c r="S14" s="451">
        <v>2</v>
      </c>
      <c r="T14" s="451" t="s">
        <v>145</v>
      </c>
      <c r="U14" s="451">
        <v>1</v>
      </c>
      <c r="V14" s="451">
        <v>1</v>
      </c>
      <c r="W14" s="451">
        <v>1</v>
      </c>
      <c r="X14" s="451">
        <v>1</v>
      </c>
      <c r="Y14" s="451">
        <v>1</v>
      </c>
      <c r="Z14" s="451">
        <v>1</v>
      </c>
      <c r="AA14" s="451" t="s">
        <v>145</v>
      </c>
      <c r="AB14" s="451">
        <v>3</v>
      </c>
      <c r="AC14" s="451">
        <v>3</v>
      </c>
      <c r="AD14" s="451">
        <v>3</v>
      </c>
      <c r="AE14" s="451" t="s">
        <v>179</v>
      </c>
      <c r="AF14" s="451">
        <v>3</v>
      </c>
      <c r="AG14" s="451">
        <v>3</v>
      </c>
      <c r="AH14" s="451" t="s">
        <v>145</v>
      </c>
      <c r="AI14" s="451">
        <v>2</v>
      </c>
      <c r="AJ14" s="451">
        <v>2</v>
      </c>
      <c r="AK14" s="451" t="s">
        <v>179</v>
      </c>
      <c r="AL14" s="52"/>
      <c r="AM14" s="94">
        <f t="shared" si="2"/>
        <v>1</v>
      </c>
      <c r="AN14" s="564"/>
      <c r="AO14" s="1"/>
      <c r="AP14" s="1"/>
      <c r="AQ14" s="1"/>
      <c r="AT14" s="2"/>
      <c r="AV14" s="2"/>
    </row>
    <row r="15" spans="1:53" ht="25.35" customHeight="1">
      <c r="A15" s="585"/>
      <c r="B15" s="585"/>
      <c r="C15" s="48" t="s">
        <v>55</v>
      </c>
      <c r="D15" s="504">
        <f t="shared" si="1"/>
        <v>10</v>
      </c>
      <c r="E15" s="185" t="s">
        <v>225</v>
      </c>
      <c r="F15" s="101"/>
      <c r="G15" s="451" t="s">
        <v>145</v>
      </c>
      <c r="H15" s="451" t="s">
        <v>191</v>
      </c>
      <c r="I15" s="451" t="s">
        <v>191</v>
      </c>
      <c r="J15" s="451" t="s">
        <v>191</v>
      </c>
      <c r="K15" s="451" t="s">
        <v>191</v>
      </c>
      <c r="L15" s="451" t="s">
        <v>191</v>
      </c>
      <c r="M15" s="451" t="s">
        <v>191</v>
      </c>
      <c r="N15" s="451" t="s">
        <v>145</v>
      </c>
      <c r="O15" s="451" t="s">
        <v>191</v>
      </c>
      <c r="P15" s="451" t="s">
        <v>51</v>
      </c>
      <c r="Q15" s="451">
        <v>2</v>
      </c>
      <c r="R15" s="451">
        <v>2</v>
      </c>
      <c r="S15" s="451">
        <v>2</v>
      </c>
      <c r="T15" s="451" t="s">
        <v>145</v>
      </c>
      <c r="U15" s="451">
        <v>1</v>
      </c>
      <c r="V15" s="451">
        <v>1</v>
      </c>
      <c r="W15" s="451">
        <v>1</v>
      </c>
      <c r="X15" s="451">
        <v>1</v>
      </c>
      <c r="Y15" s="451">
        <v>1</v>
      </c>
      <c r="Z15" s="451">
        <v>1</v>
      </c>
      <c r="AA15" s="451" t="s">
        <v>145</v>
      </c>
      <c r="AB15" s="451">
        <v>3</v>
      </c>
      <c r="AC15" s="451">
        <v>3</v>
      </c>
      <c r="AD15" s="451">
        <v>3</v>
      </c>
      <c r="AE15" s="451">
        <v>3</v>
      </c>
      <c r="AF15" s="451">
        <v>3</v>
      </c>
      <c r="AG15" s="451">
        <v>3</v>
      </c>
      <c r="AH15" s="451" t="s">
        <v>145</v>
      </c>
      <c r="AI15" s="451">
        <v>2</v>
      </c>
      <c r="AJ15" s="451">
        <v>2</v>
      </c>
      <c r="AK15" s="451" t="s">
        <v>51</v>
      </c>
      <c r="AL15" s="52"/>
      <c r="AM15" s="94">
        <f t="shared" si="2"/>
        <v>1</v>
      </c>
      <c r="AN15" s="564"/>
      <c r="AO15" s="1"/>
      <c r="AP15" s="1"/>
      <c r="AQ15" s="1"/>
      <c r="AT15" s="2"/>
      <c r="AV15" s="2"/>
    </row>
    <row r="16" spans="1:53" ht="25.35" customHeight="1">
      <c r="A16" s="585"/>
      <c r="B16" s="585"/>
      <c r="C16" s="48" t="s">
        <v>55</v>
      </c>
      <c r="D16" s="504">
        <f t="shared" si="1"/>
        <v>11</v>
      </c>
      <c r="E16" s="185" t="s">
        <v>211</v>
      </c>
      <c r="F16" s="102"/>
      <c r="G16" s="451" t="s">
        <v>145</v>
      </c>
      <c r="H16" s="451">
        <v>3</v>
      </c>
      <c r="I16" s="451">
        <v>3</v>
      </c>
      <c r="J16" s="451">
        <v>3</v>
      </c>
      <c r="K16" s="451">
        <v>3</v>
      </c>
      <c r="L16" s="451">
        <v>3</v>
      </c>
      <c r="M16" s="451">
        <v>3</v>
      </c>
      <c r="N16" s="451" t="s">
        <v>145</v>
      </c>
      <c r="O16" s="451">
        <v>2</v>
      </c>
      <c r="P16" s="451">
        <v>2</v>
      </c>
      <c r="Q16" s="451">
        <v>2</v>
      </c>
      <c r="R16" s="451">
        <v>2</v>
      </c>
      <c r="S16" s="451">
        <v>2</v>
      </c>
      <c r="T16" s="451" t="s">
        <v>145</v>
      </c>
      <c r="U16" s="451">
        <v>1</v>
      </c>
      <c r="V16" s="451">
        <v>1</v>
      </c>
      <c r="W16" s="451">
        <v>1</v>
      </c>
      <c r="X16" s="451" t="s">
        <v>51</v>
      </c>
      <c r="Y16" s="451" t="s">
        <v>51</v>
      </c>
      <c r="Z16" s="451" t="s">
        <v>51</v>
      </c>
      <c r="AA16" s="451" t="s">
        <v>145</v>
      </c>
      <c r="AB16" s="451" t="s">
        <v>51</v>
      </c>
      <c r="AC16" s="451">
        <v>3</v>
      </c>
      <c r="AD16" s="451">
        <v>3</v>
      </c>
      <c r="AE16" s="451">
        <v>3</v>
      </c>
      <c r="AF16" s="451">
        <v>3</v>
      </c>
      <c r="AG16" s="451"/>
      <c r="AH16" s="451" t="s">
        <v>145</v>
      </c>
      <c r="AI16" s="451">
        <v>2</v>
      </c>
      <c r="AJ16" s="451">
        <v>2</v>
      </c>
      <c r="AK16" s="451">
        <v>2</v>
      </c>
      <c r="AL16" s="52"/>
      <c r="AM16" s="94">
        <f t="shared" si="2"/>
        <v>1</v>
      </c>
      <c r="AN16" s="564"/>
      <c r="AO16" s="1"/>
      <c r="AP16" s="1"/>
      <c r="AQ16" s="1"/>
      <c r="AT16" s="2"/>
      <c r="AV16" s="2"/>
    </row>
    <row r="17" spans="1:48" ht="25.35" customHeight="1">
      <c r="A17" s="585"/>
      <c r="B17" s="585"/>
      <c r="C17" s="48" t="s">
        <v>60</v>
      </c>
      <c r="D17" s="504">
        <f t="shared" si="1"/>
        <v>12</v>
      </c>
      <c r="E17" s="184" t="s">
        <v>7</v>
      </c>
      <c r="F17" s="101"/>
      <c r="G17" s="451" t="s">
        <v>145</v>
      </c>
      <c r="H17" s="451" t="s">
        <v>191</v>
      </c>
      <c r="I17" s="451" t="s">
        <v>191</v>
      </c>
      <c r="J17" s="451">
        <v>3</v>
      </c>
      <c r="K17" s="451">
        <v>3</v>
      </c>
      <c r="L17" s="451">
        <v>3</v>
      </c>
      <c r="M17" s="451">
        <v>3</v>
      </c>
      <c r="N17" s="451" t="s">
        <v>145</v>
      </c>
      <c r="O17" s="451">
        <v>2</v>
      </c>
      <c r="P17" s="451">
        <v>2</v>
      </c>
      <c r="Q17" s="451">
        <v>2</v>
      </c>
      <c r="R17" s="451">
        <v>2</v>
      </c>
      <c r="S17" s="451" t="s">
        <v>190</v>
      </c>
      <c r="T17" s="451" t="s">
        <v>145</v>
      </c>
      <c r="U17" s="451">
        <v>1</v>
      </c>
      <c r="V17" s="451">
        <v>1</v>
      </c>
      <c r="W17" s="451">
        <v>1</v>
      </c>
      <c r="X17" s="451">
        <v>1</v>
      </c>
      <c r="Y17" s="451">
        <v>1</v>
      </c>
      <c r="Z17" s="451">
        <v>1</v>
      </c>
      <c r="AA17" s="451" t="s">
        <v>145</v>
      </c>
      <c r="AB17" s="451" t="s">
        <v>190</v>
      </c>
      <c r="AC17" s="451">
        <v>3</v>
      </c>
      <c r="AD17" s="451">
        <v>3</v>
      </c>
      <c r="AE17" s="451">
        <v>3</v>
      </c>
      <c r="AF17" s="451">
        <v>3</v>
      </c>
      <c r="AG17" s="451">
        <v>3</v>
      </c>
      <c r="AH17" s="451" t="s">
        <v>145</v>
      </c>
      <c r="AI17" s="451" t="s">
        <v>190</v>
      </c>
      <c r="AJ17" s="451">
        <v>2</v>
      </c>
      <c r="AK17" s="451">
        <v>2</v>
      </c>
      <c r="AL17" s="52"/>
      <c r="AM17" s="94">
        <f t="shared" si="2"/>
        <v>1</v>
      </c>
      <c r="AN17" s="564"/>
      <c r="AO17" s="1"/>
      <c r="AP17" s="1"/>
      <c r="AQ17" s="1"/>
      <c r="AT17" s="2"/>
      <c r="AV17" s="2"/>
    </row>
    <row r="18" spans="1:48" ht="25.35" customHeight="1">
      <c r="A18" s="585"/>
      <c r="B18" s="585"/>
      <c r="C18" s="48" t="s">
        <v>60</v>
      </c>
      <c r="D18" s="504">
        <f t="shared" si="1"/>
        <v>13</v>
      </c>
      <c r="E18" s="185" t="s">
        <v>44</v>
      </c>
      <c r="F18" s="97"/>
      <c r="G18" s="451" t="s">
        <v>145</v>
      </c>
      <c r="H18" s="451" t="s">
        <v>191</v>
      </c>
      <c r="I18" s="451" t="s">
        <v>191</v>
      </c>
      <c r="J18" s="451">
        <v>3</v>
      </c>
      <c r="K18" s="451">
        <v>3</v>
      </c>
      <c r="L18" s="451">
        <v>3</v>
      </c>
      <c r="M18" s="451">
        <v>3</v>
      </c>
      <c r="N18" s="451" t="s">
        <v>145</v>
      </c>
      <c r="O18" s="451">
        <v>2</v>
      </c>
      <c r="P18" s="451">
        <v>2</v>
      </c>
      <c r="Q18" s="451">
        <v>2</v>
      </c>
      <c r="R18" s="451">
        <v>2</v>
      </c>
      <c r="S18" s="451">
        <v>2</v>
      </c>
      <c r="T18" s="451" t="s">
        <v>145</v>
      </c>
      <c r="U18" s="451">
        <v>1</v>
      </c>
      <c r="V18" s="451">
        <v>1</v>
      </c>
      <c r="W18" s="451">
        <v>1</v>
      </c>
      <c r="X18" s="451">
        <v>1</v>
      </c>
      <c r="Y18" s="451">
        <v>1</v>
      </c>
      <c r="Z18" s="451">
        <v>1</v>
      </c>
      <c r="AA18" s="451" t="s">
        <v>145</v>
      </c>
      <c r="AB18" s="451">
        <v>3</v>
      </c>
      <c r="AC18" s="451">
        <v>3</v>
      </c>
      <c r="AD18" s="451">
        <v>3</v>
      </c>
      <c r="AE18" s="451">
        <v>3</v>
      </c>
      <c r="AF18" s="451">
        <v>3</v>
      </c>
      <c r="AG18" s="451">
        <v>3</v>
      </c>
      <c r="AH18" s="451" t="s">
        <v>145</v>
      </c>
      <c r="AI18" s="451">
        <v>2</v>
      </c>
      <c r="AJ18" s="451">
        <v>2</v>
      </c>
      <c r="AK18" s="451">
        <v>2</v>
      </c>
      <c r="AL18" s="52"/>
      <c r="AM18" s="94">
        <f t="shared" si="2"/>
        <v>1</v>
      </c>
      <c r="AN18" s="564"/>
      <c r="AO18" s="1"/>
      <c r="AP18" s="1"/>
      <c r="AQ18" s="1"/>
      <c r="AT18" s="2"/>
      <c r="AV18" s="2"/>
    </row>
    <row r="19" spans="1:48" ht="25.35" customHeight="1">
      <c r="A19" s="585"/>
      <c r="B19" s="585"/>
      <c r="C19" s="48" t="s">
        <v>60</v>
      </c>
      <c r="D19" s="504">
        <f t="shared" si="1"/>
        <v>14</v>
      </c>
      <c r="E19" s="185" t="s">
        <v>26</v>
      </c>
      <c r="F19" s="103"/>
      <c r="G19" s="451" t="s">
        <v>145</v>
      </c>
      <c r="H19" s="451">
        <v>3</v>
      </c>
      <c r="I19" s="451">
        <v>3</v>
      </c>
      <c r="J19" s="451">
        <v>3</v>
      </c>
      <c r="K19" s="451">
        <v>3</v>
      </c>
      <c r="L19" s="451">
        <v>3</v>
      </c>
      <c r="M19" s="451">
        <v>3</v>
      </c>
      <c r="N19" s="451" t="s">
        <v>145</v>
      </c>
      <c r="O19" s="451">
        <v>2</v>
      </c>
      <c r="P19" s="451">
        <v>2</v>
      </c>
      <c r="Q19" s="451">
        <v>2</v>
      </c>
      <c r="R19" s="451">
        <v>2</v>
      </c>
      <c r="S19" s="451" t="s">
        <v>51</v>
      </c>
      <c r="T19" s="513" t="s">
        <v>145</v>
      </c>
      <c r="U19" s="513" t="s">
        <v>51</v>
      </c>
      <c r="V19" s="513" t="s">
        <v>51</v>
      </c>
      <c r="W19" s="513" t="s">
        <v>51</v>
      </c>
      <c r="X19" s="513" t="s">
        <v>51</v>
      </c>
      <c r="Y19" s="451" t="s">
        <v>51</v>
      </c>
      <c r="Z19" s="451" t="s">
        <v>145</v>
      </c>
      <c r="AA19" s="451" t="s">
        <v>193</v>
      </c>
      <c r="AB19" s="451">
        <v>3</v>
      </c>
      <c r="AC19" s="451">
        <v>3</v>
      </c>
      <c r="AD19" s="451">
        <v>3</v>
      </c>
      <c r="AE19" s="451">
        <v>3</v>
      </c>
      <c r="AF19" s="451" t="s">
        <v>179</v>
      </c>
      <c r="AG19" s="451" t="s">
        <v>179</v>
      </c>
      <c r="AH19" s="451" t="s">
        <v>145</v>
      </c>
      <c r="AI19" s="451">
        <v>2</v>
      </c>
      <c r="AJ19" s="451">
        <v>2</v>
      </c>
      <c r="AK19" s="451">
        <v>2</v>
      </c>
      <c r="AL19" s="52"/>
      <c r="AM19" s="94">
        <f t="shared" si="2"/>
        <v>0.96153846153846156</v>
      </c>
      <c r="AN19" s="564"/>
      <c r="AO19" s="1"/>
      <c r="AP19" s="1"/>
      <c r="AQ19" s="1"/>
      <c r="AT19" s="2"/>
      <c r="AV19" s="2"/>
    </row>
    <row r="20" spans="1:48" ht="25.35" customHeight="1">
      <c r="A20" s="585"/>
      <c r="B20" s="585"/>
      <c r="C20" s="48" t="s">
        <v>55</v>
      </c>
      <c r="D20" s="504">
        <f t="shared" si="1"/>
        <v>15</v>
      </c>
      <c r="E20" s="185" t="s">
        <v>218</v>
      </c>
      <c r="F20" s="103"/>
      <c r="G20" s="513" t="s">
        <v>145</v>
      </c>
      <c r="H20" s="513" t="s">
        <v>191</v>
      </c>
      <c r="I20" s="451" t="s">
        <v>191</v>
      </c>
      <c r="J20" s="451">
        <v>3</v>
      </c>
      <c r="K20" s="451">
        <v>3</v>
      </c>
      <c r="L20" s="451">
        <v>3</v>
      </c>
      <c r="M20" s="451">
        <v>3</v>
      </c>
      <c r="N20" s="451" t="s">
        <v>145</v>
      </c>
      <c r="O20" s="451">
        <v>2</v>
      </c>
      <c r="P20" s="451">
        <v>2</v>
      </c>
      <c r="Q20" s="451">
        <v>2</v>
      </c>
      <c r="R20" s="451">
        <v>2</v>
      </c>
      <c r="S20" s="451">
        <v>2</v>
      </c>
      <c r="T20" s="451" t="s">
        <v>145</v>
      </c>
      <c r="U20" s="451">
        <v>1</v>
      </c>
      <c r="V20" s="451">
        <v>1</v>
      </c>
      <c r="W20" s="451">
        <v>1</v>
      </c>
      <c r="X20" s="451">
        <v>1</v>
      </c>
      <c r="Y20" s="451">
        <v>1</v>
      </c>
      <c r="Z20" s="451">
        <v>1</v>
      </c>
      <c r="AA20" s="451" t="s">
        <v>145</v>
      </c>
      <c r="AB20" s="451" t="s">
        <v>51</v>
      </c>
      <c r="AC20" s="451">
        <v>3</v>
      </c>
      <c r="AD20" s="451">
        <v>3</v>
      </c>
      <c r="AE20" s="451">
        <v>3</v>
      </c>
      <c r="AF20" s="451">
        <v>3</v>
      </c>
      <c r="AG20" s="451">
        <v>3</v>
      </c>
      <c r="AH20" s="451" t="s">
        <v>145</v>
      </c>
      <c r="AI20" s="451">
        <v>2</v>
      </c>
      <c r="AJ20" s="451">
        <v>2</v>
      </c>
      <c r="AK20" s="451">
        <v>2</v>
      </c>
      <c r="AL20" s="52"/>
      <c r="AM20" s="94">
        <f t="shared" si="2"/>
        <v>1</v>
      </c>
      <c r="AN20" s="564"/>
      <c r="AO20" s="1"/>
      <c r="AP20" s="1"/>
      <c r="AQ20" s="1"/>
      <c r="AT20" s="2"/>
      <c r="AV20" s="2"/>
    </row>
    <row r="21" spans="1:48" ht="25.35" customHeight="1">
      <c r="A21" s="585"/>
      <c r="B21" s="585"/>
      <c r="C21" s="48" t="s">
        <v>60</v>
      </c>
      <c r="D21" s="504">
        <f t="shared" si="1"/>
        <v>16</v>
      </c>
      <c r="E21" s="185" t="s">
        <v>34</v>
      </c>
      <c r="F21" s="97"/>
      <c r="G21" s="451" t="s">
        <v>145</v>
      </c>
      <c r="H21" s="451">
        <v>3</v>
      </c>
      <c r="I21" s="451">
        <v>3</v>
      </c>
      <c r="J21" s="451">
        <v>3</v>
      </c>
      <c r="K21" s="451" t="s">
        <v>191</v>
      </c>
      <c r="L21" s="451">
        <v>3</v>
      </c>
      <c r="M21" s="451">
        <v>3</v>
      </c>
      <c r="N21" s="451" t="s">
        <v>145</v>
      </c>
      <c r="O21" s="451">
        <v>2</v>
      </c>
      <c r="P21" s="451">
        <v>2</v>
      </c>
      <c r="Q21" s="451">
        <v>2</v>
      </c>
      <c r="R21" s="451">
        <v>2</v>
      </c>
      <c r="S21" s="451">
        <v>2</v>
      </c>
      <c r="T21" s="451" t="s">
        <v>145</v>
      </c>
      <c r="U21" s="451">
        <v>1</v>
      </c>
      <c r="V21" s="451">
        <v>1</v>
      </c>
      <c r="W21" s="451">
        <v>1</v>
      </c>
      <c r="X21" s="451">
        <v>1</v>
      </c>
      <c r="Y21" s="451" t="s">
        <v>190</v>
      </c>
      <c r="Z21" s="451" t="s">
        <v>190</v>
      </c>
      <c r="AA21" s="451" t="s">
        <v>145</v>
      </c>
      <c r="AB21" s="451">
        <v>3</v>
      </c>
      <c r="AC21" s="451">
        <v>3</v>
      </c>
      <c r="AD21" s="451">
        <v>3</v>
      </c>
      <c r="AE21" s="451">
        <v>3</v>
      </c>
      <c r="AF21" s="451">
        <v>3</v>
      </c>
      <c r="AG21" s="451">
        <v>3</v>
      </c>
      <c r="AH21" s="451" t="s">
        <v>145</v>
      </c>
      <c r="AI21" s="451" t="s">
        <v>179</v>
      </c>
      <c r="AJ21" s="451">
        <v>2</v>
      </c>
      <c r="AK21" s="451">
        <v>2</v>
      </c>
      <c r="AL21" s="52"/>
      <c r="AM21" s="94">
        <f t="shared" si="2"/>
        <v>1</v>
      </c>
      <c r="AN21" s="564"/>
      <c r="AO21" s="1"/>
      <c r="AP21" s="1"/>
      <c r="AQ21" s="1"/>
      <c r="AT21" s="2"/>
      <c r="AV21" s="2"/>
    </row>
    <row r="22" spans="1:48" ht="25.35" customHeight="1">
      <c r="A22" s="585"/>
      <c r="B22" s="585"/>
      <c r="C22" s="48" t="s">
        <v>60</v>
      </c>
      <c r="D22" s="504">
        <f t="shared" si="1"/>
        <v>17</v>
      </c>
      <c r="E22" s="185" t="s">
        <v>177</v>
      </c>
      <c r="F22" s="103"/>
      <c r="G22" s="451" t="s">
        <v>145</v>
      </c>
      <c r="H22" s="451" t="s">
        <v>191</v>
      </c>
      <c r="I22" s="451" t="s">
        <v>191</v>
      </c>
      <c r="J22" s="451" t="s">
        <v>191</v>
      </c>
      <c r="K22" s="451" t="s">
        <v>191</v>
      </c>
      <c r="L22" s="451">
        <v>3</v>
      </c>
      <c r="M22" s="451">
        <v>3</v>
      </c>
      <c r="N22" s="451" t="s">
        <v>145</v>
      </c>
      <c r="O22" s="451">
        <v>2</v>
      </c>
      <c r="P22" s="451">
        <v>2</v>
      </c>
      <c r="Q22" s="451">
        <v>2</v>
      </c>
      <c r="R22" s="451">
        <v>2</v>
      </c>
      <c r="S22" s="451">
        <v>2</v>
      </c>
      <c r="T22" s="451" t="s">
        <v>145</v>
      </c>
      <c r="U22" s="451">
        <v>1</v>
      </c>
      <c r="V22" s="451">
        <v>1</v>
      </c>
      <c r="W22" s="451">
        <v>1</v>
      </c>
      <c r="X22" s="451">
        <v>1</v>
      </c>
      <c r="Y22" s="451">
        <v>1</v>
      </c>
      <c r="Z22" s="451" t="s">
        <v>179</v>
      </c>
      <c r="AA22" s="451" t="s">
        <v>145</v>
      </c>
      <c r="AB22" s="451">
        <v>3</v>
      </c>
      <c r="AC22" s="451">
        <v>3</v>
      </c>
      <c r="AD22" s="451">
        <v>3</v>
      </c>
      <c r="AE22" s="451">
        <v>3</v>
      </c>
      <c r="AF22" s="451">
        <v>3</v>
      </c>
      <c r="AG22" s="451">
        <v>3</v>
      </c>
      <c r="AH22" s="451" t="s">
        <v>145</v>
      </c>
      <c r="AI22" s="451">
        <v>2</v>
      </c>
      <c r="AJ22" s="451">
        <v>2</v>
      </c>
      <c r="AK22" s="451">
        <v>2</v>
      </c>
      <c r="AL22" s="52"/>
      <c r="AM22" s="94">
        <f t="shared" si="2"/>
        <v>1</v>
      </c>
      <c r="AN22" s="564"/>
      <c r="AO22" s="1"/>
      <c r="AP22" s="1"/>
      <c r="AQ22" s="1"/>
      <c r="AT22" s="2"/>
      <c r="AV22" s="2"/>
    </row>
    <row r="23" spans="1:48" ht="25.35" customHeight="1">
      <c r="A23" s="585"/>
      <c r="B23" s="585"/>
      <c r="C23" s="48" t="s">
        <v>55</v>
      </c>
      <c r="D23" s="504">
        <f t="shared" si="1"/>
        <v>18</v>
      </c>
      <c r="E23" s="185" t="s">
        <v>213</v>
      </c>
      <c r="F23" s="103"/>
      <c r="G23" s="513" t="s">
        <v>145</v>
      </c>
      <c r="H23" s="513" t="s">
        <v>191</v>
      </c>
      <c r="I23" s="451" t="s">
        <v>191</v>
      </c>
      <c r="J23" s="451" t="s">
        <v>191</v>
      </c>
      <c r="K23" s="451" t="s">
        <v>191</v>
      </c>
      <c r="L23" s="451" t="s">
        <v>191</v>
      </c>
      <c r="M23" s="451" t="s">
        <v>191</v>
      </c>
      <c r="N23" s="451" t="s">
        <v>145</v>
      </c>
      <c r="O23" s="451">
        <v>2</v>
      </c>
      <c r="P23" s="451">
        <v>2</v>
      </c>
      <c r="Q23" s="451">
        <v>2</v>
      </c>
      <c r="R23" s="451">
        <v>2</v>
      </c>
      <c r="S23" s="451">
        <v>2</v>
      </c>
      <c r="T23" s="451" t="s">
        <v>145</v>
      </c>
      <c r="U23" s="451">
        <v>1</v>
      </c>
      <c r="V23" s="451">
        <v>1</v>
      </c>
      <c r="W23" s="451">
        <v>1</v>
      </c>
      <c r="X23" s="451">
        <v>1</v>
      </c>
      <c r="Y23" s="451">
        <v>1</v>
      </c>
      <c r="Z23" s="451">
        <v>1</v>
      </c>
      <c r="AA23" s="451" t="s">
        <v>145</v>
      </c>
      <c r="AB23" s="451">
        <v>3</v>
      </c>
      <c r="AC23" s="451">
        <v>3</v>
      </c>
      <c r="AD23" s="451">
        <v>3</v>
      </c>
      <c r="AE23" s="451">
        <v>3</v>
      </c>
      <c r="AF23" s="451">
        <v>3</v>
      </c>
      <c r="AG23" s="451">
        <v>1</v>
      </c>
      <c r="AH23" s="451" t="s">
        <v>145</v>
      </c>
      <c r="AI23" s="451">
        <v>2</v>
      </c>
      <c r="AJ23" s="451">
        <v>2</v>
      </c>
      <c r="AK23" s="451">
        <v>2</v>
      </c>
      <c r="AL23" s="52"/>
      <c r="AM23" s="94">
        <f t="shared" si="2"/>
        <v>1</v>
      </c>
      <c r="AN23" s="564"/>
      <c r="AO23" s="1"/>
      <c r="AP23" s="1"/>
      <c r="AQ23" s="1"/>
      <c r="AT23" s="2"/>
      <c r="AV23" s="2"/>
    </row>
    <row r="24" spans="1:48" ht="25.35" customHeight="1">
      <c r="A24" s="585"/>
      <c r="B24" s="585"/>
      <c r="C24" s="48" t="s">
        <v>60</v>
      </c>
      <c r="D24" s="504">
        <f t="shared" si="1"/>
        <v>19</v>
      </c>
      <c r="E24" s="184" t="s">
        <v>192</v>
      </c>
      <c r="F24" s="101"/>
      <c r="G24" s="515" t="s">
        <v>145</v>
      </c>
      <c r="H24" s="515" t="s">
        <v>191</v>
      </c>
      <c r="I24" s="515" t="s">
        <v>191</v>
      </c>
      <c r="J24" s="515" t="s">
        <v>191</v>
      </c>
      <c r="K24" s="515" t="s">
        <v>191</v>
      </c>
      <c r="L24" s="515">
        <v>3</v>
      </c>
      <c r="M24" s="515">
        <v>3</v>
      </c>
      <c r="N24" s="451" t="s">
        <v>145</v>
      </c>
      <c r="O24" s="515">
        <v>2</v>
      </c>
      <c r="P24" s="515">
        <v>2</v>
      </c>
      <c r="Q24" s="515">
        <v>2</v>
      </c>
      <c r="R24" s="515">
        <v>2</v>
      </c>
      <c r="S24" s="515">
        <v>2</v>
      </c>
      <c r="T24" s="515" t="s">
        <v>145</v>
      </c>
      <c r="U24" s="515">
        <v>1</v>
      </c>
      <c r="V24" s="515">
        <v>1</v>
      </c>
      <c r="W24" s="515">
        <v>1</v>
      </c>
      <c r="X24" s="515">
        <v>1</v>
      </c>
      <c r="Y24" s="515">
        <v>1</v>
      </c>
      <c r="Z24" s="515">
        <v>1</v>
      </c>
      <c r="AA24" s="515" t="s">
        <v>145</v>
      </c>
      <c r="AB24" s="515">
        <v>3</v>
      </c>
      <c r="AC24" s="515">
        <v>3</v>
      </c>
      <c r="AD24" s="515">
        <v>3</v>
      </c>
      <c r="AE24" s="515">
        <v>3</v>
      </c>
      <c r="AF24" s="515">
        <v>3</v>
      </c>
      <c r="AG24" s="515" t="s">
        <v>193</v>
      </c>
      <c r="AH24" s="515" t="s">
        <v>145</v>
      </c>
      <c r="AI24" s="515">
        <v>2</v>
      </c>
      <c r="AJ24" s="515">
        <v>2</v>
      </c>
      <c r="AK24" s="515">
        <v>2</v>
      </c>
      <c r="AL24" s="471"/>
      <c r="AM24" s="94">
        <f t="shared" si="2"/>
        <v>0.96153846153846156</v>
      </c>
      <c r="AN24" s="564"/>
      <c r="AO24" s="1"/>
      <c r="AP24" s="1"/>
      <c r="AQ24" s="1"/>
      <c r="AT24" s="2"/>
      <c r="AV24" s="2"/>
    </row>
    <row r="25" spans="1:48" ht="25.35" customHeight="1">
      <c r="A25" s="585"/>
      <c r="B25" s="585"/>
      <c r="C25" s="48"/>
      <c r="D25" s="504">
        <f t="shared" si="1"/>
        <v>20</v>
      </c>
      <c r="E25" s="184" t="s">
        <v>131</v>
      </c>
      <c r="F25" s="101"/>
      <c r="G25" s="515" t="s">
        <v>145</v>
      </c>
      <c r="H25" s="515">
        <v>3</v>
      </c>
      <c r="I25" s="515">
        <v>3</v>
      </c>
      <c r="J25" s="515">
        <v>3</v>
      </c>
      <c r="K25" s="515">
        <v>3</v>
      </c>
      <c r="L25" s="515">
        <v>3</v>
      </c>
      <c r="M25" s="515">
        <v>3</v>
      </c>
      <c r="N25" s="451" t="s">
        <v>145</v>
      </c>
      <c r="O25" s="515">
        <v>2</v>
      </c>
      <c r="P25" s="515">
        <v>2</v>
      </c>
      <c r="Q25" s="515">
        <v>2</v>
      </c>
      <c r="R25" s="515">
        <v>2</v>
      </c>
      <c r="S25" s="515" t="s">
        <v>51</v>
      </c>
      <c r="T25" s="515" t="s">
        <v>145</v>
      </c>
      <c r="U25" s="515" t="s">
        <v>51</v>
      </c>
      <c r="V25" s="515" t="s">
        <v>51</v>
      </c>
      <c r="W25" s="515">
        <v>1</v>
      </c>
      <c r="X25" s="515">
        <v>1</v>
      </c>
      <c r="Y25" s="515">
        <v>1</v>
      </c>
      <c r="Z25" s="515">
        <v>1</v>
      </c>
      <c r="AA25" s="515" t="s">
        <v>145</v>
      </c>
      <c r="AB25" s="515">
        <v>3</v>
      </c>
      <c r="AC25" s="515">
        <v>3</v>
      </c>
      <c r="AD25" s="515">
        <v>3</v>
      </c>
      <c r="AE25" s="515">
        <v>3</v>
      </c>
      <c r="AF25" s="515">
        <v>3</v>
      </c>
      <c r="AG25" s="515" t="s">
        <v>193</v>
      </c>
      <c r="AH25" s="515" t="s">
        <v>145</v>
      </c>
      <c r="AI25" s="515">
        <v>2</v>
      </c>
      <c r="AJ25" s="515">
        <v>2</v>
      </c>
      <c r="AK25" s="515">
        <v>2</v>
      </c>
      <c r="AL25" s="471"/>
      <c r="AM25" s="94">
        <f t="shared" si="2"/>
        <v>0.96153846153846156</v>
      </c>
      <c r="AN25" s="564"/>
      <c r="AO25" s="1"/>
      <c r="AP25" s="1"/>
      <c r="AQ25" s="1"/>
      <c r="AT25" s="2"/>
      <c r="AV25" s="2"/>
    </row>
    <row r="26" spans="1:48" ht="25.35" customHeight="1">
      <c r="A26" s="585"/>
      <c r="B26" s="585"/>
      <c r="C26" s="48" t="s">
        <v>60</v>
      </c>
      <c r="D26" s="504">
        <f t="shared" si="1"/>
        <v>21</v>
      </c>
      <c r="E26" s="184" t="s">
        <v>223</v>
      </c>
      <c r="F26" s="103"/>
      <c r="G26" s="451">
        <v>1</v>
      </c>
      <c r="H26" s="451" t="s">
        <v>145</v>
      </c>
      <c r="I26" s="451">
        <v>3</v>
      </c>
      <c r="J26" s="451">
        <v>3</v>
      </c>
      <c r="K26" s="451">
        <v>3</v>
      </c>
      <c r="L26" s="451">
        <v>3</v>
      </c>
      <c r="M26" s="451">
        <v>3</v>
      </c>
      <c r="N26" s="451" t="s">
        <v>145</v>
      </c>
      <c r="O26" s="451">
        <v>2</v>
      </c>
      <c r="P26" s="451">
        <v>2</v>
      </c>
      <c r="Q26" s="451">
        <v>2</v>
      </c>
      <c r="R26" s="451" t="s">
        <v>179</v>
      </c>
      <c r="S26" s="451" t="s">
        <v>179</v>
      </c>
      <c r="T26" s="451" t="s">
        <v>145</v>
      </c>
      <c r="U26" s="451" t="s">
        <v>179</v>
      </c>
      <c r="V26" s="451">
        <v>1</v>
      </c>
      <c r="W26" s="451">
        <v>1</v>
      </c>
      <c r="X26" s="451">
        <v>1</v>
      </c>
      <c r="Y26" s="451">
        <v>1</v>
      </c>
      <c r="Z26" s="451">
        <v>1</v>
      </c>
      <c r="AA26" s="451" t="s">
        <v>145</v>
      </c>
      <c r="AB26" s="451">
        <v>3</v>
      </c>
      <c r="AC26" s="451">
        <v>3</v>
      </c>
      <c r="AD26" s="451" t="s">
        <v>51</v>
      </c>
      <c r="AE26" s="451" t="s">
        <v>51</v>
      </c>
      <c r="AF26" s="451" t="s">
        <v>51</v>
      </c>
      <c r="AG26" s="451">
        <v>3</v>
      </c>
      <c r="AH26" s="451" t="s">
        <v>145</v>
      </c>
      <c r="AI26" s="451">
        <v>2</v>
      </c>
      <c r="AJ26" s="451">
        <v>2</v>
      </c>
      <c r="AK26" s="451">
        <v>2</v>
      </c>
      <c r="AL26" s="52"/>
      <c r="AM26" s="94">
        <f t="shared" si="2"/>
        <v>1</v>
      </c>
      <c r="AN26" s="564"/>
      <c r="AO26" s="1"/>
      <c r="AP26" s="1"/>
      <c r="AQ26" s="1"/>
      <c r="AT26" s="2"/>
      <c r="AV26" s="2"/>
    </row>
    <row r="27" spans="1:48" ht="25.35" customHeight="1" thickBot="1">
      <c r="A27" s="585"/>
      <c r="B27" s="585"/>
      <c r="C27" s="48"/>
      <c r="D27" s="510">
        <f>D26+1</f>
        <v>22</v>
      </c>
      <c r="E27" s="185"/>
      <c r="F27" s="106"/>
      <c r="G27" s="516"/>
      <c r="H27" s="479"/>
      <c r="I27" s="479"/>
      <c r="J27" s="479"/>
      <c r="K27" s="479"/>
      <c r="L27" s="479"/>
      <c r="M27" s="479"/>
      <c r="N27" s="479"/>
      <c r="O27" s="479"/>
      <c r="P27" s="479"/>
      <c r="Q27" s="479"/>
      <c r="R27" s="479"/>
      <c r="S27" s="479"/>
      <c r="T27" s="479"/>
      <c r="U27" s="479"/>
      <c r="V27" s="479"/>
      <c r="W27" s="479"/>
      <c r="X27" s="479"/>
      <c r="Y27" s="479"/>
      <c r="Z27" s="479"/>
      <c r="AA27" s="479"/>
      <c r="AB27" s="479"/>
      <c r="AC27" s="479"/>
      <c r="AD27" s="479"/>
      <c r="AE27" s="479"/>
      <c r="AF27" s="479"/>
      <c r="AG27" s="479"/>
      <c r="AH27" s="479"/>
      <c r="AI27" s="479"/>
      <c r="AJ27" s="479"/>
      <c r="AK27" s="479"/>
      <c r="AL27" s="472"/>
      <c r="AM27" s="506" t="str">
        <f>IF((COUNTIF(G27:AK27, "x")+COUNTIF(G27:AK27, "1")+COUNTIF(G27:AK27, "2")+COUNTIF(G27:AK27, "3"))=0, "", (COUNTIF(G27:AK27, "1")+COUNTIF(G27:AK27, "2")+COUNTIF(G27:AK27, "3"))/(COUNTIF(G27:AK27, "x")+COUNTIF(G27:AK27, "1")+COUNTIF(G27:AK27, "2")+COUNTIF(G27:AK27, "3")))</f>
        <v/>
      </c>
      <c r="AN27" s="574"/>
      <c r="AO27" s="1"/>
      <c r="AP27" s="1"/>
      <c r="AQ27" s="1"/>
      <c r="AT27" s="2"/>
      <c r="AV27" s="2"/>
    </row>
    <row r="28" spans="1:48" ht="25.35" customHeight="1">
      <c r="A28" s="163"/>
      <c r="B28" s="163"/>
      <c r="C28" s="48"/>
      <c r="D28" s="172"/>
      <c r="E28" s="489"/>
      <c r="F28" s="30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  <c r="AH28" s="517"/>
      <c r="AI28" s="517"/>
      <c r="AJ28" s="517"/>
      <c r="AK28" s="517"/>
      <c r="AL28" s="473"/>
      <c r="AM28" s="165"/>
      <c r="AN28" s="173"/>
      <c r="AO28" s="1"/>
      <c r="AP28" s="1"/>
      <c r="AQ28" s="1"/>
      <c r="AT28" s="2"/>
      <c r="AV28" s="2"/>
    </row>
    <row r="29" spans="1:48" ht="4.1500000000000004" customHeight="1" thickBot="1">
      <c r="B29" s="107"/>
      <c r="C29" s="152" t="s">
        <v>165</v>
      </c>
      <c r="D29" s="174"/>
      <c r="E29" s="164"/>
      <c r="F29" s="164"/>
      <c r="G29" s="518"/>
      <c r="H29" s="518"/>
      <c r="I29" s="518"/>
      <c r="J29" s="518"/>
      <c r="K29" s="518"/>
      <c r="L29" s="519"/>
      <c r="M29" s="519"/>
      <c r="N29" s="519"/>
      <c r="O29" s="519"/>
      <c r="P29" s="519"/>
      <c r="Q29" s="519"/>
      <c r="R29" s="519"/>
      <c r="S29" s="519"/>
      <c r="T29" s="519"/>
      <c r="U29" s="519"/>
      <c r="V29" s="519"/>
      <c r="W29" s="519"/>
      <c r="X29" s="519"/>
      <c r="Y29" s="519"/>
      <c r="Z29" s="519"/>
      <c r="AA29" s="519"/>
      <c r="AB29" s="519"/>
      <c r="AC29" s="519"/>
      <c r="AD29" s="519"/>
      <c r="AE29" s="519"/>
      <c r="AF29" s="519"/>
      <c r="AG29" s="519"/>
      <c r="AH29" s="519"/>
      <c r="AI29" s="519"/>
      <c r="AJ29" s="519"/>
      <c r="AK29" s="519"/>
      <c r="AL29" s="475"/>
      <c r="AM29" s="23" t="s">
        <v>163</v>
      </c>
      <c r="AN29" s="175"/>
      <c r="AO29" s="23"/>
      <c r="AP29" s="23"/>
      <c r="AQ29" s="23"/>
      <c r="AT29" s="2"/>
      <c r="AV29" s="2"/>
    </row>
    <row r="30" spans="1:48" ht="25.35" hidden="1" customHeight="1">
      <c r="B30" s="108"/>
      <c r="C30" s="49"/>
      <c r="D30" s="95">
        <v>1</v>
      </c>
      <c r="E30" s="77" t="s">
        <v>17</v>
      </c>
      <c r="F30" s="101" t="s">
        <v>142</v>
      </c>
      <c r="G30" s="511"/>
      <c r="H30" s="520"/>
      <c r="I30" s="520"/>
      <c r="J30" s="520"/>
      <c r="K30" s="520"/>
      <c r="L30" s="520"/>
      <c r="M30" s="520"/>
      <c r="N30" s="520"/>
      <c r="O30" s="520"/>
      <c r="P30" s="520"/>
      <c r="Q30" s="520"/>
      <c r="R30" s="520"/>
      <c r="S30" s="520"/>
      <c r="T30" s="520"/>
      <c r="U30" s="520"/>
      <c r="V30" s="520"/>
      <c r="W30" s="520"/>
      <c r="X30" s="520"/>
      <c r="Y30" s="520"/>
      <c r="Z30" s="520"/>
      <c r="AA30" s="520"/>
      <c r="AB30" s="520"/>
      <c r="AC30" s="520"/>
      <c r="AD30" s="520"/>
      <c r="AE30" s="520"/>
      <c r="AF30" s="520"/>
      <c r="AG30" s="520"/>
      <c r="AH30" s="520"/>
      <c r="AI30" s="520"/>
      <c r="AJ30" s="520"/>
      <c r="AK30" s="520"/>
      <c r="AL30" s="470"/>
      <c r="AM30" s="485"/>
      <c r="AN30" s="166"/>
      <c r="AO30" s="1"/>
      <c r="AP30" s="1"/>
      <c r="AQ30" s="1"/>
      <c r="AT30" s="2"/>
      <c r="AV30" s="2"/>
    </row>
    <row r="31" spans="1:48" ht="25.35" hidden="1" customHeight="1">
      <c r="B31" s="108"/>
      <c r="C31" s="49"/>
      <c r="D31" s="95">
        <v>2</v>
      </c>
      <c r="E31" s="77" t="s">
        <v>29</v>
      </c>
      <c r="F31" s="97" t="s">
        <v>143</v>
      </c>
      <c r="G31" s="451"/>
      <c r="H31" s="451"/>
      <c r="I31" s="451"/>
      <c r="J31" s="451"/>
      <c r="K31" s="451"/>
      <c r="L31" s="451"/>
      <c r="M31" s="451"/>
      <c r="N31" s="451"/>
      <c r="O31" s="451"/>
      <c r="P31" s="451"/>
      <c r="Q31" s="451"/>
      <c r="R31" s="451"/>
      <c r="S31" s="451"/>
      <c r="T31" s="451"/>
      <c r="U31" s="451"/>
      <c r="V31" s="451"/>
      <c r="W31" s="451"/>
      <c r="X31" s="451"/>
      <c r="Y31" s="451"/>
      <c r="Z31" s="451"/>
      <c r="AA31" s="451"/>
      <c r="AB31" s="451"/>
      <c r="AC31" s="451"/>
      <c r="AD31" s="451"/>
      <c r="AE31" s="451"/>
      <c r="AF31" s="451"/>
      <c r="AG31" s="451"/>
      <c r="AH31" s="451"/>
      <c r="AI31" s="451"/>
      <c r="AJ31" s="451"/>
      <c r="AK31" s="451"/>
      <c r="AL31" s="52"/>
      <c r="AM31" s="485"/>
      <c r="AN31" s="166"/>
      <c r="AO31" s="1"/>
      <c r="AP31" s="1"/>
      <c r="AQ31" s="1"/>
      <c r="AT31" s="2"/>
      <c r="AV31" s="2"/>
    </row>
    <row r="32" spans="1:48" ht="25.35" hidden="1" customHeight="1">
      <c r="B32" s="110"/>
      <c r="C32" s="49"/>
      <c r="D32" s="167">
        <v>3</v>
      </c>
      <c r="E32" s="154" t="s">
        <v>30</v>
      </c>
      <c r="F32" s="480" t="s">
        <v>143</v>
      </c>
      <c r="G32" s="515"/>
      <c r="H32" s="515"/>
      <c r="I32" s="515"/>
      <c r="J32" s="515"/>
      <c r="K32" s="515"/>
      <c r="L32" s="515"/>
      <c r="M32" s="515"/>
      <c r="N32" s="515"/>
      <c r="O32" s="515"/>
      <c r="P32" s="515"/>
      <c r="Q32" s="515"/>
      <c r="R32" s="515"/>
      <c r="S32" s="515"/>
      <c r="T32" s="515"/>
      <c r="U32" s="515"/>
      <c r="V32" s="515"/>
      <c r="W32" s="515"/>
      <c r="X32" s="515"/>
      <c r="Y32" s="515"/>
      <c r="Z32" s="515"/>
      <c r="AA32" s="515"/>
      <c r="AB32" s="515"/>
      <c r="AC32" s="515"/>
      <c r="AD32" s="515"/>
      <c r="AE32" s="515"/>
      <c r="AF32" s="515"/>
      <c r="AG32" s="515"/>
      <c r="AH32" s="515"/>
      <c r="AI32" s="515"/>
      <c r="AJ32" s="515"/>
      <c r="AK32" s="515"/>
      <c r="AL32" s="471"/>
      <c r="AM32" s="486"/>
      <c r="AN32" s="168"/>
      <c r="AO32" s="1"/>
      <c r="AP32" s="1"/>
      <c r="AQ32" s="1"/>
      <c r="AT32" s="2"/>
      <c r="AV32" s="2"/>
    </row>
    <row r="33" spans="1:48" ht="30" customHeight="1" thickBot="1">
      <c r="B33" s="110"/>
      <c r="C33" s="47" t="s">
        <v>166</v>
      </c>
      <c r="D33" s="565" t="s">
        <v>141</v>
      </c>
      <c r="E33" s="566"/>
      <c r="F33" s="155"/>
      <c r="G33" s="476"/>
      <c r="H33" s="477"/>
      <c r="I33" s="477"/>
      <c r="J33" s="477"/>
      <c r="K33" s="477" t="s">
        <v>371</v>
      </c>
      <c r="L33" s="477" t="s">
        <v>371</v>
      </c>
      <c r="M33" s="477" t="s">
        <v>373</v>
      </c>
      <c r="N33" s="477" t="s">
        <v>373</v>
      </c>
      <c r="O33" s="477"/>
      <c r="P33" s="477" t="s">
        <v>373</v>
      </c>
      <c r="Q33" s="477" t="s">
        <v>373</v>
      </c>
      <c r="R33" s="477" t="s">
        <v>373</v>
      </c>
      <c r="S33" s="477" t="s">
        <v>373</v>
      </c>
      <c r="T33" s="477" t="s">
        <v>373</v>
      </c>
      <c r="U33" s="477"/>
      <c r="V33" s="477" t="s">
        <v>378</v>
      </c>
      <c r="W33" s="477" t="s">
        <v>371</v>
      </c>
      <c r="X33" s="477" t="s">
        <v>371</v>
      </c>
      <c r="Y33" s="477" t="s">
        <v>373</v>
      </c>
      <c r="Z33" s="477" t="s">
        <v>371</v>
      </c>
      <c r="AA33" s="477" t="s">
        <v>373</v>
      </c>
      <c r="AB33" s="477"/>
      <c r="AC33" s="477" t="s">
        <v>371</v>
      </c>
      <c r="AD33" s="477" t="s">
        <v>373</v>
      </c>
      <c r="AE33" s="477" t="s">
        <v>373</v>
      </c>
      <c r="AF33" s="477" t="s">
        <v>373</v>
      </c>
      <c r="AG33" s="477" t="s">
        <v>373</v>
      </c>
      <c r="AH33" s="477" t="s">
        <v>373</v>
      </c>
      <c r="AI33" s="477"/>
      <c r="AJ33" s="477" t="s">
        <v>374</v>
      </c>
      <c r="AK33" s="477" t="s">
        <v>371</v>
      </c>
      <c r="AL33" s="477"/>
      <c r="AM33" s="161"/>
      <c r="AN33" s="162"/>
      <c r="AO33" s="1"/>
      <c r="AP33" s="1"/>
      <c r="AQ33" s="1"/>
      <c r="AT33" s="2"/>
      <c r="AV33" s="2"/>
    </row>
    <row r="34" spans="1:48" ht="25.35" customHeight="1">
      <c r="A34" s="567" t="s">
        <v>185</v>
      </c>
      <c r="B34" s="567"/>
      <c r="C34" s="49" t="s">
        <v>55</v>
      </c>
      <c r="D34" s="91">
        <v>1</v>
      </c>
      <c r="E34" s="178" t="s">
        <v>217</v>
      </c>
      <c r="F34" s="93"/>
      <c r="G34" s="521" t="s">
        <v>51</v>
      </c>
      <c r="H34" s="511" t="s">
        <v>145</v>
      </c>
      <c r="I34" s="511" t="s">
        <v>51</v>
      </c>
      <c r="J34" s="511" t="s">
        <v>51</v>
      </c>
      <c r="K34" s="511" t="s">
        <v>51</v>
      </c>
      <c r="L34" s="511">
        <v>2</v>
      </c>
      <c r="M34" s="511">
        <v>2</v>
      </c>
      <c r="N34" s="511">
        <v>2</v>
      </c>
      <c r="O34" s="511" t="s">
        <v>145</v>
      </c>
      <c r="P34" s="511">
        <v>1</v>
      </c>
      <c r="Q34" s="511">
        <v>1</v>
      </c>
      <c r="R34" s="511">
        <v>1</v>
      </c>
      <c r="S34" s="511">
        <v>1</v>
      </c>
      <c r="T34" s="511">
        <v>1</v>
      </c>
      <c r="U34" s="511" t="s">
        <v>145</v>
      </c>
      <c r="V34" s="511">
        <v>3</v>
      </c>
      <c r="W34" s="511">
        <v>3</v>
      </c>
      <c r="X34" s="511">
        <v>3</v>
      </c>
      <c r="Y34" s="511">
        <v>3</v>
      </c>
      <c r="Z34" s="511">
        <v>3</v>
      </c>
      <c r="AA34" s="511">
        <v>3</v>
      </c>
      <c r="AB34" s="511" t="s">
        <v>145</v>
      </c>
      <c r="AC34" s="511">
        <v>2</v>
      </c>
      <c r="AD34" s="511">
        <v>2</v>
      </c>
      <c r="AE34" s="511">
        <v>2</v>
      </c>
      <c r="AF34" s="511">
        <v>2</v>
      </c>
      <c r="AG34" s="511">
        <v>2</v>
      </c>
      <c r="AH34" s="511">
        <v>2</v>
      </c>
      <c r="AI34" s="522" t="s">
        <v>145</v>
      </c>
      <c r="AJ34" s="522">
        <v>1</v>
      </c>
      <c r="AK34" s="522">
        <v>1</v>
      </c>
      <c r="AL34" s="470"/>
      <c r="AM34" s="94">
        <f t="shared" ref="AM34:AM54" si="3">IF((COUNTIF(G34:AK34, "x")+COUNTIF(G34:AK34, "1")+COUNTIF(G34:AK34, "2")+COUNTIF(G34:AK34, "3")+COUNTIF(G34:AK34, "L")+COUNTIF(G34:AK34, "VL")+COUNTIF(G34:AK34, "SL")+COUNTIF(G34:AK34, "EL"))=0, "", (COUNTIF(G34:AK34, "1")+COUNTIF(G34:AK34, "2")+COUNTIF(G34:AK34, "3")+COUNTIF(G34:AK34, "L")+COUNTIF(G34:AK34, "VL")+COUNTIF(G34:AK34, "SL")+COUNTIF(G34:AK34, "EL"))/(COUNTIF(G34:AK34, "x")+COUNTIF(G34:AK34, "1")+COUNTIF(G34:AK34, "2")+COUNTIF(G34:AK34, "3")+COUNTIF(G34:AK34, "L")+COUNTIF(G34:AK34, "VL")+COUNTIF(G34:AK34, "SL")+COUNTIF(G34:AK34, "EL")))</f>
        <v>1</v>
      </c>
      <c r="AN34" s="568">
        <f>AVERAGE(AM34:AM55)</f>
        <v>1</v>
      </c>
      <c r="AO34" s="1"/>
      <c r="AP34" s="1"/>
      <c r="AQ34" s="1"/>
      <c r="AT34" s="2"/>
      <c r="AV34" s="2"/>
    </row>
    <row r="35" spans="1:48" ht="25.35" customHeight="1">
      <c r="A35" s="567"/>
      <c r="B35" s="567"/>
      <c r="C35" s="49" t="s">
        <v>55</v>
      </c>
      <c r="D35" s="504">
        <f>D34+1</f>
        <v>2</v>
      </c>
      <c r="E35" s="179" t="s">
        <v>362</v>
      </c>
      <c r="F35" s="101"/>
      <c r="G35" s="523">
        <v>3</v>
      </c>
      <c r="H35" s="451" t="s">
        <v>145</v>
      </c>
      <c r="I35" s="451">
        <v>2</v>
      </c>
      <c r="J35" s="451">
        <v>2</v>
      </c>
      <c r="K35" s="451">
        <v>2</v>
      </c>
      <c r="L35" s="451">
        <v>2</v>
      </c>
      <c r="M35" s="451">
        <v>2</v>
      </c>
      <c r="N35" s="451">
        <v>2</v>
      </c>
      <c r="O35" s="511" t="s">
        <v>145</v>
      </c>
      <c r="P35" s="451">
        <v>1</v>
      </c>
      <c r="Q35" s="451">
        <v>1</v>
      </c>
      <c r="R35" s="451">
        <v>1</v>
      </c>
      <c r="S35" s="451">
        <v>1</v>
      </c>
      <c r="T35" s="451">
        <v>1</v>
      </c>
      <c r="U35" s="451" t="s">
        <v>145</v>
      </c>
      <c r="V35" s="451">
        <v>3</v>
      </c>
      <c r="W35" s="451">
        <v>3</v>
      </c>
      <c r="X35" s="451">
        <v>3</v>
      </c>
      <c r="Y35" s="451">
        <v>3</v>
      </c>
      <c r="Z35" s="451">
        <v>3</v>
      </c>
      <c r="AA35" s="451">
        <v>3</v>
      </c>
      <c r="AB35" s="451" t="s">
        <v>145</v>
      </c>
      <c r="AC35" s="451">
        <v>2</v>
      </c>
      <c r="AD35" s="451">
        <v>2</v>
      </c>
      <c r="AE35" s="451">
        <v>2</v>
      </c>
      <c r="AF35" s="451">
        <v>2</v>
      </c>
      <c r="AG35" s="451">
        <v>2</v>
      </c>
      <c r="AH35" s="451">
        <v>2</v>
      </c>
      <c r="AI35" s="522" t="s">
        <v>145</v>
      </c>
      <c r="AJ35" s="451">
        <v>1</v>
      </c>
      <c r="AK35" s="524">
        <v>1</v>
      </c>
      <c r="AL35" s="52"/>
      <c r="AM35" s="94">
        <f t="shared" si="3"/>
        <v>1</v>
      </c>
      <c r="AN35" s="569"/>
      <c r="AO35" s="1"/>
      <c r="AP35" s="1"/>
      <c r="AQ35" s="1"/>
      <c r="AT35" s="2"/>
      <c r="AV35" s="2"/>
    </row>
    <row r="36" spans="1:48" ht="25.35" customHeight="1">
      <c r="A36" s="567"/>
      <c r="B36" s="567"/>
      <c r="C36" s="49" t="s">
        <v>55</v>
      </c>
      <c r="D36" s="504">
        <f>D35+1</f>
        <v>3</v>
      </c>
      <c r="E36" s="179" t="s">
        <v>366</v>
      </c>
      <c r="F36" s="97"/>
      <c r="G36" s="523">
        <v>3</v>
      </c>
      <c r="H36" s="451" t="s">
        <v>145</v>
      </c>
      <c r="I36" s="451">
        <v>2</v>
      </c>
      <c r="J36" s="451">
        <v>2</v>
      </c>
      <c r="K36" s="451" t="s">
        <v>51</v>
      </c>
      <c r="L36" s="451" t="s">
        <v>51</v>
      </c>
      <c r="M36" s="451">
        <v>2</v>
      </c>
      <c r="N36" s="451">
        <v>2</v>
      </c>
      <c r="O36" s="511" t="s">
        <v>145</v>
      </c>
      <c r="P36" s="451">
        <v>1</v>
      </c>
      <c r="Q36" s="451">
        <v>1</v>
      </c>
      <c r="R36" s="451">
        <v>1</v>
      </c>
      <c r="S36" s="451">
        <v>1</v>
      </c>
      <c r="T36" s="451">
        <v>1</v>
      </c>
      <c r="U36" s="451" t="s">
        <v>145</v>
      </c>
      <c r="V36" s="451">
        <v>3</v>
      </c>
      <c r="W36" s="451">
        <v>3</v>
      </c>
      <c r="X36" s="451">
        <v>3</v>
      </c>
      <c r="Y36" s="451">
        <v>3</v>
      </c>
      <c r="Z36" s="451">
        <v>3</v>
      </c>
      <c r="AA36" s="451">
        <v>3</v>
      </c>
      <c r="AB36" s="451" t="s">
        <v>145</v>
      </c>
      <c r="AC36" s="451">
        <v>2</v>
      </c>
      <c r="AD36" s="451">
        <v>2</v>
      </c>
      <c r="AE36" s="451">
        <v>2</v>
      </c>
      <c r="AF36" s="451">
        <v>2</v>
      </c>
      <c r="AG36" s="451">
        <v>2</v>
      </c>
      <c r="AH36" s="451">
        <v>2</v>
      </c>
      <c r="AI36" s="522" t="s">
        <v>145</v>
      </c>
      <c r="AJ36" s="451">
        <v>1</v>
      </c>
      <c r="AK36" s="524">
        <v>1</v>
      </c>
      <c r="AL36" s="52"/>
      <c r="AM36" s="94">
        <f t="shared" si="3"/>
        <v>1</v>
      </c>
      <c r="AN36" s="569"/>
      <c r="AO36" s="1"/>
      <c r="AP36" s="1"/>
      <c r="AQ36" s="1"/>
      <c r="AT36" s="2"/>
      <c r="AV36" s="2"/>
    </row>
    <row r="37" spans="1:48" ht="25.35" customHeight="1">
      <c r="A37" s="567"/>
      <c r="B37" s="567"/>
      <c r="C37" s="49" t="s">
        <v>60</v>
      </c>
      <c r="D37" s="504">
        <f>D36+1</f>
        <v>4</v>
      </c>
      <c r="E37" s="178" t="s">
        <v>127</v>
      </c>
      <c r="F37" s="97"/>
      <c r="G37" s="523">
        <v>3</v>
      </c>
      <c r="H37" s="451" t="s">
        <v>145</v>
      </c>
      <c r="I37" s="451">
        <v>2</v>
      </c>
      <c r="J37" s="451">
        <v>2</v>
      </c>
      <c r="K37" s="451">
        <v>2</v>
      </c>
      <c r="L37" s="451">
        <v>2</v>
      </c>
      <c r="M37" s="451">
        <v>2</v>
      </c>
      <c r="N37" s="451">
        <v>2</v>
      </c>
      <c r="O37" s="511" t="s">
        <v>145</v>
      </c>
      <c r="P37" s="451">
        <v>1</v>
      </c>
      <c r="Q37" s="451" t="s">
        <v>179</v>
      </c>
      <c r="R37" s="451">
        <v>1</v>
      </c>
      <c r="S37" s="451" t="s">
        <v>179</v>
      </c>
      <c r="T37" s="451" t="s">
        <v>179</v>
      </c>
      <c r="U37" s="451" t="s">
        <v>145</v>
      </c>
      <c r="V37" s="451">
        <v>3</v>
      </c>
      <c r="W37" s="451" t="s">
        <v>179</v>
      </c>
      <c r="X37" s="451">
        <v>3</v>
      </c>
      <c r="Y37" s="451" t="s">
        <v>179</v>
      </c>
      <c r="Z37" s="451" t="s">
        <v>190</v>
      </c>
      <c r="AA37" s="451" t="s">
        <v>190</v>
      </c>
      <c r="AB37" s="451" t="s">
        <v>145</v>
      </c>
      <c r="AC37" s="451">
        <v>2</v>
      </c>
      <c r="AD37" s="451" t="s">
        <v>381</v>
      </c>
      <c r="AE37" s="451">
        <v>2</v>
      </c>
      <c r="AF37" s="451" t="s">
        <v>51</v>
      </c>
      <c r="AG37" s="451" t="s">
        <v>179</v>
      </c>
      <c r="AH37" s="451">
        <v>2</v>
      </c>
      <c r="AI37" s="522" t="s">
        <v>145</v>
      </c>
      <c r="AJ37" s="451">
        <v>1</v>
      </c>
      <c r="AK37" s="524">
        <v>1</v>
      </c>
      <c r="AL37" s="52"/>
      <c r="AM37" s="94">
        <f t="shared" si="3"/>
        <v>1</v>
      </c>
      <c r="AN37" s="569"/>
      <c r="AO37" s="1"/>
      <c r="AP37" s="1"/>
      <c r="AQ37" s="1"/>
      <c r="AT37" s="2"/>
      <c r="AV37" s="2"/>
    </row>
    <row r="38" spans="1:48" ht="25.35" customHeight="1">
      <c r="A38" s="567"/>
      <c r="B38" s="567"/>
      <c r="C38" s="49" t="s">
        <v>60</v>
      </c>
      <c r="D38" s="504">
        <f t="shared" ref="D38:D54" si="4">D37+1</f>
        <v>5</v>
      </c>
      <c r="E38" s="178" t="s">
        <v>12</v>
      </c>
      <c r="F38" s="97"/>
      <c r="G38" s="523" t="s">
        <v>51</v>
      </c>
      <c r="H38" s="451" t="s">
        <v>145</v>
      </c>
      <c r="I38" s="451">
        <v>2</v>
      </c>
      <c r="J38" s="451">
        <v>2</v>
      </c>
      <c r="K38" s="451">
        <v>2</v>
      </c>
      <c r="L38" s="451">
        <v>2</v>
      </c>
      <c r="M38" s="451">
        <v>2</v>
      </c>
      <c r="N38" s="451">
        <v>2</v>
      </c>
      <c r="O38" s="511" t="s">
        <v>145</v>
      </c>
      <c r="P38" s="451">
        <v>1</v>
      </c>
      <c r="Q38" s="451">
        <v>1</v>
      </c>
      <c r="R38" s="451">
        <v>1</v>
      </c>
      <c r="S38" s="451">
        <v>1</v>
      </c>
      <c r="T38" s="451">
        <v>1</v>
      </c>
      <c r="U38" s="451" t="s">
        <v>145</v>
      </c>
      <c r="V38" s="451">
        <v>3</v>
      </c>
      <c r="W38" s="451">
        <v>3</v>
      </c>
      <c r="X38" s="451">
        <v>3</v>
      </c>
      <c r="Y38" s="451">
        <v>3</v>
      </c>
      <c r="Z38" s="451">
        <v>3</v>
      </c>
      <c r="AA38" s="451">
        <v>3</v>
      </c>
      <c r="AB38" s="451" t="s">
        <v>145</v>
      </c>
      <c r="AC38" s="451">
        <v>2</v>
      </c>
      <c r="AD38" s="451" t="s">
        <v>179</v>
      </c>
      <c r="AE38" s="451">
        <v>2</v>
      </c>
      <c r="AF38" s="451">
        <v>2</v>
      </c>
      <c r="AG38" s="451">
        <v>2</v>
      </c>
      <c r="AH38" s="451">
        <v>2</v>
      </c>
      <c r="AI38" s="522" t="s">
        <v>145</v>
      </c>
      <c r="AJ38" s="524">
        <v>1</v>
      </c>
      <c r="AK38" s="524">
        <v>1</v>
      </c>
      <c r="AL38" s="52"/>
      <c r="AM38" s="94">
        <f t="shared" si="3"/>
        <v>1</v>
      </c>
      <c r="AN38" s="569"/>
      <c r="AO38" s="1"/>
      <c r="AP38" s="1"/>
      <c r="AQ38" s="1"/>
      <c r="AT38" s="2"/>
      <c r="AV38" s="2"/>
    </row>
    <row r="39" spans="1:48" ht="25.35" customHeight="1">
      <c r="A39" s="567"/>
      <c r="B39" s="567"/>
      <c r="C39" s="49" t="s">
        <v>60</v>
      </c>
      <c r="D39" s="504">
        <f t="shared" si="4"/>
        <v>6</v>
      </c>
      <c r="E39" s="178" t="s">
        <v>50</v>
      </c>
      <c r="F39" s="97"/>
      <c r="G39" s="523">
        <v>3</v>
      </c>
      <c r="H39" s="451" t="s">
        <v>145</v>
      </c>
      <c r="I39" s="451">
        <v>2</v>
      </c>
      <c r="J39" s="451">
        <v>2</v>
      </c>
      <c r="K39" s="451">
        <v>3</v>
      </c>
      <c r="L39" s="451">
        <v>2</v>
      </c>
      <c r="M39" s="451">
        <v>2</v>
      </c>
      <c r="N39" s="451">
        <v>2</v>
      </c>
      <c r="O39" s="511" t="s">
        <v>145</v>
      </c>
      <c r="P39" s="451">
        <v>1</v>
      </c>
      <c r="Q39" s="451">
        <v>1</v>
      </c>
      <c r="R39" s="451">
        <v>1</v>
      </c>
      <c r="S39" s="451">
        <v>1</v>
      </c>
      <c r="T39" s="451">
        <v>1</v>
      </c>
      <c r="U39" s="451" t="s">
        <v>145</v>
      </c>
      <c r="V39" s="451">
        <v>3</v>
      </c>
      <c r="W39" s="451">
        <v>3</v>
      </c>
      <c r="X39" s="451">
        <v>3</v>
      </c>
      <c r="Y39" s="451">
        <v>3</v>
      </c>
      <c r="Z39" s="451">
        <v>3</v>
      </c>
      <c r="AA39" s="451">
        <v>3</v>
      </c>
      <c r="AB39" s="451" t="s">
        <v>145</v>
      </c>
      <c r="AC39" s="451">
        <v>2</v>
      </c>
      <c r="AD39" s="451">
        <v>2</v>
      </c>
      <c r="AE39" s="451" t="s">
        <v>190</v>
      </c>
      <c r="AF39" s="451">
        <v>2</v>
      </c>
      <c r="AG39" s="451">
        <v>2</v>
      </c>
      <c r="AH39" s="451">
        <v>2</v>
      </c>
      <c r="AI39" s="522" t="s">
        <v>145</v>
      </c>
      <c r="AJ39" s="524">
        <v>1</v>
      </c>
      <c r="AK39" s="524">
        <v>1</v>
      </c>
      <c r="AL39" s="52"/>
      <c r="AM39" s="94">
        <f t="shared" si="3"/>
        <v>1</v>
      </c>
      <c r="AN39" s="569"/>
      <c r="AO39" s="1"/>
      <c r="AP39" s="1"/>
      <c r="AQ39" s="1"/>
      <c r="AT39" s="2"/>
      <c r="AV39" s="2"/>
    </row>
    <row r="40" spans="1:48" ht="25.35" customHeight="1">
      <c r="A40" s="567"/>
      <c r="B40" s="567"/>
      <c r="C40" s="49" t="s">
        <v>60</v>
      </c>
      <c r="D40" s="504">
        <f t="shared" si="4"/>
        <v>7</v>
      </c>
      <c r="E40" s="178" t="s">
        <v>126</v>
      </c>
      <c r="F40" s="97"/>
      <c r="G40" s="523" t="s">
        <v>51</v>
      </c>
      <c r="H40" s="451" t="s">
        <v>145</v>
      </c>
      <c r="I40" s="451">
        <v>2</v>
      </c>
      <c r="J40" s="451">
        <v>2</v>
      </c>
      <c r="K40" s="451">
        <v>2</v>
      </c>
      <c r="L40" s="451">
        <v>2</v>
      </c>
      <c r="M40" s="451">
        <v>2</v>
      </c>
      <c r="N40" s="451">
        <v>2</v>
      </c>
      <c r="O40" s="511" t="s">
        <v>145</v>
      </c>
      <c r="P40" s="451">
        <v>1</v>
      </c>
      <c r="Q40" s="451">
        <v>1</v>
      </c>
      <c r="R40" s="451">
        <v>1</v>
      </c>
      <c r="S40" s="451">
        <v>1</v>
      </c>
      <c r="T40" s="451">
        <v>1</v>
      </c>
      <c r="U40" s="451" t="s">
        <v>145</v>
      </c>
      <c r="V40" s="451">
        <v>3</v>
      </c>
      <c r="W40" s="451">
        <v>3</v>
      </c>
      <c r="X40" s="451">
        <v>3</v>
      </c>
      <c r="Y40" s="451">
        <v>3</v>
      </c>
      <c r="Z40" s="451">
        <v>3</v>
      </c>
      <c r="AA40" s="451">
        <v>3</v>
      </c>
      <c r="AB40" s="451" t="s">
        <v>145</v>
      </c>
      <c r="AC40" s="451">
        <v>2</v>
      </c>
      <c r="AD40" s="451">
        <v>2</v>
      </c>
      <c r="AE40" s="451">
        <v>2</v>
      </c>
      <c r="AF40" s="451">
        <v>2</v>
      </c>
      <c r="AG40" s="451">
        <v>2</v>
      </c>
      <c r="AH40" s="451">
        <v>2</v>
      </c>
      <c r="AI40" s="522" t="s">
        <v>145</v>
      </c>
      <c r="AJ40" s="524">
        <v>1</v>
      </c>
      <c r="AK40" s="524">
        <v>1</v>
      </c>
      <c r="AL40" s="52"/>
      <c r="AM40" s="94">
        <f t="shared" si="3"/>
        <v>1</v>
      </c>
      <c r="AN40" s="569"/>
      <c r="AO40" s="1"/>
      <c r="AP40" s="1"/>
      <c r="AQ40" s="1"/>
      <c r="AT40" s="2"/>
      <c r="AV40" s="2"/>
    </row>
    <row r="41" spans="1:48" ht="25.35" customHeight="1">
      <c r="A41" s="567"/>
      <c r="B41" s="567"/>
      <c r="C41" s="49" t="s">
        <v>60</v>
      </c>
      <c r="D41" s="504">
        <f t="shared" si="4"/>
        <v>8</v>
      </c>
      <c r="E41" s="178" t="s">
        <v>365</v>
      </c>
      <c r="F41" s="97"/>
      <c r="G41" s="523">
        <v>3</v>
      </c>
      <c r="H41" s="451" t="s">
        <v>145</v>
      </c>
      <c r="I41" s="451">
        <v>2</v>
      </c>
      <c r="J41" s="451">
        <v>2</v>
      </c>
      <c r="K41" s="451">
        <v>2</v>
      </c>
      <c r="L41" s="451">
        <v>2</v>
      </c>
      <c r="M41" s="451">
        <v>2</v>
      </c>
      <c r="N41" s="451">
        <v>2</v>
      </c>
      <c r="O41" s="511" t="s">
        <v>145</v>
      </c>
      <c r="P41" s="451">
        <v>1</v>
      </c>
      <c r="Q41" s="451">
        <v>1</v>
      </c>
      <c r="R41" s="451">
        <v>1</v>
      </c>
      <c r="S41" s="451">
        <v>1</v>
      </c>
      <c r="T41" s="451">
        <v>1</v>
      </c>
      <c r="U41" s="451" t="s">
        <v>145</v>
      </c>
      <c r="V41" s="451">
        <v>3</v>
      </c>
      <c r="W41" s="451">
        <v>3</v>
      </c>
      <c r="X41" s="451">
        <v>3</v>
      </c>
      <c r="Y41" s="451">
        <v>3</v>
      </c>
      <c r="Z41" s="451">
        <v>3</v>
      </c>
      <c r="AA41" s="451">
        <v>3</v>
      </c>
      <c r="AB41" s="451" t="s">
        <v>145</v>
      </c>
      <c r="AC41" s="451">
        <v>2</v>
      </c>
      <c r="AD41" s="451">
        <v>2</v>
      </c>
      <c r="AE41" s="451">
        <v>2</v>
      </c>
      <c r="AF41" s="451">
        <v>2</v>
      </c>
      <c r="AG41" s="451">
        <v>2</v>
      </c>
      <c r="AH41" s="451">
        <v>2</v>
      </c>
      <c r="AI41" s="522" t="s">
        <v>145</v>
      </c>
      <c r="AJ41" s="524">
        <v>1</v>
      </c>
      <c r="AK41" s="524">
        <v>1</v>
      </c>
      <c r="AL41" s="52"/>
      <c r="AM41" s="94">
        <f t="shared" si="3"/>
        <v>1</v>
      </c>
      <c r="AN41" s="569"/>
      <c r="AO41" s="1"/>
      <c r="AP41" s="1"/>
      <c r="AQ41" s="1"/>
      <c r="AT41" s="2"/>
      <c r="AV41" s="2"/>
    </row>
    <row r="42" spans="1:48" ht="25.35" customHeight="1">
      <c r="A42" s="567"/>
      <c r="B42" s="567"/>
      <c r="C42" s="49" t="s">
        <v>55</v>
      </c>
      <c r="D42" s="504">
        <f t="shared" si="4"/>
        <v>9</v>
      </c>
      <c r="E42" s="178" t="s">
        <v>210</v>
      </c>
      <c r="F42" s="97"/>
      <c r="G42" s="523" t="s">
        <v>162</v>
      </c>
      <c r="H42" s="451" t="s">
        <v>145</v>
      </c>
      <c r="I42" s="451" t="s">
        <v>162</v>
      </c>
      <c r="J42" s="451" t="s">
        <v>162</v>
      </c>
      <c r="K42" s="451" t="s">
        <v>162</v>
      </c>
      <c r="L42" s="451">
        <v>2</v>
      </c>
      <c r="M42" s="451">
        <v>2</v>
      </c>
      <c r="N42" s="451">
        <v>2</v>
      </c>
      <c r="O42" s="511" t="s">
        <v>145</v>
      </c>
      <c r="P42" s="451">
        <v>1</v>
      </c>
      <c r="Q42" s="451">
        <v>1</v>
      </c>
      <c r="R42" s="451">
        <v>1</v>
      </c>
      <c r="S42" s="451">
        <v>1</v>
      </c>
      <c r="T42" s="451">
        <v>1</v>
      </c>
      <c r="U42" s="451" t="s">
        <v>145</v>
      </c>
      <c r="V42" s="451" t="s">
        <v>191</v>
      </c>
      <c r="W42" s="451" t="s">
        <v>162</v>
      </c>
      <c r="X42" s="451">
        <v>3</v>
      </c>
      <c r="Y42" s="451">
        <v>3</v>
      </c>
      <c r="Z42" s="451">
        <v>3</v>
      </c>
      <c r="AA42" s="451">
        <v>3</v>
      </c>
      <c r="AB42" s="451" t="s">
        <v>145</v>
      </c>
      <c r="AC42" s="451">
        <v>2</v>
      </c>
      <c r="AD42" s="451">
        <v>2</v>
      </c>
      <c r="AE42" s="451">
        <v>2</v>
      </c>
      <c r="AF42" s="451">
        <v>2</v>
      </c>
      <c r="AG42" s="451">
        <v>2</v>
      </c>
      <c r="AH42" s="451">
        <v>2</v>
      </c>
      <c r="AI42" s="522" t="s">
        <v>145</v>
      </c>
      <c r="AJ42" s="524">
        <v>1</v>
      </c>
      <c r="AK42" s="524">
        <v>1</v>
      </c>
      <c r="AL42" s="52"/>
      <c r="AM42" s="94">
        <f t="shared" si="3"/>
        <v>1</v>
      </c>
      <c r="AN42" s="569"/>
      <c r="AO42" s="1"/>
      <c r="AP42" s="1"/>
      <c r="AQ42" s="1"/>
      <c r="AT42" s="2"/>
      <c r="AV42" s="2"/>
    </row>
    <row r="43" spans="1:48" ht="25.35" customHeight="1">
      <c r="A43" s="567"/>
      <c r="B43" s="567"/>
      <c r="C43" s="49" t="s">
        <v>55</v>
      </c>
      <c r="D43" s="504">
        <f t="shared" si="4"/>
        <v>10</v>
      </c>
      <c r="E43" s="185" t="s">
        <v>133</v>
      </c>
      <c r="F43" s="97"/>
      <c r="G43" s="523">
        <v>3</v>
      </c>
      <c r="H43" s="451" t="s">
        <v>145</v>
      </c>
      <c r="I43" s="451">
        <v>2</v>
      </c>
      <c r="J43" s="451">
        <v>2</v>
      </c>
      <c r="K43" s="451">
        <v>2</v>
      </c>
      <c r="L43" s="451">
        <v>2</v>
      </c>
      <c r="M43" s="451">
        <v>2</v>
      </c>
      <c r="N43" s="451">
        <v>2</v>
      </c>
      <c r="O43" s="511" t="s">
        <v>145</v>
      </c>
      <c r="P43" s="451">
        <v>1</v>
      </c>
      <c r="Q43" s="451">
        <v>1</v>
      </c>
      <c r="R43" s="451">
        <v>1</v>
      </c>
      <c r="S43" s="451">
        <v>1</v>
      </c>
      <c r="T43" s="451">
        <v>1</v>
      </c>
      <c r="U43" s="451" t="s">
        <v>145</v>
      </c>
      <c r="V43" s="451" t="s">
        <v>51</v>
      </c>
      <c r="W43" s="451">
        <v>3</v>
      </c>
      <c r="X43" s="451">
        <v>3</v>
      </c>
      <c r="Y43" s="451">
        <v>3</v>
      </c>
      <c r="Z43" s="451">
        <v>3</v>
      </c>
      <c r="AA43" s="451">
        <v>3</v>
      </c>
      <c r="AB43" s="451" t="s">
        <v>145</v>
      </c>
      <c r="AC43" s="451">
        <v>2</v>
      </c>
      <c r="AD43" s="451">
        <v>2</v>
      </c>
      <c r="AE43" s="451">
        <v>2</v>
      </c>
      <c r="AF43" s="451">
        <v>2</v>
      </c>
      <c r="AG43" s="451">
        <v>2</v>
      </c>
      <c r="AH43" s="451">
        <v>2</v>
      </c>
      <c r="AI43" s="522" t="s">
        <v>145</v>
      </c>
      <c r="AJ43" s="524" t="s">
        <v>51</v>
      </c>
      <c r="AK43" s="524" t="s">
        <v>51</v>
      </c>
      <c r="AL43" s="52"/>
      <c r="AM43" s="94">
        <f t="shared" si="3"/>
        <v>1</v>
      </c>
      <c r="AN43" s="569"/>
      <c r="AO43" s="1"/>
      <c r="AP43" s="1"/>
      <c r="AQ43" s="1"/>
      <c r="AT43" s="2"/>
      <c r="AV43" s="2"/>
    </row>
    <row r="44" spans="1:48" ht="25.35" customHeight="1">
      <c r="A44" s="567"/>
      <c r="B44" s="567"/>
      <c r="C44" s="49" t="s">
        <v>55</v>
      </c>
      <c r="D44" s="504">
        <f t="shared" si="4"/>
        <v>11</v>
      </c>
      <c r="E44" s="178" t="s">
        <v>219</v>
      </c>
      <c r="F44" s="102"/>
      <c r="G44" s="523">
        <v>3</v>
      </c>
      <c r="H44" s="451" t="s">
        <v>145</v>
      </c>
      <c r="I44" s="451">
        <v>2</v>
      </c>
      <c r="J44" s="451">
        <v>2</v>
      </c>
      <c r="K44" s="451">
        <v>2</v>
      </c>
      <c r="L44" s="451">
        <v>2</v>
      </c>
      <c r="M44" s="451" t="s">
        <v>179</v>
      </c>
      <c r="N44" s="451">
        <v>2</v>
      </c>
      <c r="O44" s="511" t="s">
        <v>145</v>
      </c>
      <c r="P44" s="451">
        <v>1</v>
      </c>
      <c r="Q44" s="451">
        <v>1</v>
      </c>
      <c r="R44" s="451">
        <v>1</v>
      </c>
      <c r="S44" s="451">
        <v>1</v>
      </c>
      <c r="T44" s="451">
        <v>1</v>
      </c>
      <c r="U44" s="451" t="s">
        <v>145</v>
      </c>
      <c r="V44" s="451">
        <v>3</v>
      </c>
      <c r="W44" s="451">
        <v>3</v>
      </c>
      <c r="X44" s="451">
        <v>3</v>
      </c>
      <c r="Y44" s="451">
        <v>3</v>
      </c>
      <c r="Z44" s="451">
        <v>3</v>
      </c>
      <c r="AA44" s="451">
        <v>3</v>
      </c>
      <c r="AB44" s="451">
        <v>3</v>
      </c>
      <c r="AC44" s="451" t="s">
        <v>145</v>
      </c>
      <c r="AD44" s="451" t="s">
        <v>51</v>
      </c>
      <c r="AE44" s="451" t="s">
        <v>51</v>
      </c>
      <c r="AF44" s="451" t="s">
        <v>51</v>
      </c>
      <c r="AG44" s="451">
        <v>2</v>
      </c>
      <c r="AH44" s="451">
        <v>2</v>
      </c>
      <c r="AI44" s="522" t="s">
        <v>145</v>
      </c>
      <c r="AJ44" s="524">
        <v>1</v>
      </c>
      <c r="AK44" s="524">
        <v>1</v>
      </c>
      <c r="AL44" s="52"/>
      <c r="AM44" s="94">
        <f t="shared" si="3"/>
        <v>1</v>
      </c>
      <c r="AN44" s="569"/>
      <c r="AO44" s="1"/>
      <c r="AP44" s="1"/>
      <c r="AQ44" s="1"/>
      <c r="AT44" s="2"/>
      <c r="AV44" s="2"/>
    </row>
    <row r="45" spans="1:48" ht="25.35" customHeight="1">
      <c r="A45" s="567"/>
      <c r="B45" s="567"/>
      <c r="C45" s="49" t="s">
        <v>60</v>
      </c>
      <c r="D45" s="504">
        <f t="shared" si="4"/>
        <v>12</v>
      </c>
      <c r="E45" s="178" t="s">
        <v>158</v>
      </c>
      <c r="F45" s="102"/>
      <c r="G45" s="523">
        <v>3</v>
      </c>
      <c r="H45" s="451">
        <v>3</v>
      </c>
      <c r="I45" s="451" t="s">
        <v>145</v>
      </c>
      <c r="J45" s="451">
        <v>2</v>
      </c>
      <c r="K45" s="451">
        <v>2</v>
      </c>
      <c r="L45" s="451">
        <v>2</v>
      </c>
      <c r="M45" s="451">
        <v>2</v>
      </c>
      <c r="N45" s="451">
        <v>2</v>
      </c>
      <c r="O45" s="511" t="s">
        <v>145</v>
      </c>
      <c r="P45" s="451">
        <v>1</v>
      </c>
      <c r="Q45" s="451">
        <v>1</v>
      </c>
      <c r="R45" s="451">
        <v>1</v>
      </c>
      <c r="S45" s="451">
        <v>1</v>
      </c>
      <c r="T45" s="451">
        <v>1</v>
      </c>
      <c r="U45" s="451" t="s">
        <v>145</v>
      </c>
      <c r="V45" s="451">
        <v>1</v>
      </c>
      <c r="W45" s="451">
        <v>1</v>
      </c>
      <c r="X45" s="451">
        <v>1</v>
      </c>
      <c r="Y45" s="451">
        <v>1</v>
      </c>
      <c r="Z45" s="451" t="s">
        <v>190</v>
      </c>
      <c r="AA45" s="451" t="s">
        <v>190</v>
      </c>
      <c r="AB45" s="451" t="s">
        <v>145</v>
      </c>
      <c r="AC45" s="451" t="s">
        <v>190</v>
      </c>
      <c r="AD45" s="451">
        <v>2</v>
      </c>
      <c r="AE45" s="451">
        <v>2</v>
      </c>
      <c r="AF45" s="451">
        <v>2</v>
      </c>
      <c r="AG45" s="451">
        <v>2</v>
      </c>
      <c r="AH45" s="451">
        <v>2</v>
      </c>
      <c r="AI45" s="522" t="s">
        <v>145</v>
      </c>
      <c r="AJ45" s="524">
        <v>1</v>
      </c>
      <c r="AK45" s="524">
        <v>1</v>
      </c>
      <c r="AL45" s="52"/>
      <c r="AM45" s="94">
        <f t="shared" si="3"/>
        <v>1</v>
      </c>
      <c r="AN45" s="569"/>
      <c r="AO45" s="1"/>
      <c r="AP45" s="1"/>
      <c r="AQ45" s="1"/>
      <c r="AT45" s="2"/>
      <c r="AV45" s="2"/>
    </row>
    <row r="46" spans="1:48" ht="25.35" customHeight="1">
      <c r="A46" s="567"/>
      <c r="B46" s="567"/>
      <c r="C46" s="48" t="s">
        <v>60</v>
      </c>
      <c r="D46" s="504">
        <f t="shared" si="4"/>
        <v>13</v>
      </c>
      <c r="E46" s="178" t="s">
        <v>62</v>
      </c>
      <c r="F46" s="111"/>
      <c r="G46" s="523" t="s">
        <v>51</v>
      </c>
      <c r="H46" s="451" t="s">
        <v>145</v>
      </c>
      <c r="I46" s="451">
        <v>2</v>
      </c>
      <c r="J46" s="451">
        <v>2</v>
      </c>
      <c r="K46" s="451">
        <v>2</v>
      </c>
      <c r="L46" s="451">
        <v>2</v>
      </c>
      <c r="M46" s="451">
        <v>2</v>
      </c>
      <c r="N46" s="451">
        <v>2</v>
      </c>
      <c r="O46" s="511" t="s">
        <v>145</v>
      </c>
      <c r="P46" s="451">
        <v>1</v>
      </c>
      <c r="Q46" s="451">
        <v>1</v>
      </c>
      <c r="R46" s="451">
        <v>1</v>
      </c>
      <c r="S46" s="451">
        <v>1</v>
      </c>
      <c r="T46" s="451">
        <v>1</v>
      </c>
      <c r="U46" s="451" t="s">
        <v>145</v>
      </c>
      <c r="V46" s="451">
        <v>3</v>
      </c>
      <c r="W46" s="451">
        <v>3</v>
      </c>
      <c r="X46" s="451">
        <v>3</v>
      </c>
      <c r="Y46" s="451">
        <v>3</v>
      </c>
      <c r="Z46" s="451">
        <v>3</v>
      </c>
      <c r="AA46" s="451">
        <v>3</v>
      </c>
      <c r="AB46" s="451" t="s">
        <v>145</v>
      </c>
      <c r="AC46" s="451">
        <v>2</v>
      </c>
      <c r="AD46" s="451">
        <v>2</v>
      </c>
      <c r="AE46" s="451">
        <v>2</v>
      </c>
      <c r="AF46" s="451">
        <v>2</v>
      </c>
      <c r="AG46" s="451">
        <v>2</v>
      </c>
      <c r="AH46" s="451">
        <v>2</v>
      </c>
      <c r="AI46" s="522" t="s">
        <v>145</v>
      </c>
      <c r="AJ46" s="524">
        <v>1</v>
      </c>
      <c r="AK46" s="524">
        <v>1</v>
      </c>
      <c r="AL46" s="52"/>
      <c r="AM46" s="94">
        <f t="shared" si="3"/>
        <v>1</v>
      </c>
      <c r="AN46" s="569"/>
      <c r="AO46" s="1"/>
      <c r="AP46" s="1"/>
      <c r="AQ46" s="1"/>
      <c r="AT46" s="2"/>
      <c r="AV46" s="2"/>
    </row>
    <row r="47" spans="1:48" ht="25.35" customHeight="1">
      <c r="A47" s="567"/>
      <c r="B47" s="567"/>
      <c r="C47" s="48" t="s">
        <v>60</v>
      </c>
      <c r="D47" s="504">
        <f t="shared" si="4"/>
        <v>14</v>
      </c>
      <c r="E47" s="178" t="s">
        <v>40</v>
      </c>
      <c r="F47" s="111"/>
      <c r="G47" s="523" t="s">
        <v>51</v>
      </c>
      <c r="H47" s="451" t="s">
        <v>145</v>
      </c>
      <c r="I47" s="451" t="s">
        <v>51</v>
      </c>
      <c r="J47" s="451" t="s">
        <v>51</v>
      </c>
      <c r="K47" s="451" t="s">
        <v>51</v>
      </c>
      <c r="L47" s="451" t="s">
        <v>179</v>
      </c>
      <c r="M47" s="451">
        <v>2</v>
      </c>
      <c r="N47" s="451">
        <v>2</v>
      </c>
      <c r="O47" s="511" t="s">
        <v>145</v>
      </c>
      <c r="P47" s="451">
        <v>1</v>
      </c>
      <c r="Q47" s="451">
        <v>1</v>
      </c>
      <c r="R47" s="451">
        <v>1</v>
      </c>
      <c r="S47" s="451">
        <v>1</v>
      </c>
      <c r="T47" s="451">
        <v>1</v>
      </c>
      <c r="U47" s="451" t="s">
        <v>145</v>
      </c>
      <c r="V47" s="451" t="s">
        <v>191</v>
      </c>
      <c r="W47" s="451">
        <v>3</v>
      </c>
      <c r="X47" s="451">
        <v>3</v>
      </c>
      <c r="Y47" s="451">
        <v>3</v>
      </c>
      <c r="Z47" s="451">
        <v>3</v>
      </c>
      <c r="AA47" s="451">
        <v>3</v>
      </c>
      <c r="AB47" s="451" t="s">
        <v>145</v>
      </c>
      <c r="AC47" s="451">
        <v>2</v>
      </c>
      <c r="AD47" s="451">
        <v>2</v>
      </c>
      <c r="AE47" s="451">
        <v>2</v>
      </c>
      <c r="AF47" s="451">
        <v>2</v>
      </c>
      <c r="AG47" s="451">
        <v>2</v>
      </c>
      <c r="AH47" s="451">
        <v>2</v>
      </c>
      <c r="AI47" s="522" t="s">
        <v>145</v>
      </c>
      <c r="AJ47" s="524">
        <v>1</v>
      </c>
      <c r="AK47" s="524">
        <v>1</v>
      </c>
      <c r="AL47" s="52"/>
      <c r="AM47" s="94">
        <f t="shared" si="3"/>
        <v>1</v>
      </c>
      <c r="AN47" s="569"/>
      <c r="AO47" s="1"/>
      <c r="AP47" s="1"/>
      <c r="AQ47" s="1"/>
      <c r="AT47" s="2"/>
      <c r="AV47" s="2"/>
    </row>
    <row r="48" spans="1:48" ht="25.35" customHeight="1">
      <c r="A48" s="567"/>
      <c r="B48" s="567"/>
      <c r="C48" s="48" t="s">
        <v>55</v>
      </c>
      <c r="D48" s="504">
        <f t="shared" si="4"/>
        <v>15</v>
      </c>
      <c r="E48" s="178" t="s">
        <v>212</v>
      </c>
      <c r="F48" s="111"/>
      <c r="G48" s="523">
        <v>3</v>
      </c>
      <c r="H48" s="451" t="s">
        <v>145</v>
      </c>
      <c r="I48" s="451">
        <v>3</v>
      </c>
      <c r="J48" s="451" t="s">
        <v>179</v>
      </c>
      <c r="K48" s="451">
        <v>2</v>
      </c>
      <c r="L48" s="451">
        <v>2</v>
      </c>
      <c r="M48" s="451">
        <v>2</v>
      </c>
      <c r="N48" s="451">
        <v>2</v>
      </c>
      <c r="O48" s="511" t="s">
        <v>145</v>
      </c>
      <c r="P48" s="451">
        <v>1</v>
      </c>
      <c r="Q48" s="451">
        <v>1</v>
      </c>
      <c r="R48" s="451">
        <v>1</v>
      </c>
      <c r="S48" s="451">
        <v>1</v>
      </c>
      <c r="T48" s="451">
        <v>1</v>
      </c>
      <c r="U48" s="451" t="s">
        <v>145</v>
      </c>
      <c r="V48" s="451">
        <v>3</v>
      </c>
      <c r="W48" s="451">
        <v>3</v>
      </c>
      <c r="X48" s="451">
        <v>3</v>
      </c>
      <c r="Y48" s="451">
        <v>3</v>
      </c>
      <c r="Z48" s="451">
        <v>3</v>
      </c>
      <c r="AA48" s="451">
        <v>3</v>
      </c>
      <c r="AB48" s="451">
        <v>3</v>
      </c>
      <c r="AC48" s="451" t="s">
        <v>145</v>
      </c>
      <c r="AD48" s="451" t="s">
        <v>51</v>
      </c>
      <c r="AE48" s="451" t="s">
        <v>51</v>
      </c>
      <c r="AF48" s="451" t="s">
        <v>51</v>
      </c>
      <c r="AG48" s="451" t="s">
        <v>179</v>
      </c>
      <c r="AH48" s="451" t="s">
        <v>179</v>
      </c>
      <c r="AI48" s="522" t="s">
        <v>145</v>
      </c>
      <c r="AJ48" s="524">
        <v>1</v>
      </c>
      <c r="AK48" s="524">
        <v>1</v>
      </c>
      <c r="AL48" s="52"/>
      <c r="AM48" s="94">
        <f t="shared" si="3"/>
        <v>1</v>
      </c>
      <c r="AN48" s="569"/>
      <c r="AO48" s="1"/>
      <c r="AP48" s="1"/>
      <c r="AQ48" s="1"/>
      <c r="AT48" s="2"/>
      <c r="AV48" s="2"/>
    </row>
    <row r="49" spans="1:48" ht="25.35" customHeight="1">
      <c r="A49" s="567"/>
      <c r="B49" s="567"/>
      <c r="C49" s="48" t="s">
        <v>60</v>
      </c>
      <c r="D49" s="504">
        <f t="shared" si="4"/>
        <v>16</v>
      </c>
      <c r="E49" s="178" t="s">
        <v>47</v>
      </c>
      <c r="F49" s="111"/>
      <c r="G49" s="523" t="s">
        <v>51</v>
      </c>
      <c r="H49" s="451" t="s">
        <v>145</v>
      </c>
      <c r="I49" s="451" t="s">
        <v>51</v>
      </c>
      <c r="J49" s="451">
        <v>2</v>
      </c>
      <c r="K49" s="451">
        <v>2</v>
      </c>
      <c r="L49" s="451">
        <v>2</v>
      </c>
      <c r="M49" s="451">
        <v>2</v>
      </c>
      <c r="N49" s="451" t="s">
        <v>179</v>
      </c>
      <c r="O49" s="511" t="s">
        <v>145</v>
      </c>
      <c r="P49" s="451">
        <v>1</v>
      </c>
      <c r="Q49" s="451">
        <v>1</v>
      </c>
      <c r="R49" s="451">
        <v>1</v>
      </c>
      <c r="S49" s="451">
        <v>1</v>
      </c>
      <c r="T49" s="451">
        <v>1</v>
      </c>
      <c r="U49" s="451" t="s">
        <v>145</v>
      </c>
      <c r="V49" s="451">
        <v>3</v>
      </c>
      <c r="W49" s="451">
        <v>3</v>
      </c>
      <c r="X49" s="451">
        <v>3</v>
      </c>
      <c r="Y49" s="451">
        <v>3</v>
      </c>
      <c r="Z49" s="451">
        <v>3</v>
      </c>
      <c r="AA49" s="451">
        <v>3</v>
      </c>
      <c r="AB49" s="451" t="s">
        <v>145</v>
      </c>
      <c r="AC49" s="451" t="s">
        <v>190</v>
      </c>
      <c r="AD49" s="451">
        <v>2</v>
      </c>
      <c r="AE49" s="451">
        <v>2</v>
      </c>
      <c r="AF49" s="451" t="s">
        <v>383</v>
      </c>
      <c r="AG49" s="451" t="s">
        <v>383</v>
      </c>
      <c r="AH49" s="451" t="s">
        <v>383</v>
      </c>
      <c r="AI49" s="522" t="s">
        <v>145</v>
      </c>
      <c r="AJ49" s="524" t="s">
        <v>383</v>
      </c>
      <c r="AK49" s="524" t="s">
        <v>383</v>
      </c>
      <c r="AL49" s="53"/>
      <c r="AM49" s="94">
        <f t="shared" si="3"/>
        <v>1</v>
      </c>
      <c r="AN49" s="569"/>
      <c r="AO49" s="1"/>
      <c r="AP49" s="1"/>
      <c r="AQ49" s="1"/>
      <c r="AT49" s="2"/>
      <c r="AV49" s="2"/>
    </row>
    <row r="50" spans="1:48" ht="25.35" customHeight="1">
      <c r="A50" s="567"/>
      <c r="B50" s="567"/>
      <c r="C50" s="48" t="s">
        <v>60</v>
      </c>
      <c r="D50" s="504">
        <f t="shared" si="4"/>
        <v>17</v>
      </c>
      <c r="E50" s="178" t="s">
        <v>356</v>
      </c>
      <c r="F50" s="101"/>
      <c r="G50" s="523">
        <v>3</v>
      </c>
      <c r="H50" s="451" t="s">
        <v>145</v>
      </c>
      <c r="I50" s="451">
        <v>2</v>
      </c>
      <c r="J50" s="451">
        <v>2</v>
      </c>
      <c r="K50" s="451">
        <v>2</v>
      </c>
      <c r="L50" s="451">
        <v>2</v>
      </c>
      <c r="M50" s="451">
        <v>2</v>
      </c>
      <c r="N50" s="451">
        <v>2</v>
      </c>
      <c r="O50" s="511" t="s">
        <v>145</v>
      </c>
      <c r="P50" s="451">
        <v>1</v>
      </c>
      <c r="Q50" s="451">
        <v>1</v>
      </c>
      <c r="R50" s="451">
        <v>1</v>
      </c>
      <c r="S50" s="451">
        <v>1</v>
      </c>
      <c r="T50" s="451">
        <v>1</v>
      </c>
      <c r="U50" s="451" t="s">
        <v>145</v>
      </c>
      <c r="V50" s="451">
        <v>3</v>
      </c>
      <c r="W50" s="451">
        <v>3</v>
      </c>
      <c r="X50" s="451">
        <v>3</v>
      </c>
      <c r="Y50" s="451">
        <v>3</v>
      </c>
      <c r="Z50" s="451">
        <v>3</v>
      </c>
      <c r="AA50" s="451">
        <v>3</v>
      </c>
      <c r="AB50" s="451" t="s">
        <v>145</v>
      </c>
      <c r="AC50" s="451" t="s">
        <v>179</v>
      </c>
      <c r="AD50" s="451" t="s">
        <v>179</v>
      </c>
      <c r="AE50" s="451" t="s">
        <v>179</v>
      </c>
      <c r="AF50" s="451" t="s">
        <v>179</v>
      </c>
      <c r="AG50" s="451">
        <v>2</v>
      </c>
      <c r="AH50" s="451">
        <v>2</v>
      </c>
      <c r="AI50" s="522" t="s">
        <v>145</v>
      </c>
      <c r="AJ50" s="524">
        <v>1</v>
      </c>
      <c r="AK50" s="524">
        <v>1</v>
      </c>
      <c r="AL50" s="52"/>
      <c r="AM50" s="94">
        <f t="shared" si="3"/>
        <v>1</v>
      </c>
      <c r="AN50" s="569"/>
      <c r="AO50" s="1"/>
      <c r="AP50" s="1"/>
      <c r="AQ50" s="1"/>
      <c r="AT50" s="2"/>
      <c r="AV50" s="2"/>
    </row>
    <row r="51" spans="1:48" ht="25.35" customHeight="1">
      <c r="A51" s="567"/>
      <c r="B51" s="567"/>
      <c r="C51" s="48" t="s">
        <v>55</v>
      </c>
      <c r="D51" s="504">
        <f t="shared" si="4"/>
        <v>18</v>
      </c>
      <c r="E51" s="178" t="s">
        <v>221</v>
      </c>
      <c r="F51" s="102"/>
      <c r="G51" s="523" t="s">
        <v>51</v>
      </c>
      <c r="H51" s="451" t="s">
        <v>145</v>
      </c>
      <c r="I51" s="451" t="s">
        <v>51</v>
      </c>
      <c r="J51" s="451" t="s">
        <v>51</v>
      </c>
      <c r="K51" s="451" t="s">
        <v>51</v>
      </c>
      <c r="L51" s="451" t="s">
        <v>51</v>
      </c>
      <c r="M51" s="451" t="s">
        <v>51</v>
      </c>
      <c r="N51" s="451" t="s">
        <v>51</v>
      </c>
      <c r="O51" s="511" t="s">
        <v>145</v>
      </c>
      <c r="P51" s="451">
        <v>1</v>
      </c>
      <c r="Q51" s="451">
        <v>1</v>
      </c>
      <c r="R51" s="451">
        <v>1</v>
      </c>
      <c r="S51" s="451">
        <v>1</v>
      </c>
      <c r="T51" s="451">
        <v>1</v>
      </c>
      <c r="U51" s="451" t="s">
        <v>145</v>
      </c>
      <c r="V51" s="451" t="s">
        <v>191</v>
      </c>
      <c r="W51" s="451">
        <v>3</v>
      </c>
      <c r="X51" s="451">
        <v>3</v>
      </c>
      <c r="Y51" s="451">
        <v>3</v>
      </c>
      <c r="Z51" s="451">
        <v>3</v>
      </c>
      <c r="AA51" s="451">
        <v>3</v>
      </c>
      <c r="AB51" s="451" t="s">
        <v>145</v>
      </c>
      <c r="AC51" s="451">
        <v>2</v>
      </c>
      <c r="AD51" s="451">
        <v>2</v>
      </c>
      <c r="AE51" s="451">
        <v>2</v>
      </c>
      <c r="AF51" s="451">
        <v>2</v>
      </c>
      <c r="AG51" s="451">
        <v>2</v>
      </c>
      <c r="AH51" s="451">
        <v>2</v>
      </c>
      <c r="AI51" s="522" t="s">
        <v>145</v>
      </c>
      <c r="AJ51" s="524">
        <v>1</v>
      </c>
      <c r="AK51" s="524">
        <v>1</v>
      </c>
      <c r="AL51" s="52"/>
      <c r="AM51" s="94">
        <f t="shared" si="3"/>
        <v>1</v>
      </c>
      <c r="AN51" s="569"/>
      <c r="AO51" s="1"/>
      <c r="AP51" s="1"/>
      <c r="AQ51" s="1"/>
      <c r="AT51" s="2"/>
      <c r="AV51" s="2"/>
    </row>
    <row r="52" spans="1:48" ht="25.35" customHeight="1">
      <c r="A52" s="567"/>
      <c r="B52" s="567"/>
      <c r="C52" s="48" t="s">
        <v>60</v>
      </c>
      <c r="D52" s="504">
        <f t="shared" si="4"/>
        <v>19</v>
      </c>
      <c r="E52" s="178" t="s">
        <v>33</v>
      </c>
      <c r="F52" s="101"/>
      <c r="G52" s="523" t="s">
        <v>51</v>
      </c>
      <c r="H52" s="451" t="s">
        <v>145</v>
      </c>
      <c r="I52" s="451">
        <v>2</v>
      </c>
      <c r="J52" s="451">
        <v>2</v>
      </c>
      <c r="K52" s="451">
        <v>2</v>
      </c>
      <c r="L52" s="451">
        <v>2</v>
      </c>
      <c r="M52" s="451">
        <v>2</v>
      </c>
      <c r="N52" s="451">
        <v>2</v>
      </c>
      <c r="O52" s="511" t="s">
        <v>145</v>
      </c>
      <c r="P52" s="451">
        <v>1</v>
      </c>
      <c r="Q52" s="451">
        <v>1</v>
      </c>
      <c r="R52" s="451">
        <v>1</v>
      </c>
      <c r="S52" s="451">
        <v>1</v>
      </c>
      <c r="T52" s="451">
        <v>1</v>
      </c>
      <c r="U52" s="451" t="s">
        <v>145</v>
      </c>
      <c r="V52" s="451">
        <v>3</v>
      </c>
      <c r="W52" s="451">
        <v>3</v>
      </c>
      <c r="X52" s="451">
        <v>3</v>
      </c>
      <c r="Y52" s="451">
        <v>3</v>
      </c>
      <c r="Z52" s="451">
        <v>3</v>
      </c>
      <c r="AA52" s="451">
        <v>3</v>
      </c>
      <c r="AB52" s="451" t="s">
        <v>145</v>
      </c>
      <c r="AC52" s="451">
        <v>2</v>
      </c>
      <c r="AD52" s="451">
        <v>2</v>
      </c>
      <c r="AE52" s="451">
        <v>2</v>
      </c>
      <c r="AF52" s="451">
        <v>2</v>
      </c>
      <c r="AG52" s="451">
        <v>2</v>
      </c>
      <c r="AH52" s="451">
        <v>2</v>
      </c>
      <c r="AI52" s="522" t="s">
        <v>145</v>
      </c>
      <c r="AJ52" s="451">
        <v>1</v>
      </c>
      <c r="AK52" s="524">
        <v>1</v>
      </c>
      <c r="AL52" s="52"/>
      <c r="AM52" s="94">
        <f t="shared" si="3"/>
        <v>1</v>
      </c>
      <c r="AN52" s="569"/>
      <c r="AO52" s="1"/>
      <c r="AP52" s="1"/>
      <c r="AQ52" s="1"/>
      <c r="AT52" s="2"/>
      <c r="AV52" s="2"/>
    </row>
    <row r="53" spans="1:48" ht="25.35" customHeight="1">
      <c r="A53" s="567"/>
      <c r="B53" s="567"/>
      <c r="C53" s="48" t="s">
        <v>60</v>
      </c>
      <c r="D53" s="504">
        <f t="shared" si="4"/>
        <v>20</v>
      </c>
      <c r="E53" s="468" t="s">
        <v>146</v>
      </c>
      <c r="F53" s="97"/>
      <c r="G53" s="523" t="s">
        <v>190</v>
      </c>
      <c r="H53" s="451" t="s">
        <v>145</v>
      </c>
      <c r="I53" s="451" t="s">
        <v>190</v>
      </c>
      <c r="J53" s="451" t="s">
        <v>190</v>
      </c>
      <c r="K53" s="451" t="s">
        <v>190</v>
      </c>
      <c r="L53" s="451" t="s">
        <v>190</v>
      </c>
      <c r="M53" s="451" t="s">
        <v>190</v>
      </c>
      <c r="N53" s="451" t="s">
        <v>190</v>
      </c>
      <c r="O53" s="511" t="s">
        <v>145</v>
      </c>
      <c r="P53" s="451" t="s">
        <v>190</v>
      </c>
      <c r="Q53" s="451" t="s">
        <v>190</v>
      </c>
      <c r="R53" s="451" t="s">
        <v>190</v>
      </c>
      <c r="S53" s="451" t="s">
        <v>190</v>
      </c>
      <c r="T53" s="451" t="s">
        <v>190</v>
      </c>
      <c r="U53" s="451" t="s">
        <v>145</v>
      </c>
      <c r="V53" s="451" t="s">
        <v>191</v>
      </c>
      <c r="W53" s="451" t="s">
        <v>190</v>
      </c>
      <c r="X53" s="451" t="s">
        <v>190</v>
      </c>
      <c r="Y53" s="451" t="s">
        <v>190</v>
      </c>
      <c r="Z53" s="451" t="s">
        <v>190</v>
      </c>
      <c r="AA53" s="451" t="s">
        <v>190</v>
      </c>
      <c r="AB53" s="451" t="s">
        <v>145</v>
      </c>
      <c r="AC53" s="451" t="s">
        <v>190</v>
      </c>
      <c r="AD53" s="451" t="s">
        <v>190</v>
      </c>
      <c r="AE53" s="451" t="s">
        <v>190</v>
      </c>
      <c r="AF53" s="451" t="s">
        <v>190</v>
      </c>
      <c r="AG53" s="451" t="s">
        <v>190</v>
      </c>
      <c r="AH53" s="451" t="s">
        <v>190</v>
      </c>
      <c r="AI53" s="522" t="s">
        <v>145</v>
      </c>
      <c r="AJ53" s="451" t="s">
        <v>190</v>
      </c>
      <c r="AK53" s="524" t="s">
        <v>190</v>
      </c>
      <c r="AL53" s="52"/>
      <c r="AM53" s="94">
        <f t="shared" si="3"/>
        <v>1</v>
      </c>
      <c r="AN53" s="569"/>
      <c r="AO53" s="1"/>
      <c r="AP53" s="1"/>
      <c r="AQ53" s="1"/>
      <c r="AT53" s="2"/>
      <c r="AV53" s="2"/>
    </row>
    <row r="54" spans="1:48" ht="25.35" customHeight="1">
      <c r="A54" s="567"/>
      <c r="B54" s="567"/>
      <c r="C54" s="48" t="s">
        <v>60</v>
      </c>
      <c r="D54" s="504">
        <f t="shared" si="4"/>
        <v>21</v>
      </c>
      <c r="E54" s="185" t="s">
        <v>178</v>
      </c>
      <c r="F54" s="103"/>
      <c r="G54" s="523" t="s">
        <v>51</v>
      </c>
      <c r="H54" s="451" t="s">
        <v>145</v>
      </c>
      <c r="I54" s="451">
        <v>2</v>
      </c>
      <c r="J54" s="451" t="s">
        <v>51</v>
      </c>
      <c r="K54" s="451">
        <v>2</v>
      </c>
      <c r="L54" s="451">
        <v>2</v>
      </c>
      <c r="M54" s="451">
        <v>2</v>
      </c>
      <c r="N54" s="451">
        <v>2</v>
      </c>
      <c r="O54" s="511" t="s">
        <v>145</v>
      </c>
      <c r="P54" s="451">
        <v>1</v>
      </c>
      <c r="Q54" s="451">
        <v>1</v>
      </c>
      <c r="R54" s="451">
        <v>1</v>
      </c>
      <c r="S54" s="451">
        <v>1</v>
      </c>
      <c r="T54" s="451">
        <v>1</v>
      </c>
      <c r="U54" s="451">
        <v>1</v>
      </c>
      <c r="V54" s="451" t="s">
        <v>145</v>
      </c>
      <c r="W54" s="451">
        <v>3</v>
      </c>
      <c r="X54" s="451">
        <v>3</v>
      </c>
      <c r="Y54" s="451">
        <v>3</v>
      </c>
      <c r="Z54" s="451">
        <v>3</v>
      </c>
      <c r="AA54" s="451">
        <v>3</v>
      </c>
      <c r="AB54" s="451" t="s">
        <v>145</v>
      </c>
      <c r="AC54" s="451">
        <v>2</v>
      </c>
      <c r="AD54" s="451">
        <v>2</v>
      </c>
      <c r="AE54" s="451">
        <v>2</v>
      </c>
      <c r="AF54" s="451">
        <v>2</v>
      </c>
      <c r="AG54" s="451">
        <v>2</v>
      </c>
      <c r="AH54" s="451">
        <v>2</v>
      </c>
      <c r="AI54" s="522" t="s">
        <v>145</v>
      </c>
      <c r="AJ54" s="524">
        <v>1</v>
      </c>
      <c r="AK54" s="524">
        <v>1</v>
      </c>
      <c r="AL54" s="52"/>
      <c r="AM54" s="94">
        <f t="shared" si="3"/>
        <v>1</v>
      </c>
      <c r="AN54" s="569"/>
      <c r="AO54" s="1"/>
      <c r="AP54" s="1"/>
      <c r="AQ54" s="1"/>
      <c r="AT54" s="2"/>
      <c r="AV54" s="2"/>
    </row>
    <row r="55" spans="1:48" ht="25.35" customHeight="1" thickBot="1">
      <c r="A55" s="567"/>
      <c r="B55" s="567"/>
      <c r="C55" s="48"/>
      <c r="D55" s="504">
        <f>D54+1</f>
        <v>22</v>
      </c>
      <c r="E55" s="182"/>
      <c r="F55" s="106"/>
      <c r="G55" s="516"/>
      <c r="H55" s="479"/>
      <c r="I55" s="479"/>
      <c r="J55" s="479"/>
      <c r="K55" s="479"/>
      <c r="L55" s="479"/>
      <c r="M55" s="479"/>
      <c r="N55" s="479"/>
      <c r="O55" s="479"/>
      <c r="P55" s="479"/>
      <c r="Q55" s="479"/>
      <c r="R55" s="479"/>
      <c r="S55" s="479"/>
      <c r="T55" s="479"/>
      <c r="U55" s="479"/>
      <c r="V55" s="479"/>
      <c r="W55" s="479"/>
      <c r="X55" s="479"/>
      <c r="Y55" s="479"/>
      <c r="Z55" s="479" t="s">
        <v>379</v>
      </c>
      <c r="AA55" s="479"/>
      <c r="AB55" s="479"/>
      <c r="AC55" s="479"/>
      <c r="AD55" s="479"/>
      <c r="AE55" s="479"/>
      <c r="AF55" s="479"/>
      <c r="AG55" s="479"/>
      <c r="AH55" s="479"/>
      <c r="AI55" s="525"/>
      <c r="AJ55" s="525"/>
      <c r="AK55" s="525"/>
      <c r="AL55" s="472"/>
      <c r="AM55" s="506" t="str">
        <f>IF((COUNTIF(G55:AK55, "x")+COUNTIF(G55:AK55, "1")+COUNTIF(G55:AK55, "2")+COUNTIF(G55:AK55, "3"))=0, "", (COUNTIF(G55:AK55, "1")+COUNTIF(G55:AK55, "2")+COUNTIF(G55:AK55, "3"))/(COUNTIF(G55:AK55, "x")+COUNTIF(G55:AK55, "1")+COUNTIF(G55:AK55, "2")+COUNTIF(G55:AK55, "3")))</f>
        <v/>
      </c>
      <c r="AN55" s="570"/>
      <c r="AO55" s="1"/>
      <c r="AP55" s="1"/>
      <c r="AQ55" s="1"/>
      <c r="AT55" s="2"/>
      <c r="AV55" s="2"/>
    </row>
    <row r="56" spans="1:48" ht="25.35" customHeight="1" thickBot="1">
      <c r="B56" s="2"/>
      <c r="C56" s="50" t="s">
        <v>167</v>
      </c>
      <c r="D56" s="176"/>
      <c r="E56" s="20"/>
      <c r="F56" s="20"/>
      <c r="G56" s="518"/>
      <c r="H56" s="518"/>
      <c r="I56" s="518"/>
      <c r="J56" s="518"/>
      <c r="K56" s="518"/>
      <c r="L56" s="518"/>
      <c r="M56" s="518"/>
      <c r="N56" s="518"/>
      <c r="O56" s="518"/>
      <c r="P56" s="518"/>
      <c r="Q56" s="518"/>
      <c r="R56" s="518"/>
      <c r="S56" s="518"/>
      <c r="T56" s="518"/>
      <c r="U56" s="518"/>
      <c r="V56" s="518"/>
      <c r="W56" s="518"/>
      <c r="X56" s="518"/>
      <c r="Y56" s="518"/>
      <c r="Z56" s="518"/>
      <c r="AA56" s="518"/>
      <c r="AB56" s="518"/>
      <c r="AC56" s="518"/>
      <c r="AD56" s="518"/>
      <c r="AE56" s="518"/>
      <c r="AF56" s="518"/>
      <c r="AG56" s="518"/>
      <c r="AH56" s="518"/>
      <c r="AI56" s="518"/>
      <c r="AJ56" s="518"/>
      <c r="AK56" s="518"/>
      <c r="AL56" s="474"/>
      <c r="AM56" s="28" t="str">
        <f>IF((COUNTIF(G56:AK56, "x")+COUNTIF(G56:AK56, "1")+COUNTIF(G56:AK56, "2")+COUNTIF(G56:AK56, "3"))=0, "", (COUNTIF(G56:AK56, "1")+COUNTIF(G56:AK56, "2")+COUNTIF(G56:AK56, "3"))/(COUNTIF(G56:AK56, "x")+COUNTIF(G56:AK56, "1")+COUNTIF(G56:AK56, "2")+COUNTIF(G56:AK56, "3")))</f>
        <v/>
      </c>
      <c r="AN56" s="177"/>
      <c r="AO56" s="1"/>
      <c r="AP56" s="1"/>
      <c r="AQ56" s="1"/>
      <c r="AT56" s="2"/>
      <c r="AV56" s="2"/>
    </row>
    <row r="57" spans="1:48" ht="25.35" hidden="1" customHeight="1">
      <c r="B57" s="2"/>
      <c r="C57" s="48"/>
      <c r="D57" s="95">
        <v>1</v>
      </c>
      <c r="E57" s="77" t="s">
        <v>0</v>
      </c>
      <c r="F57" s="101" t="s">
        <v>142</v>
      </c>
      <c r="G57" s="511"/>
      <c r="H57" s="511"/>
      <c r="I57" s="511"/>
      <c r="J57" s="511"/>
      <c r="K57" s="511"/>
      <c r="L57" s="511"/>
      <c r="M57" s="511"/>
      <c r="N57" s="511"/>
      <c r="O57" s="511"/>
      <c r="P57" s="511"/>
      <c r="Q57" s="511"/>
      <c r="R57" s="511"/>
      <c r="S57" s="511"/>
      <c r="T57" s="511"/>
      <c r="U57" s="511"/>
      <c r="V57" s="511"/>
      <c r="W57" s="511"/>
      <c r="X57" s="511"/>
      <c r="Y57" s="511"/>
      <c r="Z57" s="511"/>
      <c r="AA57" s="511"/>
      <c r="AB57" s="511"/>
      <c r="AC57" s="511"/>
      <c r="AD57" s="511"/>
      <c r="AE57" s="511"/>
      <c r="AF57" s="511"/>
      <c r="AG57" s="511"/>
      <c r="AH57" s="511"/>
      <c r="AI57" s="511"/>
      <c r="AJ57" s="511"/>
      <c r="AK57" s="511"/>
      <c r="AL57" s="470"/>
      <c r="AM57" s="485"/>
      <c r="AN57" s="166"/>
      <c r="AO57" s="1"/>
      <c r="AP57" s="1"/>
      <c r="AQ57" s="1"/>
      <c r="AT57" s="2"/>
      <c r="AV57" s="2"/>
    </row>
    <row r="58" spans="1:48" ht="25.35" hidden="1" customHeight="1">
      <c r="B58" s="108"/>
      <c r="C58" s="48"/>
      <c r="D58" s="95">
        <v>2</v>
      </c>
      <c r="E58" s="77" t="s">
        <v>18</v>
      </c>
      <c r="F58" s="97" t="s">
        <v>142</v>
      </c>
      <c r="G58" s="451"/>
      <c r="H58" s="451"/>
      <c r="I58" s="451"/>
      <c r="J58" s="451"/>
      <c r="K58" s="451"/>
      <c r="L58" s="451"/>
      <c r="M58" s="451"/>
      <c r="N58" s="451"/>
      <c r="O58" s="451"/>
      <c r="P58" s="451"/>
      <c r="Q58" s="451"/>
      <c r="R58" s="451"/>
      <c r="S58" s="451"/>
      <c r="T58" s="451"/>
      <c r="U58" s="451"/>
      <c r="V58" s="451"/>
      <c r="W58" s="451"/>
      <c r="X58" s="451"/>
      <c r="Y58" s="451"/>
      <c r="Z58" s="451"/>
      <c r="AA58" s="451"/>
      <c r="AB58" s="451"/>
      <c r="AC58" s="451"/>
      <c r="AD58" s="451"/>
      <c r="AE58" s="451"/>
      <c r="AF58" s="451"/>
      <c r="AG58" s="451"/>
      <c r="AH58" s="451"/>
      <c r="AI58" s="451"/>
      <c r="AJ58" s="451"/>
      <c r="AK58" s="451"/>
      <c r="AL58" s="52"/>
      <c r="AM58" s="485"/>
      <c r="AN58" s="166"/>
      <c r="AO58" s="1"/>
      <c r="AP58" s="1"/>
      <c r="AQ58" s="1"/>
      <c r="AT58" s="2"/>
      <c r="AV58" s="2"/>
    </row>
    <row r="59" spans="1:48" ht="25.35" hidden="1" customHeight="1">
      <c r="B59" s="108"/>
      <c r="C59" s="48"/>
      <c r="D59" s="95">
        <v>3</v>
      </c>
      <c r="E59" s="77" t="s">
        <v>1</v>
      </c>
      <c r="F59" s="97" t="s">
        <v>143</v>
      </c>
      <c r="G59" s="526"/>
      <c r="H59" s="526"/>
      <c r="I59" s="526"/>
      <c r="J59" s="526"/>
      <c r="K59" s="526"/>
      <c r="L59" s="526"/>
      <c r="M59" s="526"/>
      <c r="N59" s="526"/>
      <c r="O59" s="526"/>
      <c r="P59" s="526"/>
      <c r="Q59" s="526"/>
      <c r="R59" s="526"/>
      <c r="S59" s="526"/>
      <c r="T59" s="526"/>
      <c r="U59" s="526"/>
      <c r="V59" s="526"/>
      <c r="W59" s="526"/>
      <c r="X59" s="526"/>
      <c r="Y59" s="526"/>
      <c r="Z59" s="526"/>
      <c r="AA59" s="526"/>
      <c r="AB59" s="526"/>
      <c r="AC59" s="526"/>
      <c r="AD59" s="526"/>
      <c r="AE59" s="526"/>
      <c r="AF59" s="526"/>
      <c r="AG59" s="526"/>
      <c r="AH59" s="526"/>
      <c r="AI59" s="526"/>
      <c r="AJ59" s="526"/>
      <c r="AK59" s="526"/>
      <c r="AL59" s="135"/>
      <c r="AM59" s="485"/>
      <c r="AN59" s="166"/>
      <c r="AO59" s="1"/>
      <c r="AP59" s="1"/>
      <c r="AQ59" s="1"/>
      <c r="AT59" s="2"/>
      <c r="AV59" s="2"/>
    </row>
    <row r="60" spans="1:48" ht="25.35" hidden="1" customHeight="1">
      <c r="B60" s="110"/>
      <c r="C60" s="48"/>
      <c r="D60" s="167">
        <v>4</v>
      </c>
      <c r="E60" s="153" t="s">
        <v>10</v>
      </c>
      <c r="F60" s="481" t="s">
        <v>143</v>
      </c>
      <c r="G60" s="515"/>
      <c r="H60" s="515"/>
      <c r="I60" s="515"/>
      <c r="J60" s="515"/>
      <c r="K60" s="515"/>
      <c r="L60" s="515"/>
      <c r="M60" s="515"/>
      <c r="N60" s="515"/>
      <c r="O60" s="515"/>
      <c r="P60" s="515"/>
      <c r="Q60" s="515"/>
      <c r="R60" s="515"/>
      <c r="S60" s="515"/>
      <c r="T60" s="515"/>
      <c r="U60" s="515"/>
      <c r="V60" s="515"/>
      <c r="W60" s="515"/>
      <c r="X60" s="515"/>
      <c r="Y60" s="515"/>
      <c r="Z60" s="515"/>
      <c r="AA60" s="515"/>
      <c r="AB60" s="515"/>
      <c r="AC60" s="515"/>
      <c r="AD60" s="515"/>
      <c r="AE60" s="515"/>
      <c r="AF60" s="515"/>
      <c r="AG60" s="515"/>
      <c r="AH60" s="515"/>
      <c r="AI60" s="515"/>
      <c r="AJ60" s="515"/>
      <c r="AK60" s="515"/>
      <c r="AL60" s="471"/>
      <c r="AM60" s="487"/>
      <c r="AN60" s="168"/>
      <c r="AO60" s="1"/>
      <c r="AP60" s="1"/>
      <c r="AQ60" s="1"/>
      <c r="AT60" s="2"/>
      <c r="AV60" s="2"/>
    </row>
    <row r="61" spans="1:48" ht="30" customHeight="1" thickBot="1">
      <c r="B61" s="110"/>
      <c r="C61" s="47" t="s">
        <v>168</v>
      </c>
      <c r="D61" s="571" t="s">
        <v>141</v>
      </c>
      <c r="E61" s="572"/>
      <c r="F61" s="482"/>
      <c r="G61" s="476"/>
      <c r="H61" s="477" t="s">
        <v>369</v>
      </c>
      <c r="I61" s="477" t="s">
        <v>369</v>
      </c>
      <c r="J61" s="477"/>
      <c r="K61" s="477" t="s">
        <v>370</v>
      </c>
      <c r="L61" s="477" t="s">
        <v>370</v>
      </c>
      <c r="M61" s="477" t="s">
        <v>370</v>
      </c>
      <c r="N61" s="477" t="s">
        <v>374</v>
      </c>
      <c r="O61" s="477" t="s">
        <v>374</v>
      </c>
      <c r="P61" s="477" t="s">
        <v>369</v>
      </c>
      <c r="Q61" s="477"/>
      <c r="R61" s="477" t="s">
        <v>375</v>
      </c>
      <c r="S61" s="477" t="s">
        <v>377</v>
      </c>
      <c r="T61" s="477" t="s">
        <v>374</v>
      </c>
      <c r="U61" s="477" t="s">
        <v>378</v>
      </c>
      <c r="V61" s="477" t="s">
        <v>378</v>
      </c>
      <c r="W61" s="477"/>
      <c r="X61" s="477" t="s">
        <v>374</v>
      </c>
      <c r="Y61" s="477" t="s">
        <v>374</v>
      </c>
      <c r="Z61" s="477" t="s">
        <v>378</v>
      </c>
      <c r="AA61" s="477"/>
      <c r="AB61" s="477" t="s">
        <v>374</v>
      </c>
      <c r="AC61" s="477" t="s">
        <v>371</v>
      </c>
      <c r="AD61" s="477"/>
      <c r="AE61" s="477" t="s">
        <v>374</v>
      </c>
      <c r="AF61" s="477" t="s">
        <v>378</v>
      </c>
      <c r="AG61" s="477" t="s">
        <v>378</v>
      </c>
      <c r="AH61" s="477" t="s">
        <v>374</v>
      </c>
      <c r="AI61" s="477" t="s">
        <v>374</v>
      </c>
      <c r="AJ61" s="477" t="s">
        <v>374</v>
      </c>
      <c r="AK61" s="477"/>
      <c r="AL61" s="477"/>
      <c r="AM61" s="488"/>
      <c r="AN61" s="162"/>
      <c r="AO61" s="1"/>
      <c r="AP61" s="1"/>
      <c r="AQ61" s="1"/>
      <c r="AT61" s="2"/>
      <c r="AV61" s="2"/>
    </row>
    <row r="62" spans="1:48" ht="25.35" customHeight="1">
      <c r="A62" s="573" t="s">
        <v>186</v>
      </c>
      <c r="B62" s="573"/>
      <c r="C62" s="49" t="s">
        <v>55</v>
      </c>
      <c r="D62" s="95">
        <v>1</v>
      </c>
      <c r="E62" s="185" t="s">
        <v>128</v>
      </c>
      <c r="F62" s="483"/>
      <c r="G62" s="521" t="s">
        <v>51</v>
      </c>
      <c r="H62" s="511">
        <v>1</v>
      </c>
      <c r="I62" s="511">
        <v>2</v>
      </c>
      <c r="J62" s="511" t="s">
        <v>145</v>
      </c>
      <c r="K62" s="527">
        <v>1</v>
      </c>
      <c r="L62" s="511">
        <v>1</v>
      </c>
      <c r="M62" s="511">
        <v>1</v>
      </c>
      <c r="N62" s="511">
        <v>1</v>
      </c>
      <c r="O62" s="511">
        <v>1</v>
      </c>
      <c r="P62" s="511">
        <v>1</v>
      </c>
      <c r="Q62" s="511" t="s">
        <v>145</v>
      </c>
      <c r="R62" s="511">
        <v>3</v>
      </c>
      <c r="S62" s="511">
        <v>3</v>
      </c>
      <c r="T62" s="511">
        <v>3</v>
      </c>
      <c r="U62" s="511">
        <v>3</v>
      </c>
      <c r="V62" s="511">
        <v>3</v>
      </c>
      <c r="W62" s="511" t="s">
        <v>145</v>
      </c>
      <c r="X62" s="511">
        <v>2</v>
      </c>
      <c r="Y62" s="511">
        <v>2</v>
      </c>
      <c r="Z62" s="511">
        <v>2</v>
      </c>
      <c r="AA62" s="511">
        <v>2</v>
      </c>
      <c r="AB62" s="511">
        <v>2</v>
      </c>
      <c r="AC62" s="511" t="s">
        <v>190</v>
      </c>
      <c r="AD62" s="511">
        <v>2</v>
      </c>
      <c r="AE62" s="511" t="s">
        <v>145</v>
      </c>
      <c r="AF62" s="511" t="s">
        <v>190</v>
      </c>
      <c r="AG62" s="511" t="s">
        <v>190</v>
      </c>
      <c r="AH62" s="511">
        <v>1</v>
      </c>
      <c r="AI62" s="511">
        <v>1</v>
      </c>
      <c r="AJ62" s="511">
        <v>1</v>
      </c>
      <c r="AK62" s="511"/>
      <c r="AL62" s="470"/>
      <c r="AM62" s="94">
        <f>IF((COUNTIF(G62:AK62, "x")+COUNTIF(G62:AK62, "1")+COUNTIF(G62:AK62, "2")+COUNTIF(G62:AK62, "3")+COUNTIF(G62:AK62, "L")+COUNTIF(G62:AK62, "VL")+COUNTIF(G62:AK62, "SL")+COUNTIF(G62:AK62, "EL"))=0, "", (COUNTIF(G62:AK62, "1")+COUNTIF(G62:AK62, "2")+COUNTIF(G62:AK62, "3")+COUNTIF(G62:AK62, "L")+COUNTIF(G62:AK62, "VL")+COUNTIF(G62:AK62, "SL")+COUNTIF(G62:AK62, "EL"))/(COUNTIF(G62:AK62, "x")+COUNTIF(G62:AK62, "1")+COUNTIF(G62:AK62, "2")+COUNTIF(G62:AK62, "3")+COUNTIF(G62:AK62, "L")+COUNTIF(G62:AK62, "VL")+COUNTIF(G62:AK62, "SL")+COUNTIF(G62:AK62, "EL")))</f>
        <v>1</v>
      </c>
      <c r="AN62" s="564">
        <f>AVERAGE(AM62:AM82)</f>
        <v>0.99153146853146856</v>
      </c>
      <c r="AO62" s="1"/>
      <c r="AP62" s="1"/>
      <c r="AQ62" s="1"/>
      <c r="AT62" s="2"/>
      <c r="AV62" s="2"/>
    </row>
    <row r="63" spans="1:48" ht="25.35" customHeight="1">
      <c r="A63" s="573"/>
      <c r="B63" s="573"/>
      <c r="C63" s="48" t="s">
        <v>55</v>
      </c>
      <c r="D63" s="504">
        <f>D62+1</f>
        <v>2</v>
      </c>
      <c r="E63" s="185" t="s">
        <v>172</v>
      </c>
      <c r="F63" s="101"/>
      <c r="G63" s="523">
        <v>3</v>
      </c>
      <c r="H63" s="451">
        <v>3</v>
      </c>
      <c r="I63" s="451">
        <v>3</v>
      </c>
      <c r="J63" s="451" t="s">
        <v>145</v>
      </c>
      <c r="K63" s="528" t="s">
        <v>51</v>
      </c>
      <c r="L63" s="451" t="s">
        <v>51</v>
      </c>
      <c r="M63" s="451" t="s">
        <v>51</v>
      </c>
      <c r="N63" s="451" t="s">
        <v>51</v>
      </c>
      <c r="O63" s="451">
        <v>1</v>
      </c>
      <c r="P63" s="451">
        <v>1</v>
      </c>
      <c r="Q63" s="511" t="s">
        <v>145</v>
      </c>
      <c r="R63" s="451">
        <v>3</v>
      </c>
      <c r="S63" s="451">
        <v>3</v>
      </c>
      <c r="T63" s="451">
        <v>3</v>
      </c>
      <c r="U63" s="451">
        <v>3</v>
      </c>
      <c r="V63" s="451">
        <v>3</v>
      </c>
      <c r="W63" s="511" t="s">
        <v>145</v>
      </c>
      <c r="X63" s="451" t="s">
        <v>51</v>
      </c>
      <c r="Y63" s="451" t="s">
        <v>51</v>
      </c>
      <c r="Z63" s="451" t="s">
        <v>51</v>
      </c>
      <c r="AA63" s="451" t="s">
        <v>51</v>
      </c>
      <c r="AB63" s="451" t="s">
        <v>51</v>
      </c>
      <c r="AC63" s="451" t="s">
        <v>179</v>
      </c>
      <c r="AD63" s="511" t="s">
        <v>145</v>
      </c>
      <c r="AE63" s="451" t="s">
        <v>179</v>
      </c>
      <c r="AF63" s="451">
        <v>1</v>
      </c>
      <c r="AG63" s="451">
        <v>1</v>
      </c>
      <c r="AH63" s="451">
        <v>1</v>
      </c>
      <c r="AI63" s="451">
        <v>1</v>
      </c>
      <c r="AJ63" s="451">
        <v>1</v>
      </c>
      <c r="AK63" s="451"/>
      <c r="AL63" s="451"/>
      <c r="AM63" s="94">
        <f t="shared" ref="AM63:AM81" si="5">IF((COUNTIF(G63:AK63, "x")+COUNTIF(G63:AK63, "1")+COUNTIF(G63:AK63, "2")+COUNTIF(G63:AK63, "3")+COUNTIF(G63:AK63, "L")+COUNTIF(G63:AK63, "VL")+COUNTIF(G63:AK63, "SL")+COUNTIF(G63:AK63, "EL"))=0, "", (COUNTIF(G63:AK63, "1")+COUNTIF(G63:AK63, "2")+COUNTIF(G63:AK63, "3")+COUNTIF(G63:AK63, "L")+COUNTIF(G63:AK63, "VL")+COUNTIF(G63:AK63, "SL")+COUNTIF(G63:AK63, "EL"))/(COUNTIF(G63:AK63, "x")+COUNTIF(G63:AK63, "1")+COUNTIF(G63:AK63, "2")+COUNTIF(G63:AK63, "3")+COUNTIF(G63:AK63, "L")+COUNTIF(G63:AK63, "VL")+COUNTIF(G63:AK63, "SL")+COUNTIF(G63:AK63, "EL")))</f>
        <v>1</v>
      </c>
      <c r="AN63" s="564"/>
      <c r="AO63" s="1"/>
      <c r="AP63" s="1"/>
      <c r="AQ63" s="1"/>
      <c r="AT63" s="2"/>
      <c r="AV63" s="2"/>
    </row>
    <row r="64" spans="1:48" ht="25.15" customHeight="1">
      <c r="A64" s="573"/>
      <c r="B64" s="573"/>
      <c r="C64" s="48" t="s">
        <v>55</v>
      </c>
      <c r="D64" s="504">
        <f t="shared" ref="D64:D81" si="6">D63+1</f>
        <v>3</v>
      </c>
      <c r="E64" s="187" t="s">
        <v>359</v>
      </c>
      <c r="F64" s="101"/>
      <c r="G64" s="523">
        <v>2</v>
      </c>
      <c r="H64" s="451">
        <v>2</v>
      </c>
      <c r="I64" s="451">
        <v>2</v>
      </c>
      <c r="J64" s="451" t="s">
        <v>145</v>
      </c>
      <c r="K64" s="528">
        <v>1</v>
      </c>
      <c r="L64" s="451">
        <v>1</v>
      </c>
      <c r="M64" s="451">
        <v>1</v>
      </c>
      <c r="N64" s="451">
        <v>1</v>
      </c>
      <c r="O64" s="451">
        <v>1</v>
      </c>
      <c r="P64" s="451">
        <v>1</v>
      </c>
      <c r="Q64" s="511" t="s">
        <v>145</v>
      </c>
      <c r="R64" s="451">
        <v>3</v>
      </c>
      <c r="S64" s="451">
        <v>3</v>
      </c>
      <c r="T64" s="451">
        <v>3</v>
      </c>
      <c r="U64" s="451">
        <v>3</v>
      </c>
      <c r="V64" s="451">
        <v>3</v>
      </c>
      <c r="W64" s="511" t="s">
        <v>145</v>
      </c>
      <c r="X64" s="451">
        <v>2</v>
      </c>
      <c r="Y64" s="451">
        <v>2</v>
      </c>
      <c r="Z64" s="451">
        <v>2</v>
      </c>
      <c r="AA64" s="451">
        <v>2</v>
      </c>
      <c r="AB64" s="451">
        <v>2</v>
      </c>
      <c r="AC64" s="451">
        <v>2</v>
      </c>
      <c r="AD64" s="511" t="s">
        <v>145</v>
      </c>
      <c r="AE64" s="451">
        <v>1</v>
      </c>
      <c r="AF64" s="451">
        <v>1</v>
      </c>
      <c r="AG64" s="451">
        <v>1</v>
      </c>
      <c r="AH64" s="451">
        <v>1</v>
      </c>
      <c r="AI64" s="451">
        <v>1</v>
      </c>
      <c r="AJ64" s="451">
        <v>1</v>
      </c>
      <c r="AK64" s="451"/>
      <c r="AL64" s="451"/>
      <c r="AM64" s="94">
        <f t="shared" si="5"/>
        <v>1</v>
      </c>
      <c r="AN64" s="564"/>
      <c r="AO64" s="1"/>
      <c r="AP64" s="1"/>
      <c r="AQ64" s="1"/>
      <c r="AT64" s="2"/>
      <c r="AV64" s="2"/>
    </row>
    <row r="65" spans="1:55" ht="25.15" customHeight="1">
      <c r="A65" s="573"/>
      <c r="B65" s="573"/>
      <c r="C65" s="48" t="s">
        <v>60</v>
      </c>
      <c r="D65" s="504">
        <f t="shared" si="6"/>
        <v>4</v>
      </c>
      <c r="E65" s="187" t="s">
        <v>361</v>
      </c>
      <c r="F65" s="101"/>
      <c r="G65" s="523">
        <v>2</v>
      </c>
      <c r="H65" s="451">
        <v>2</v>
      </c>
      <c r="I65" s="451">
        <v>2</v>
      </c>
      <c r="J65" s="451" t="s">
        <v>145</v>
      </c>
      <c r="K65" s="528" t="s">
        <v>190</v>
      </c>
      <c r="L65" s="451">
        <v>1</v>
      </c>
      <c r="M65" s="451">
        <v>1</v>
      </c>
      <c r="N65" s="451">
        <v>1</v>
      </c>
      <c r="O65" s="451" t="s">
        <v>190</v>
      </c>
      <c r="P65" s="451" t="s">
        <v>190</v>
      </c>
      <c r="Q65" s="511" t="s">
        <v>145</v>
      </c>
      <c r="R65" s="451">
        <v>3</v>
      </c>
      <c r="S65" s="451">
        <v>3</v>
      </c>
      <c r="T65" s="451">
        <v>3</v>
      </c>
      <c r="U65" s="451" t="s">
        <v>190</v>
      </c>
      <c r="V65" s="451">
        <v>3</v>
      </c>
      <c r="W65" s="511" t="s">
        <v>145</v>
      </c>
      <c r="X65" s="451">
        <v>2</v>
      </c>
      <c r="Y65" s="451">
        <v>2</v>
      </c>
      <c r="Z65" s="451" t="s">
        <v>190</v>
      </c>
      <c r="AA65" s="451">
        <v>2</v>
      </c>
      <c r="AB65" s="451">
        <v>2</v>
      </c>
      <c r="AC65" s="451">
        <v>2</v>
      </c>
      <c r="AD65" s="511" t="s">
        <v>145</v>
      </c>
      <c r="AE65" s="451">
        <v>1</v>
      </c>
      <c r="AF65" s="451">
        <v>1</v>
      </c>
      <c r="AG65" s="451">
        <v>1</v>
      </c>
      <c r="AH65" s="451">
        <v>1</v>
      </c>
      <c r="AI65" s="451">
        <v>1</v>
      </c>
      <c r="AJ65" s="451">
        <v>1</v>
      </c>
      <c r="AK65" s="451"/>
      <c r="AL65" s="451"/>
      <c r="AM65" s="94">
        <f t="shared" si="5"/>
        <v>1</v>
      </c>
      <c r="AN65" s="564"/>
      <c r="AO65" s="1"/>
      <c r="AP65" s="1"/>
      <c r="AQ65" s="1"/>
      <c r="AT65" s="2"/>
      <c r="AV65" s="2"/>
    </row>
    <row r="66" spans="1:55" ht="25.35" customHeight="1">
      <c r="A66" s="573"/>
      <c r="B66" s="573"/>
      <c r="C66" s="48" t="s">
        <v>60</v>
      </c>
      <c r="D66" s="504">
        <f t="shared" si="6"/>
        <v>5</v>
      </c>
      <c r="E66" s="185" t="s">
        <v>119</v>
      </c>
      <c r="F66" s="101"/>
      <c r="G66" s="523">
        <v>2</v>
      </c>
      <c r="H66" s="451">
        <v>2</v>
      </c>
      <c r="I66" s="451">
        <v>2</v>
      </c>
      <c r="J66" s="451" t="s">
        <v>145</v>
      </c>
      <c r="K66" s="528" t="s">
        <v>190</v>
      </c>
      <c r="L66" s="451">
        <v>1</v>
      </c>
      <c r="M66" s="451">
        <v>1</v>
      </c>
      <c r="N66" s="451">
        <v>1</v>
      </c>
      <c r="O66" s="451">
        <v>1</v>
      </c>
      <c r="P66" s="451">
        <v>1</v>
      </c>
      <c r="Q66" s="511" t="s">
        <v>145</v>
      </c>
      <c r="R66" s="451" t="s">
        <v>51</v>
      </c>
      <c r="S66" s="451" t="s">
        <v>51</v>
      </c>
      <c r="T66" s="451" t="s">
        <v>51</v>
      </c>
      <c r="U66" s="451">
        <v>3</v>
      </c>
      <c r="V66" s="451">
        <v>3</v>
      </c>
      <c r="W66" s="511" t="s">
        <v>145</v>
      </c>
      <c r="X66" s="451">
        <v>2</v>
      </c>
      <c r="Y66" s="451">
        <v>2</v>
      </c>
      <c r="Z66" s="451">
        <v>2</v>
      </c>
      <c r="AA66" s="451">
        <v>2</v>
      </c>
      <c r="AB66" s="451">
        <v>2</v>
      </c>
      <c r="AC66" s="451">
        <v>2</v>
      </c>
      <c r="AD66" s="511" t="s">
        <v>145</v>
      </c>
      <c r="AE66" s="451">
        <v>1</v>
      </c>
      <c r="AF66" s="451">
        <v>1</v>
      </c>
      <c r="AG66" s="451">
        <v>1</v>
      </c>
      <c r="AH66" s="451">
        <v>1</v>
      </c>
      <c r="AI66" s="451">
        <v>1</v>
      </c>
      <c r="AJ66" s="451">
        <v>1</v>
      </c>
      <c r="AK66" s="451"/>
      <c r="AL66" s="451"/>
      <c r="AM66" s="94">
        <f t="shared" si="5"/>
        <v>1</v>
      </c>
      <c r="AN66" s="564"/>
      <c r="AO66" s="1"/>
      <c r="AP66" s="1"/>
      <c r="AQ66" s="1"/>
      <c r="AT66" s="2"/>
      <c r="AV66" s="2"/>
    </row>
    <row r="67" spans="1:55" ht="25.35" customHeight="1">
      <c r="A67" s="573"/>
      <c r="B67" s="573"/>
      <c r="C67" s="48" t="s">
        <v>60</v>
      </c>
      <c r="D67" s="504">
        <f t="shared" si="6"/>
        <v>6</v>
      </c>
      <c r="E67" s="184" t="s">
        <v>9</v>
      </c>
      <c r="F67" s="101"/>
      <c r="G67" s="523" t="s">
        <v>51</v>
      </c>
      <c r="H67" s="451" t="s">
        <v>51</v>
      </c>
      <c r="I67" s="451" t="s">
        <v>51</v>
      </c>
      <c r="J67" s="451" t="s">
        <v>145</v>
      </c>
      <c r="K67" s="528">
        <v>1</v>
      </c>
      <c r="L67" s="451">
        <v>1</v>
      </c>
      <c r="M67" s="451">
        <v>1</v>
      </c>
      <c r="N67" s="451">
        <v>1</v>
      </c>
      <c r="O67" s="451">
        <v>1</v>
      </c>
      <c r="P67" s="451">
        <v>1</v>
      </c>
      <c r="Q67" s="511" t="s">
        <v>145</v>
      </c>
      <c r="R67" s="451">
        <v>3</v>
      </c>
      <c r="S67" s="451">
        <v>3</v>
      </c>
      <c r="T67" s="451">
        <v>3</v>
      </c>
      <c r="U67" s="451">
        <v>3</v>
      </c>
      <c r="V67" s="451">
        <v>3</v>
      </c>
      <c r="W67" s="511" t="s">
        <v>145</v>
      </c>
      <c r="X67" s="451">
        <v>2</v>
      </c>
      <c r="Y67" s="451">
        <v>2</v>
      </c>
      <c r="Z67" s="451">
        <v>2</v>
      </c>
      <c r="AA67" s="451">
        <v>2</v>
      </c>
      <c r="AB67" s="451">
        <v>2</v>
      </c>
      <c r="AC67" s="451">
        <v>2</v>
      </c>
      <c r="AD67" s="511" t="s">
        <v>145</v>
      </c>
      <c r="AE67" s="451">
        <v>1</v>
      </c>
      <c r="AF67" s="451" t="s">
        <v>51</v>
      </c>
      <c r="AG67" s="451" t="s">
        <v>179</v>
      </c>
      <c r="AH67" s="451">
        <v>1</v>
      </c>
      <c r="AI67" s="451">
        <v>1</v>
      </c>
      <c r="AJ67" s="451">
        <v>1</v>
      </c>
      <c r="AK67" s="451"/>
      <c r="AL67" s="451"/>
      <c r="AM67" s="94">
        <f t="shared" si="5"/>
        <v>1</v>
      </c>
      <c r="AN67" s="564"/>
      <c r="AO67" s="1"/>
      <c r="AP67" s="1"/>
      <c r="AQ67" s="1"/>
      <c r="AT67" s="2"/>
      <c r="AV67" s="2"/>
      <c r="BC67" s="180"/>
    </row>
    <row r="68" spans="1:55" ht="25.35" customHeight="1">
      <c r="A68" s="573"/>
      <c r="B68" s="573"/>
      <c r="C68" s="48" t="s">
        <v>60</v>
      </c>
      <c r="D68" s="504">
        <f t="shared" si="6"/>
        <v>7</v>
      </c>
      <c r="E68" s="184" t="s">
        <v>151</v>
      </c>
      <c r="F68" s="101"/>
      <c r="G68" s="523">
        <v>2</v>
      </c>
      <c r="H68" s="451">
        <v>2</v>
      </c>
      <c r="I68" s="451">
        <v>2</v>
      </c>
      <c r="J68" s="451" t="s">
        <v>145</v>
      </c>
      <c r="K68" s="528">
        <v>1</v>
      </c>
      <c r="L68" s="528">
        <v>1</v>
      </c>
      <c r="M68" s="451">
        <v>1</v>
      </c>
      <c r="N68" s="451">
        <v>1</v>
      </c>
      <c r="O68" s="451">
        <v>1</v>
      </c>
      <c r="P68" s="451">
        <v>1</v>
      </c>
      <c r="Q68" s="511" t="s">
        <v>145</v>
      </c>
      <c r="R68" s="451">
        <v>3</v>
      </c>
      <c r="S68" s="451">
        <v>3</v>
      </c>
      <c r="T68" s="451">
        <v>3</v>
      </c>
      <c r="U68" s="451">
        <v>3</v>
      </c>
      <c r="V68" s="451">
        <v>3</v>
      </c>
      <c r="W68" s="511" t="s">
        <v>145</v>
      </c>
      <c r="X68" s="451">
        <v>2</v>
      </c>
      <c r="Y68" s="451">
        <v>2</v>
      </c>
      <c r="Z68" s="451">
        <v>2</v>
      </c>
      <c r="AA68" s="451">
        <v>2</v>
      </c>
      <c r="AB68" s="451">
        <v>2</v>
      </c>
      <c r="AC68" s="451">
        <v>2</v>
      </c>
      <c r="AD68" s="511" t="s">
        <v>145</v>
      </c>
      <c r="AE68" s="451">
        <v>1</v>
      </c>
      <c r="AF68" s="451">
        <v>1</v>
      </c>
      <c r="AG68" s="451">
        <v>1</v>
      </c>
      <c r="AH68" s="451">
        <v>1</v>
      </c>
      <c r="AI68" s="451">
        <v>1</v>
      </c>
      <c r="AJ68" s="451">
        <v>1</v>
      </c>
      <c r="AK68" s="451"/>
      <c r="AL68" s="451"/>
      <c r="AM68" s="94">
        <f t="shared" si="5"/>
        <v>1</v>
      </c>
      <c r="AN68" s="564"/>
      <c r="AO68" s="1"/>
      <c r="AP68" s="1"/>
      <c r="AQ68" s="1"/>
      <c r="AT68" s="2"/>
      <c r="AV68" s="2"/>
    </row>
    <row r="69" spans="1:55" ht="18.75">
      <c r="A69" s="573"/>
      <c r="B69" s="573"/>
      <c r="C69" s="48" t="s">
        <v>60</v>
      </c>
      <c r="D69" s="504">
        <f t="shared" si="6"/>
        <v>8</v>
      </c>
      <c r="E69" s="184" t="s">
        <v>155</v>
      </c>
      <c r="F69" s="101"/>
      <c r="G69" s="523">
        <v>2</v>
      </c>
      <c r="H69" s="451">
        <v>2</v>
      </c>
      <c r="I69" s="451">
        <v>2</v>
      </c>
      <c r="J69" s="451" t="s">
        <v>145</v>
      </c>
      <c r="K69" s="528" t="s">
        <v>190</v>
      </c>
      <c r="L69" s="451">
        <v>1</v>
      </c>
      <c r="M69" s="451">
        <v>1</v>
      </c>
      <c r="N69" s="451">
        <v>1</v>
      </c>
      <c r="O69" s="451">
        <v>1</v>
      </c>
      <c r="P69" s="451">
        <v>1</v>
      </c>
      <c r="Q69" s="511" t="s">
        <v>145</v>
      </c>
      <c r="R69" s="451" t="s">
        <v>190</v>
      </c>
      <c r="S69" s="451">
        <v>3</v>
      </c>
      <c r="T69" s="451">
        <v>3</v>
      </c>
      <c r="U69" s="451">
        <v>3</v>
      </c>
      <c r="V69" s="451">
        <v>1</v>
      </c>
      <c r="W69" s="511" t="s">
        <v>145</v>
      </c>
      <c r="X69" s="451">
        <v>2</v>
      </c>
      <c r="Y69" s="451">
        <v>2</v>
      </c>
      <c r="Z69" s="451">
        <v>2</v>
      </c>
      <c r="AA69" s="451">
        <v>2</v>
      </c>
      <c r="AB69" s="451">
        <v>2</v>
      </c>
      <c r="AC69" s="451">
        <v>2</v>
      </c>
      <c r="AD69" s="511" t="s">
        <v>145</v>
      </c>
      <c r="AE69" s="451" t="s">
        <v>179</v>
      </c>
      <c r="AF69" s="451" t="s">
        <v>190</v>
      </c>
      <c r="AG69" s="451">
        <v>1</v>
      </c>
      <c r="AH69" s="451">
        <v>1</v>
      </c>
      <c r="AI69" s="451">
        <v>1</v>
      </c>
      <c r="AJ69" s="451">
        <v>1</v>
      </c>
      <c r="AK69" s="451"/>
      <c r="AL69" s="451"/>
      <c r="AM69" s="94">
        <f t="shared" si="5"/>
        <v>1</v>
      </c>
      <c r="AN69" s="564"/>
      <c r="AO69" s="1"/>
      <c r="AP69" s="1"/>
      <c r="AQ69" s="1"/>
      <c r="AT69" s="2"/>
      <c r="AV69" s="2"/>
    </row>
    <row r="70" spans="1:55" ht="25.35" customHeight="1">
      <c r="A70" s="573"/>
      <c r="B70" s="573"/>
      <c r="C70" s="48" t="s">
        <v>55</v>
      </c>
      <c r="D70" s="504">
        <f t="shared" si="6"/>
        <v>9</v>
      </c>
      <c r="E70" s="187" t="s">
        <v>137</v>
      </c>
      <c r="F70" s="101"/>
      <c r="G70" s="523">
        <v>2</v>
      </c>
      <c r="H70" s="451">
        <v>2</v>
      </c>
      <c r="I70" s="451">
        <v>2</v>
      </c>
      <c r="J70" s="451" t="s">
        <v>145</v>
      </c>
      <c r="K70" s="528">
        <v>1</v>
      </c>
      <c r="L70" s="451">
        <v>1</v>
      </c>
      <c r="M70" s="451">
        <v>1</v>
      </c>
      <c r="N70" s="451">
        <v>1</v>
      </c>
      <c r="O70" s="451">
        <v>1</v>
      </c>
      <c r="P70" s="451">
        <v>1</v>
      </c>
      <c r="Q70" s="511" t="s">
        <v>145</v>
      </c>
      <c r="R70" s="451">
        <v>3</v>
      </c>
      <c r="S70" s="451">
        <v>3</v>
      </c>
      <c r="T70" s="451" t="s">
        <v>51</v>
      </c>
      <c r="U70" s="451" t="s">
        <v>51</v>
      </c>
      <c r="V70" s="451" t="s">
        <v>51</v>
      </c>
      <c r="W70" s="511" t="s">
        <v>145</v>
      </c>
      <c r="X70" s="451">
        <v>2</v>
      </c>
      <c r="Y70" s="451">
        <v>2</v>
      </c>
      <c r="Z70" s="451">
        <v>2</v>
      </c>
      <c r="AA70" s="451">
        <v>2</v>
      </c>
      <c r="AB70" s="451">
        <v>2</v>
      </c>
      <c r="AC70" s="451">
        <v>2</v>
      </c>
      <c r="AD70" s="511" t="s">
        <v>145</v>
      </c>
      <c r="AE70" s="451">
        <v>1</v>
      </c>
      <c r="AF70" s="451">
        <v>1</v>
      </c>
      <c r="AG70" s="451">
        <v>1</v>
      </c>
      <c r="AH70" s="451">
        <v>1</v>
      </c>
      <c r="AI70" s="451">
        <v>1</v>
      </c>
      <c r="AJ70" s="451"/>
      <c r="AK70" s="451"/>
      <c r="AL70" s="52"/>
      <c r="AM70" s="94">
        <f t="shared" si="5"/>
        <v>1</v>
      </c>
      <c r="AN70" s="564"/>
      <c r="AO70" s="1"/>
      <c r="AP70" s="1"/>
      <c r="AQ70" s="1"/>
      <c r="AT70" s="2"/>
      <c r="AV70" s="2"/>
    </row>
    <row r="71" spans="1:55" ht="25.35" customHeight="1">
      <c r="A71" s="573"/>
      <c r="B71" s="573"/>
      <c r="C71" s="48" t="s">
        <v>55</v>
      </c>
      <c r="D71" s="504">
        <f t="shared" si="6"/>
        <v>10</v>
      </c>
      <c r="E71" s="178" t="s">
        <v>358</v>
      </c>
      <c r="F71" s="101"/>
      <c r="G71" s="523" t="s">
        <v>51</v>
      </c>
      <c r="H71" s="451" t="s">
        <v>51</v>
      </c>
      <c r="I71" s="451" t="s">
        <v>51</v>
      </c>
      <c r="J71" s="451" t="s">
        <v>145</v>
      </c>
      <c r="K71" s="528" t="s">
        <v>51</v>
      </c>
      <c r="L71" s="451">
        <v>1</v>
      </c>
      <c r="M71" s="451">
        <v>1</v>
      </c>
      <c r="N71" s="451">
        <v>1</v>
      </c>
      <c r="O71" s="451">
        <v>1</v>
      </c>
      <c r="P71" s="451">
        <v>1</v>
      </c>
      <c r="Q71" s="511" t="s">
        <v>145</v>
      </c>
      <c r="R71" s="451">
        <v>3</v>
      </c>
      <c r="S71" s="451">
        <v>3</v>
      </c>
      <c r="T71" s="451">
        <v>3</v>
      </c>
      <c r="U71" s="451">
        <v>3</v>
      </c>
      <c r="V71" s="451">
        <v>3</v>
      </c>
      <c r="W71" s="511" t="s">
        <v>145</v>
      </c>
      <c r="X71" s="451">
        <v>2</v>
      </c>
      <c r="Y71" s="451">
        <v>2</v>
      </c>
      <c r="Z71" s="451">
        <v>2</v>
      </c>
      <c r="AA71" s="451">
        <v>2</v>
      </c>
      <c r="AB71" s="451">
        <v>2</v>
      </c>
      <c r="AC71" s="451">
        <v>2</v>
      </c>
      <c r="AD71" s="511" t="s">
        <v>145</v>
      </c>
      <c r="AE71" s="451">
        <v>1</v>
      </c>
      <c r="AF71" s="451">
        <v>1</v>
      </c>
      <c r="AG71" s="451">
        <v>1</v>
      </c>
      <c r="AH71" s="451">
        <v>1</v>
      </c>
      <c r="AI71" s="451">
        <v>1</v>
      </c>
      <c r="AJ71" s="451">
        <v>1</v>
      </c>
      <c r="AK71" s="451"/>
      <c r="AL71" s="451"/>
      <c r="AM71" s="94">
        <f t="shared" si="5"/>
        <v>1</v>
      </c>
      <c r="AN71" s="564"/>
      <c r="AO71" s="1"/>
      <c r="AP71" s="1"/>
      <c r="AQ71" s="1"/>
      <c r="AT71" s="2"/>
      <c r="AV71" s="2"/>
    </row>
    <row r="72" spans="1:55" ht="25.35" customHeight="1">
      <c r="A72" s="573"/>
      <c r="B72" s="573"/>
      <c r="C72" s="48" t="s">
        <v>60</v>
      </c>
      <c r="D72" s="504">
        <f t="shared" si="6"/>
        <v>11</v>
      </c>
      <c r="E72" s="184" t="s">
        <v>5</v>
      </c>
      <c r="F72" s="101"/>
      <c r="G72" s="523">
        <v>2</v>
      </c>
      <c r="H72" s="451">
        <v>2</v>
      </c>
      <c r="I72" s="451">
        <v>2</v>
      </c>
      <c r="J72" s="451" t="s">
        <v>145</v>
      </c>
      <c r="K72" s="528">
        <v>1</v>
      </c>
      <c r="L72" s="528">
        <v>1</v>
      </c>
      <c r="M72" s="451">
        <v>1</v>
      </c>
      <c r="N72" s="451">
        <v>1</v>
      </c>
      <c r="O72" s="451">
        <v>1</v>
      </c>
      <c r="P72" s="451">
        <v>1</v>
      </c>
      <c r="Q72" s="511" t="s">
        <v>145</v>
      </c>
      <c r="R72" s="451" t="s">
        <v>145</v>
      </c>
      <c r="S72" s="451">
        <v>3</v>
      </c>
      <c r="T72" s="451">
        <v>3</v>
      </c>
      <c r="U72" s="451">
        <v>3</v>
      </c>
      <c r="V72" s="451">
        <v>3</v>
      </c>
      <c r="W72" s="511" t="s">
        <v>145</v>
      </c>
      <c r="X72" s="451">
        <v>2</v>
      </c>
      <c r="Y72" s="451">
        <v>2</v>
      </c>
      <c r="Z72" s="451">
        <v>2</v>
      </c>
      <c r="AA72" s="451">
        <v>2</v>
      </c>
      <c r="AB72" s="451">
        <v>2</v>
      </c>
      <c r="AC72" s="451" t="s">
        <v>52</v>
      </c>
      <c r="AD72" s="511" t="s">
        <v>145</v>
      </c>
      <c r="AE72" s="451">
        <v>1</v>
      </c>
      <c r="AF72" s="451">
        <v>1</v>
      </c>
      <c r="AG72" s="451">
        <v>1</v>
      </c>
      <c r="AH72" s="451">
        <v>1</v>
      </c>
      <c r="AI72" s="451">
        <v>1</v>
      </c>
      <c r="AJ72" s="451">
        <v>1</v>
      </c>
      <c r="AK72" s="451"/>
      <c r="AL72" s="451"/>
      <c r="AM72" s="94">
        <f t="shared" si="5"/>
        <v>0.96</v>
      </c>
      <c r="AN72" s="564"/>
      <c r="AO72" s="1"/>
      <c r="AP72" s="1"/>
      <c r="AQ72" s="1"/>
      <c r="AT72" s="2"/>
      <c r="AV72" s="2"/>
    </row>
    <row r="73" spans="1:55" ht="25.35" customHeight="1">
      <c r="A73" s="573"/>
      <c r="B73" s="573"/>
      <c r="C73" s="48" t="s">
        <v>60</v>
      </c>
      <c r="D73" s="504">
        <f t="shared" si="6"/>
        <v>12</v>
      </c>
      <c r="E73" s="185" t="s">
        <v>8</v>
      </c>
      <c r="F73" s="101"/>
      <c r="G73" s="523" t="s">
        <v>51</v>
      </c>
      <c r="H73" s="451" t="s">
        <v>51</v>
      </c>
      <c r="I73" s="451">
        <v>2</v>
      </c>
      <c r="J73" s="451" t="s">
        <v>145</v>
      </c>
      <c r="K73" s="528">
        <v>1</v>
      </c>
      <c r="L73" s="528">
        <v>1</v>
      </c>
      <c r="M73" s="451">
        <v>1</v>
      </c>
      <c r="N73" s="451">
        <v>1</v>
      </c>
      <c r="O73" s="528">
        <v>1</v>
      </c>
      <c r="P73" s="451">
        <v>1</v>
      </c>
      <c r="Q73" s="511" t="s">
        <v>145</v>
      </c>
      <c r="R73" s="451">
        <v>3</v>
      </c>
      <c r="S73" s="451">
        <v>3</v>
      </c>
      <c r="T73" s="451">
        <v>3</v>
      </c>
      <c r="U73" s="451">
        <v>3</v>
      </c>
      <c r="V73" s="451">
        <v>3</v>
      </c>
      <c r="W73" s="511" t="s">
        <v>145</v>
      </c>
      <c r="X73" s="451">
        <v>2</v>
      </c>
      <c r="Y73" s="451">
        <v>2</v>
      </c>
      <c r="Z73" s="451">
        <v>2</v>
      </c>
      <c r="AA73" s="451">
        <v>2</v>
      </c>
      <c r="AB73" s="451">
        <v>2</v>
      </c>
      <c r="AC73" s="451">
        <v>1</v>
      </c>
      <c r="AD73" s="511" t="s">
        <v>145</v>
      </c>
      <c r="AE73" s="451">
        <v>1</v>
      </c>
      <c r="AF73" s="451">
        <v>1</v>
      </c>
      <c r="AG73" s="451">
        <v>1</v>
      </c>
      <c r="AH73" s="451">
        <v>1</v>
      </c>
      <c r="AI73" s="451">
        <v>1</v>
      </c>
      <c r="AJ73" s="451">
        <v>1</v>
      </c>
      <c r="AK73" s="451"/>
      <c r="AL73" s="451"/>
      <c r="AM73" s="94">
        <f t="shared" si="5"/>
        <v>1</v>
      </c>
      <c r="AN73" s="564"/>
      <c r="AO73" s="1"/>
      <c r="AP73" s="1"/>
      <c r="AQ73" s="1"/>
      <c r="AT73" s="2"/>
      <c r="AV73" s="2"/>
    </row>
    <row r="74" spans="1:55" ht="25.35" customHeight="1">
      <c r="A74" s="573"/>
      <c r="B74" s="573"/>
      <c r="C74" s="48" t="s">
        <v>60</v>
      </c>
      <c r="D74" s="504">
        <f t="shared" si="6"/>
        <v>13</v>
      </c>
      <c r="E74" s="185" t="s">
        <v>41</v>
      </c>
      <c r="F74" s="111"/>
      <c r="G74" s="523" t="s">
        <v>179</v>
      </c>
      <c r="H74" s="451" t="s">
        <v>179</v>
      </c>
      <c r="I74" s="451">
        <v>2</v>
      </c>
      <c r="J74" s="451" t="s">
        <v>145</v>
      </c>
      <c r="K74" s="528">
        <v>1</v>
      </c>
      <c r="L74" s="451">
        <v>1</v>
      </c>
      <c r="M74" s="451">
        <v>1</v>
      </c>
      <c r="N74" s="451">
        <v>1</v>
      </c>
      <c r="O74" s="451">
        <v>1</v>
      </c>
      <c r="P74" s="451">
        <v>1</v>
      </c>
      <c r="Q74" s="511" t="s">
        <v>145</v>
      </c>
      <c r="R74" s="451">
        <v>3</v>
      </c>
      <c r="S74" s="451">
        <v>3</v>
      </c>
      <c r="T74" s="451">
        <v>3</v>
      </c>
      <c r="U74" s="451">
        <v>3</v>
      </c>
      <c r="V74" s="451">
        <v>3</v>
      </c>
      <c r="W74" s="511" t="s">
        <v>145</v>
      </c>
      <c r="X74" s="451">
        <v>2</v>
      </c>
      <c r="Y74" s="451" t="s">
        <v>51</v>
      </c>
      <c r="Z74" s="451">
        <v>2</v>
      </c>
      <c r="AA74" s="451">
        <v>2</v>
      </c>
      <c r="AB74" s="451">
        <v>2</v>
      </c>
      <c r="AC74" s="451">
        <v>2</v>
      </c>
      <c r="AD74" s="511" t="s">
        <v>145</v>
      </c>
      <c r="AE74" s="451">
        <v>1</v>
      </c>
      <c r="AF74" s="451">
        <v>1</v>
      </c>
      <c r="AG74" s="451">
        <v>1</v>
      </c>
      <c r="AH74" s="451">
        <v>1</v>
      </c>
      <c r="AI74" s="451">
        <v>1</v>
      </c>
      <c r="AJ74" s="451" t="s">
        <v>52</v>
      </c>
      <c r="AK74" s="451"/>
      <c r="AL74" s="451"/>
      <c r="AM74" s="94">
        <f t="shared" si="5"/>
        <v>0.96153846153846156</v>
      </c>
      <c r="AN74" s="564"/>
      <c r="AO74" s="1"/>
      <c r="AP74" s="1"/>
      <c r="AQ74" s="1"/>
      <c r="AT74" s="2"/>
      <c r="AV74" s="2"/>
    </row>
    <row r="75" spans="1:55" ht="25.35" customHeight="1">
      <c r="A75" s="573"/>
      <c r="B75" s="573"/>
      <c r="C75" s="48" t="s">
        <v>55</v>
      </c>
      <c r="D75" s="504">
        <f t="shared" si="6"/>
        <v>14</v>
      </c>
      <c r="E75" s="185" t="s">
        <v>215</v>
      </c>
      <c r="F75" s="111"/>
      <c r="G75" s="523" t="s">
        <v>51</v>
      </c>
      <c r="H75" s="451" t="s">
        <v>51</v>
      </c>
      <c r="I75" s="451" t="s">
        <v>51</v>
      </c>
      <c r="J75" s="451" t="s">
        <v>145</v>
      </c>
      <c r="K75" s="528">
        <v>1</v>
      </c>
      <c r="L75" s="451">
        <v>1</v>
      </c>
      <c r="M75" s="451">
        <v>1</v>
      </c>
      <c r="N75" s="451">
        <v>1</v>
      </c>
      <c r="O75" s="451">
        <v>1</v>
      </c>
      <c r="P75" s="451">
        <v>1</v>
      </c>
      <c r="Q75" s="511" t="s">
        <v>145</v>
      </c>
      <c r="R75" s="451" t="s">
        <v>145</v>
      </c>
      <c r="S75" s="451" t="s">
        <v>51</v>
      </c>
      <c r="T75" s="451">
        <v>3</v>
      </c>
      <c r="U75" s="451">
        <v>3</v>
      </c>
      <c r="V75" s="451">
        <v>3</v>
      </c>
      <c r="W75" s="511" t="s">
        <v>145</v>
      </c>
      <c r="X75" s="451">
        <v>2</v>
      </c>
      <c r="Y75" s="451">
        <v>2</v>
      </c>
      <c r="Z75" s="451">
        <v>2</v>
      </c>
      <c r="AA75" s="451">
        <v>2</v>
      </c>
      <c r="AB75" s="451">
        <v>2</v>
      </c>
      <c r="AC75" s="451">
        <v>2</v>
      </c>
      <c r="AD75" s="511" t="s">
        <v>145</v>
      </c>
      <c r="AE75" s="451">
        <v>1</v>
      </c>
      <c r="AF75" s="451">
        <v>1</v>
      </c>
      <c r="AG75" s="451">
        <v>1</v>
      </c>
      <c r="AH75" s="451">
        <v>1</v>
      </c>
      <c r="AI75" s="451">
        <v>1</v>
      </c>
      <c r="AJ75" s="451">
        <v>1</v>
      </c>
      <c r="AK75" s="451"/>
      <c r="AL75" s="451"/>
      <c r="AM75" s="94">
        <f t="shared" si="5"/>
        <v>1</v>
      </c>
      <c r="AN75" s="564"/>
      <c r="AO75" s="1"/>
      <c r="AP75" s="1"/>
      <c r="AQ75" s="1"/>
      <c r="AT75" s="2"/>
      <c r="AV75" s="2"/>
    </row>
    <row r="76" spans="1:55" ht="25.35" customHeight="1">
      <c r="A76" s="573"/>
      <c r="B76" s="573"/>
      <c r="C76" s="48" t="s">
        <v>60</v>
      </c>
      <c r="D76" s="504">
        <f t="shared" si="6"/>
        <v>15</v>
      </c>
      <c r="E76" s="185" t="s">
        <v>32</v>
      </c>
      <c r="F76" s="111"/>
      <c r="G76" s="523">
        <v>2</v>
      </c>
      <c r="H76" s="451">
        <v>2</v>
      </c>
      <c r="I76" s="451">
        <v>2</v>
      </c>
      <c r="J76" s="451" t="s">
        <v>145</v>
      </c>
      <c r="K76" s="528">
        <v>1</v>
      </c>
      <c r="L76" s="451">
        <v>1</v>
      </c>
      <c r="M76" s="451">
        <v>1</v>
      </c>
      <c r="N76" s="451">
        <v>1</v>
      </c>
      <c r="O76" s="451">
        <v>1</v>
      </c>
      <c r="P76" s="451">
        <v>1</v>
      </c>
      <c r="Q76" s="511" t="s">
        <v>145</v>
      </c>
      <c r="R76" s="451">
        <v>3</v>
      </c>
      <c r="S76" s="451">
        <v>3</v>
      </c>
      <c r="T76" s="451">
        <v>3</v>
      </c>
      <c r="U76" s="451">
        <v>3</v>
      </c>
      <c r="V76" s="451">
        <v>3</v>
      </c>
      <c r="W76" s="511" t="s">
        <v>145</v>
      </c>
      <c r="X76" s="451">
        <v>2</v>
      </c>
      <c r="Y76" s="451">
        <v>2</v>
      </c>
      <c r="Z76" s="451">
        <v>2</v>
      </c>
      <c r="AA76" s="451">
        <v>2</v>
      </c>
      <c r="AB76" s="451">
        <v>2</v>
      </c>
      <c r="AC76" s="451">
        <v>2</v>
      </c>
      <c r="AD76" s="511" t="s">
        <v>145</v>
      </c>
      <c r="AE76" s="451">
        <v>1</v>
      </c>
      <c r="AF76" s="451">
        <v>1</v>
      </c>
      <c r="AG76" s="451">
        <v>1</v>
      </c>
      <c r="AH76" s="451">
        <v>1</v>
      </c>
      <c r="AI76" s="451">
        <v>1</v>
      </c>
      <c r="AJ76" s="451">
        <v>1</v>
      </c>
      <c r="AK76" s="451"/>
      <c r="AL76" s="52"/>
      <c r="AM76" s="94">
        <f t="shared" si="5"/>
        <v>1</v>
      </c>
      <c r="AN76" s="564"/>
      <c r="AO76" s="1"/>
      <c r="AP76" s="1"/>
      <c r="AQ76" s="1"/>
      <c r="AT76" s="2"/>
      <c r="AV76" s="2"/>
    </row>
    <row r="77" spans="1:55" ht="25.35" customHeight="1">
      <c r="A77" s="573"/>
      <c r="B77" s="573"/>
      <c r="C77" s="48" t="s">
        <v>60</v>
      </c>
      <c r="D77" s="504">
        <f t="shared" si="6"/>
        <v>16</v>
      </c>
      <c r="E77" s="185" t="s">
        <v>152</v>
      </c>
      <c r="F77" s="111"/>
      <c r="G77" s="523">
        <v>2</v>
      </c>
      <c r="H77" s="451">
        <v>2</v>
      </c>
      <c r="I77" s="451">
        <v>3</v>
      </c>
      <c r="J77" s="451" t="s">
        <v>145</v>
      </c>
      <c r="K77" s="528">
        <v>1</v>
      </c>
      <c r="L77" s="528">
        <v>1</v>
      </c>
      <c r="M77" s="451">
        <v>1</v>
      </c>
      <c r="N77" s="451">
        <v>1</v>
      </c>
      <c r="O77" s="451">
        <v>1</v>
      </c>
      <c r="P77" s="451">
        <v>1</v>
      </c>
      <c r="Q77" s="511" t="s">
        <v>145</v>
      </c>
      <c r="R77" s="451">
        <v>3</v>
      </c>
      <c r="S77" s="451">
        <v>3</v>
      </c>
      <c r="T77" s="451">
        <v>3</v>
      </c>
      <c r="U77" s="451">
        <v>3</v>
      </c>
      <c r="V77" s="451">
        <v>3</v>
      </c>
      <c r="W77" s="511" t="s">
        <v>145</v>
      </c>
      <c r="X77" s="451">
        <v>2</v>
      </c>
      <c r="Y77" s="451">
        <v>2</v>
      </c>
      <c r="Z77" s="451">
        <v>2</v>
      </c>
      <c r="AA77" s="451">
        <v>2</v>
      </c>
      <c r="AB77" s="451">
        <v>2</v>
      </c>
      <c r="AC77" s="451">
        <v>2</v>
      </c>
      <c r="AD77" s="511" t="s">
        <v>145</v>
      </c>
      <c r="AE77" s="451">
        <v>1</v>
      </c>
      <c r="AF77" s="451">
        <v>1</v>
      </c>
      <c r="AG77" s="451">
        <v>1</v>
      </c>
      <c r="AH77" s="451">
        <v>1</v>
      </c>
      <c r="AI77" s="451">
        <v>1</v>
      </c>
      <c r="AJ77" s="451">
        <v>1</v>
      </c>
      <c r="AK77" s="451"/>
      <c r="AL77" s="451"/>
      <c r="AM77" s="94">
        <f t="shared" si="5"/>
        <v>1</v>
      </c>
      <c r="AN77" s="564"/>
      <c r="AO77" s="1"/>
      <c r="AP77" s="1"/>
      <c r="AQ77" s="1"/>
      <c r="AT77" s="2"/>
      <c r="AV77" s="2"/>
    </row>
    <row r="78" spans="1:55" ht="25.35" customHeight="1">
      <c r="A78" s="573"/>
      <c r="B78" s="573"/>
      <c r="C78" s="48" t="s">
        <v>55</v>
      </c>
      <c r="D78" s="504">
        <f t="shared" si="6"/>
        <v>17</v>
      </c>
      <c r="E78" s="184" t="s">
        <v>226</v>
      </c>
      <c r="F78" s="102"/>
      <c r="G78" s="523">
        <v>2</v>
      </c>
      <c r="H78" s="451">
        <v>2</v>
      </c>
      <c r="I78" s="451">
        <v>2</v>
      </c>
      <c r="J78" s="451" t="s">
        <v>145</v>
      </c>
      <c r="K78" s="528">
        <v>1</v>
      </c>
      <c r="L78" s="528">
        <v>1</v>
      </c>
      <c r="M78" s="451">
        <v>1</v>
      </c>
      <c r="N78" s="451">
        <v>1</v>
      </c>
      <c r="O78" s="451">
        <v>1</v>
      </c>
      <c r="P78" s="451" t="s">
        <v>376</v>
      </c>
      <c r="Q78" s="511" t="s">
        <v>145</v>
      </c>
      <c r="R78" s="451" t="s">
        <v>51</v>
      </c>
      <c r="S78" s="451" t="s">
        <v>179</v>
      </c>
      <c r="T78" s="451" t="s">
        <v>179</v>
      </c>
      <c r="U78" s="451" t="s">
        <v>179</v>
      </c>
      <c r="V78" s="451" t="s">
        <v>179</v>
      </c>
      <c r="W78" s="511" t="s">
        <v>145</v>
      </c>
      <c r="X78" s="451" t="s">
        <v>179</v>
      </c>
      <c r="Y78" s="451" t="s">
        <v>179</v>
      </c>
      <c r="Z78" s="451" t="s">
        <v>179</v>
      </c>
      <c r="AA78" s="451" t="s">
        <v>179</v>
      </c>
      <c r="AB78" s="451" t="s">
        <v>179</v>
      </c>
      <c r="AC78" s="451" t="s">
        <v>179</v>
      </c>
      <c r="AD78" s="511" t="s">
        <v>145</v>
      </c>
      <c r="AE78" s="451" t="s">
        <v>179</v>
      </c>
      <c r="AF78" s="451" t="s">
        <v>179</v>
      </c>
      <c r="AG78" s="451" t="s">
        <v>179</v>
      </c>
      <c r="AH78" s="451" t="s">
        <v>179</v>
      </c>
      <c r="AI78" s="451" t="s">
        <v>179</v>
      </c>
      <c r="AJ78" s="451" t="s">
        <v>179</v>
      </c>
      <c r="AK78" s="451"/>
      <c r="AL78" s="451"/>
      <c r="AM78" s="94">
        <f t="shared" si="5"/>
        <v>1</v>
      </c>
      <c r="AN78" s="564"/>
      <c r="AO78" s="1"/>
      <c r="AP78" s="1"/>
      <c r="AQ78" s="1"/>
      <c r="AT78" s="2"/>
      <c r="AV78" s="2"/>
    </row>
    <row r="79" spans="1:55" ht="25.35" customHeight="1">
      <c r="A79" s="573"/>
      <c r="B79" s="573"/>
      <c r="C79" s="48" t="s">
        <v>60</v>
      </c>
      <c r="D79" s="504">
        <f t="shared" si="6"/>
        <v>18</v>
      </c>
      <c r="E79" s="185" t="s">
        <v>160</v>
      </c>
      <c r="F79" s="101"/>
      <c r="G79" s="523">
        <v>2</v>
      </c>
      <c r="H79" s="451">
        <v>2</v>
      </c>
      <c r="I79" s="451" t="s">
        <v>145</v>
      </c>
      <c r="J79" s="451" t="s">
        <v>145</v>
      </c>
      <c r="K79" s="528">
        <v>1</v>
      </c>
      <c r="L79" s="451">
        <v>1</v>
      </c>
      <c r="M79" s="451">
        <v>1</v>
      </c>
      <c r="N79" s="451">
        <v>1</v>
      </c>
      <c r="O79" s="451" t="s">
        <v>51</v>
      </c>
      <c r="P79" s="451">
        <v>1</v>
      </c>
      <c r="Q79" s="511" t="s">
        <v>145</v>
      </c>
      <c r="R79" s="451" t="s">
        <v>190</v>
      </c>
      <c r="S79" s="451">
        <v>3</v>
      </c>
      <c r="T79" s="451">
        <v>3</v>
      </c>
      <c r="U79" s="451">
        <v>3</v>
      </c>
      <c r="V79" s="451">
        <v>3</v>
      </c>
      <c r="W79" s="511" t="s">
        <v>145</v>
      </c>
      <c r="X79" s="451">
        <v>2</v>
      </c>
      <c r="Y79" s="451">
        <v>2</v>
      </c>
      <c r="Z79" s="451">
        <v>2</v>
      </c>
      <c r="AA79" s="451">
        <v>2</v>
      </c>
      <c r="AB79" s="451">
        <v>2</v>
      </c>
      <c r="AC79" s="451">
        <v>2</v>
      </c>
      <c r="AD79" s="511" t="s">
        <v>145</v>
      </c>
      <c r="AE79" s="451">
        <v>1</v>
      </c>
      <c r="AF79" s="451">
        <v>1</v>
      </c>
      <c r="AG79" s="451">
        <v>1</v>
      </c>
      <c r="AH79" s="451">
        <v>1</v>
      </c>
      <c r="AI79" s="451">
        <v>1</v>
      </c>
      <c r="AJ79" s="451">
        <v>1</v>
      </c>
      <c r="AK79" s="451"/>
      <c r="AL79" s="451"/>
      <c r="AM79" s="94">
        <f t="shared" si="5"/>
        <v>1</v>
      </c>
      <c r="AN79" s="564"/>
      <c r="AO79" s="1"/>
      <c r="AP79" s="1"/>
      <c r="AQ79" s="1"/>
      <c r="AT79" s="2"/>
      <c r="AV79" s="2"/>
    </row>
    <row r="80" spans="1:55" ht="25.35" customHeight="1">
      <c r="A80" s="573"/>
      <c r="B80" s="573"/>
      <c r="C80" s="48" t="s">
        <v>60</v>
      </c>
      <c r="D80" s="504">
        <f t="shared" si="6"/>
        <v>19</v>
      </c>
      <c r="E80" s="185" t="s">
        <v>31</v>
      </c>
      <c r="F80" s="102"/>
      <c r="G80" s="523" t="s">
        <v>51</v>
      </c>
      <c r="H80" s="451">
        <v>2</v>
      </c>
      <c r="I80" s="451">
        <v>2</v>
      </c>
      <c r="J80" s="451" t="s">
        <v>145</v>
      </c>
      <c r="K80" s="528">
        <v>1</v>
      </c>
      <c r="L80" s="528">
        <v>1</v>
      </c>
      <c r="M80" s="451">
        <v>1</v>
      </c>
      <c r="N80" s="451">
        <v>1</v>
      </c>
      <c r="O80" s="451">
        <v>1</v>
      </c>
      <c r="P80" s="451">
        <v>1</v>
      </c>
      <c r="Q80" s="511" t="s">
        <v>145</v>
      </c>
      <c r="R80" s="451">
        <v>3</v>
      </c>
      <c r="S80" s="451">
        <v>3</v>
      </c>
      <c r="T80" s="451">
        <v>3</v>
      </c>
      <c r="U80" s="451">
        <v>3</v>
      </c>
      <c r="V80" s="451">
        <v>1</v>
      </c>
      <c r="W80" s="511" t="s">
        <v>145</v>
      </c>
      <c r="X80" s="451">
        <v>2</v>
      </c>
      <c r="Y80" s="451">
        <v>2</v>
      </c>
      <c r="Z80" s="451" t="s">
        <v>51</v>
      </c>
      <c r="AA80" s="451">
        <v>2</v>
      </c>
      <c r="AB80" s="451">
        <v>2</v>
      </c>
      <c r="AC80" s="451">
        <v>2</v>
      </c>
      <c r="AD80" s="511" t="s">
        <v>145</v>
      </c>
      <c r="AE80" s="451">
        <v>1</v>
      </c>
      <c r="AF80" s="451">
        <v>1</v>
      </c>
      <c r="AG80" s="451">
        <v>1</v>
      </c>
      <c r="AH80" s="451">
        <v>1</v>
      </c>
      <c r="AI80" s="451">
        <v>1</v>
      </c>
      <c r="AJ80" s="451">
        <v>1</v>
      </c>
      <c r="AK80" s="451"/>
      <c r="AL80" s="451"/>
      <c r="AM80" s="94">
        <f t="shared" si="5"/>
        <v>1</v>
      </c>
      <c r="AN80" s="564"/>
      <c r="AO80" s="1"/>
      <c r="AP80" s="1"/>
      <c r="AQ80" s="1"/>
      <c r="AT80" s="2"/>
      <c r="AV80" s="2"/>
    </row>
    <row r="81" spans="1:48" ht="25.35" customHeight="1">
      <c r="A81" s="573"/>
      <c r="B81" s="573"/>
      <c r="C81" s="48" t="s">
        <v>60</v>
      </c>
      <c r="D81" s="504">
        <f t="shared" si="6"/>
        <v>20</v>
      </c>
      <c r="E81" s="185" t="s">
        <v>20</v>
      </c>
      <c r="F81" s="97"/>
      <c r="G81" s="523" t="s">
        <v>51</v>
      </c>
      <c r="H81" s="451" t="s">
        <v>51</v>
      </c>
      <c r="I81" s="451" t="s">
        <v>51</v>
      </c>
      <c r="J81" s="451" t="s">
        <v>145</v>
      </c>
      <c r="K81" s="528" t="s">
        <v>179</v>
      </c>
      <c r="L81" s="451" t="s">
        <v>190</v>
      </c>
      <c r="M81" s="451" t="s">
        <v>193</v>
      </c>
      <c r="N81" s="451">
        <v>1</v>
      </c>
      <c r="O81" s="451">
        <v>1</v>
      </c>
      <c r="P81" s="451">
        <v>1</v>
      </c>
      <c r="Q81" s="511" t="s">
        <v>145</v>
      </c>
      <c r="R81" s="451">
        <v>3</v>
      </c>
      <c r="S81" s="451">
        <v>3</v>
      </c>
      <c r="T81" s="451">
        <v>3</v>
      </c>
      <c r="U81" s="451">
        <v>3</v>
      </c>
      <c r="V81" s="451" t="s">
        <v>179</v>
      </c>
      <c r="W81" s="511" t="s">
        <v>145</v>
      </c>
      <c r="X81" s="451" t="s">
        <v>179</v>
      </c>
      <c r="Y81" s="451" t="s">
        <v>190</v>
      </c>
      <c r="Z81" s="451" t="s">
        <v>190</v>
      </c>
      <c r="AA81" s="451" t="s">
        <v>190</v>
      </c>
      <c r="AB81" s="451" t="s">
        <v>190</v>
      </c>
      <c r="AC81" s="451" t="s">
        <v>190</v>
      </c>
      <c r="AD81" s="511" t="s">
        <v>145</v>
      </c>
      <c r="AE81" s="451" t="s">
        <v>382</v>
      </c>
      <c r="AF81" s="451" t="s">
        <v>382</v>
      </c>
      <c r="AG81" s="451" t="s">
        <v>382</v>
      </c>
      <c r="AH81" s="451" t="s">
        <v>382</v>
      </c>
      <c r="AI81" s="451">
        <v>1</v>
      </c>
      <c r="AJ81" s="451" t="s">
        <v>52</v>
      </c>
      <c r="AK81" s="451"/>
      <c r="AL81" s="451"/>
      <c r="AM81" s="94">
        <f t="shared" si="5"/>
        <v>0.90909090909090906</v>
      </c>
      <c r="AN81" s="564"/>
      <c r="AO81" s="1"/>
      <c r="AP81" s="1"/>
      <c r="AQ81" s="1"/>
      <c r="AT81" s="2"/>
      <c r="AV81" s="2"/>
    </row>
    <row r="82" spans="1:48" ht="25.15" customHeight="1" thickBot="1">
      <c r="A82" s="573"/>
      <c r="B82" s="573"/>
      <c r="C82" s="48"/>
      <c r="D82" s="505">
        <f>D81+1</f>
        <v>21</v>
      </c>
      <c r="E82" s="181"/>
      <c r="F82" s="484"/>
      <c r="G82" s="516"/>
      <c r="H82" s="479"/>
      <c r="I82" s="479"/>
      <c r="J82" s="529"/>
      <c r="K82" s="529"/>
      <c r="L82" s="529"/>
      <c r="M82" s="479"/>
      <c r="N82" s="479"/>
      <c r="O82" s="479"/>
      <c r="P82" s="479"/>
      <c r="Q82" s="479"/>
      <c r="R82" s="479"/>
      <c r="S82" s="479"/>
      <c r="T82" s="479"/>
      <c r="U82" s="479"/>
      <c r="V82" s="479"/>
      <c r="W82" s="479"/>
      <c r="X82" s="479"/>
      <c r="Y82" s="479"/>
      <c r="Z82" s="479"/>
      <c r="AA82" s="479"/>
      <c r="AB82" s="479"/>
      <c r="AC82" s="479"/>
      <c r="AD82" s="479"/>
      <c r="AE82" s="479"/>
      <c r="AF82" s="479"/>
      <c r="AG82" s="479"/>
      <c r="AH82" s="479"/>
      <c r="AI82" s="479"/>
      <c r="AJ82" s="479"/>
      <c r="AK82" s="479"/>
      <c r="AL82" s="479"/>
      <c r="AM82" s="506" t="str">
        <f>IF((COUNTIF(G82:AK82, "x")+COUNTIF(G82:AK82, "1")+COUNTIF(G82:AK82, "2")+COUNTIF(G82:AK82, "3"))=0, "", (COUNTIF(G82:AK82, "1")+COUNTIF(G82:AK82, "2")+COUNTIF(G82:AK82, "3"))/(COUNTIF(G82:AK82, "x")+COUNTIF(G82:AK82, "1")+COUNTIF(G82:AK82, "2")+COUNTIF(G82:AK82, "3")))</f>
        <v/>
      </c>
      <c r="AN82" s="574"/>
      <c r="AO82" s="1"/>
      <c r="AP82" s="1"/>
      <c r="AQ82" s="1"/>
      <c r="AT82" s="2"/>
      <c r="AV82" s="2"/>
    </row>
    <row r="83" spans="1:48" ht="25.5" customHeight="1" thickBot="1">
      <c r="B83" s="110"/>
      <c r="C83" s="48"/>
      <c r="D83" s="495"/>
      <c r="E83" s="491"/>
      <c r="F83" s="492"/>
      <c r="G83" s="517"/>
      <c r="H83" s="517"/>
      <c r="I83" s="517"/>
      <c r="J83" s="517"/>
      <c r="K83" s="517"/>
      <c r="L83" s="517"/>
      <c r="M83" s="517"/>
      <c r="N83" s="517"/>
      <c r="O83" s="517"/>
      <c r="P83" s="517"/>
      <c r="Q83" s="517"/>
      <c r="R83" s="517"/>
      <c r="S83" s="517"/>
      <c r="T83" s="517"/>
      <c r="U83" s="517"/>
      <c r="V83" s="517"/>
      <c r="W83" s="517"/>
      <c r="X83" s="517"/>
      <c r="Y83" s="517"/>
      <c r="Z83" s="517"/>
      <c r="AA83" s="517"/>
      <c r="AB83" s="517"/>
      <c r="AC83" s="517"/>
      <c r="AD83" s="517"/>
      <c r="AE83" s="517"/>
      <c r="AF83" s="517"/>
      <c r="AG83" s="517"/>
      <c r="AH83" s="517"/>
      <c r="AI83" s="517"/>
      <c r="AJ83" s="517"/>
      <c r="AK83" s="517"/>
      <c r="AL83" s="473"/>
      <c r="AM83" s="486"/>
      <c r="AN83" s="168"/>
      <c r="AO83" s="1"/>
      <c r="AP83" s="1"/>
      <c r="AQ83" s="1"/>
      <c r="AT83" s="2"/>
      <c r="AV83" s="2"/>
    </row>
    <row r="84" spans="1:48" ht="30" customHeight="1" thickBot="1">
      <c r="B84" s="110"/>
      <c r="C84" s="47" t="s">
        <v>170</v>
      </c>
      <c r="D84" s="561" t="s">
        <v>141</v>
      </c>
      <c r="E84" s="562"/>
      <c r="F84" s="490"/>
      <c r="G84" s="501"/>
      <c r="H84" s="502"/>
      <c r="I84" s="502"/>
      <c r="J84" s="502"/>
      <c r="K84" s="502"/>
      <c r="L84" s="502"/>
      <c r="M84" s="502" t="s">
        <v>375</v>
      </c>
      <c r="N84" s="502" t="s">
        <v>375</v>
      </c>
      <c r="O84" s="502" t="s">
        <v>375</v>
      </c>
      <c r="P84" s="502" t="s">
        <v>375</v>
      </c>
      <c r="Q84" s="502" t="s">
        <v>375</v>
      </c>
      <c r="R84" s="502" t="s">
        <v>375</v>
      </c>
      <c r="S84" s="502"/>
      <c r="T84" s="502" t="s">
        <v>375</v>
      </c>
      <c r="U84" s="502" t="s">
        <v>375</v>
      </c>
      <c r="V84" s="502" t="s">
        <v>375</v>
      </c>
      <c r="W84" s="502" t="s">
        <v>375</v>
      </c>
      <c r="X84" s="502" t="s">
        <v>374</v>
      </c>
      <c r="Y84" s="502"/>
      <c r="Z84" s="502" t="s">
        <v>375</v>
      </c>
      <c r="AA84" s="502" t="s">
        <v>375</v>
      </c>
      <c r="AB84" s="502" t="s">
        <v>375</v>
      </c>
      <c r="AC84" s="502" t="s">
        <v>380</v>
      </c>
      <c r="AD84" s="502" t="s">
        <v>375</v>
      </c>
      <c r="AE84" s="502" t="s">
        <v>374</v>
      </c>
      <c r="AF84" s="502" t="s">
        <v>378</v>
      </c>
      <c r="AG84" s="502" t="s">
        <v>380</v>
      </c>
      <c r="AH84" s="502" t="s">
        <v>373</v>
      </c>
      <c r="AI84" s="502" t="s">
        <v>377</v>
      </c>
      <c r="AJ84" s="502" t="s">
        <v>384</v>
      </c>
      <c r="AK84" s="502" t="s">
        <v>372</v>
      </c>
      <c r="AL84" s="494"/>
      <c r="AM84" s="161"/>
      <c r="AN84" s="162"/>
      <c r="AO84" s="1"/>
      <c r="AP84" s="1"/>
      <c r="AQ84" s="1"/>
      <c r="AT84" s="2"/>
      <c r="AV84" s="2"/>
    </row>
    <row r="85" spans="1:48" ht="25.35" customHeight="1">
      <c r="A85" s="563" t="s">
        <v>187</v>
      </c>
      <c r="B85" s="563"/>
      <c r="C85" s="48" t="s">
        <v>55</v>
      </c>
      <c r="D85" s="95">
        <v>1</v>
      </c>
      <c r="E85" s="136" t="s">
        <v>182</v>
      </c>
      <c r="F85" s="101"/>
      <c r="G85" s="451" t="s">
        <v>51</v>
      </c>
      <c r="H85" s="451" t="s">
        <v>51</v>
      </c>
      <c r="I85" s="451" t="s">
        <v>51</v>
      </c>
      <c r="J85" s="451">
        <v>2</v>
      </c>
      <c r="K85" s="451">
        <v>2</v>
      </c>
      <c r="L85" s="451" t="s">
        <v>145</v>
      </c>
      <c r="M85" s="451">
        <v>3</v>
      </c>
      <c r="N85" s="451">
        <v>3</v>
      </c>
      <c r="O85" s="451">
        <v>3</v>
      </c>
      <c r="P85" s="451">
        <v>3</v>
      </c>
      <c r="Q85" s="451">
        <v>3</v>
      </c>
      <c r="R85" s="451">
        <v>3</v>
      </c>
      <c r="S85" s="451" t="s">
        <v>145</v>
      </c>
      <c r="T85" s="451">
        <v>2</v>
      </c>
      <c r="U85" s="451">
        <v>2</v>
      </c>
      <c r="V85" s="451" t="s">
        <v>51</v>
      </c>
      <c r="W85" s="451" t="s">
        <v>51</v>
      </c>
      <c r="X85" s="451" t="s">
        <v>51</v>
      </c>
      <c r="Y85" s="451" t="s">
        <v>145</v>
      </c>
      <c r="Z85" s="451" t="s">
        <v>51</v>
      </c>
      <c r="AA85" s="451">
        <v>1</v>
      </c>
      <c r="AB85" s="451">
        <v>1</v>
      </c>
      <c r="AC85" s="451">
        <v>1</v>
      </c>
      <c r="AD85" s="451">
        <v>1</v>
      </c>
      <c r="AE85" s="451">
        <v>1</v>
      </c>
      <c r="AF85" s="451" t="s">
        <v>145</v>
      </c>
      <c r="AG85" s="451">
        <v>3</v>
      </c>
      <c r="AH85" s="451">
        <v>3</v>
      </c>
      <c r="AI85" s="451">
        <v>3</v>
      </c>
      <c r="AJ85" s="451">
        <v>3</v>
      </c>
      <c r="AK85" s="451">
        <v>3</v>
      </c>
      <c r="AL85" s="469"/>
      <c r="AM85" s="94">
        <f t="shared" ref="AM85:AM105" si="7">IF((COUNTIF(G85:AK85, "x")+COUNTIF(G85:AK85, "1")+COUNTIF(G85:AK85, "2")+COUNTIF(G85:AK85, "3")+COUNTIF(G85:AK85, "L")+COUNTIF(G85:AK85, "VL")+COUNTIF(G85:AK85, "SL")+COUNTIF(G85:AK85, "EL"))=0, "", (COUNTIF(G85:AK85, "1")+COUNTIF(G85:AK85, "2")+COUNTIF(G85:AK85, "3")+COUNTIF(G85:AK85, "L")+COUNTIF(G85:AK85, "VL")+COUNTIF(G85:AK85, "SL")+COUNTIF(G85:AK85, "EL"))/(COUNTIF(G85:AK85, "x")+COUNTIF(G85:AK85, "1")+COUNTIF(G85:AK85, "2")+COUNTIF(G85:AK85, "3")+COUNTIF(G85:AK85, "L")+COUNTIF(G85:AK85, "VL")+COUNTIF(G85:AK85, "SL")+COUNTIF(G85:AK85, "EL")))</f>
        <v>1</v>
      </c>
      <c r="AN85" s="564">
        <f>AVERAGE(AM85:AM106)</f>
        <v>0.98209198209198201</v>
      </c>
      <c r="AO85" s="1"/>
      <c r="AP85" s="1"/>
      <c r="AQ85" s="1"/>
      <c r="AT85" s="2"/>
      <c r="AV85" s="2"/>
    </row>
    <row r="86" spans="1:48" ht="25.35" customHeight="1">
      <c r="A86" s="563"/>
      <c r="B86" s="563"/>
      <c r="C86" s="48" t="s">
        <v>55</v>
      </c>
      <c r="D86" s="504">
        <f>D85+1</f>
        <v>2</v>
      </c>
      <c r="E86" s="183" t="s">
        <v>188</v>
      </c>
      <c r="F86" s="97"/>
      <c r="G86" s="451" t="s">
        <v>162</v>
      </c>
      <c r="H86" s="451" t="s">
        <v>162</v>
      </c>
      <c r="I86" s="451" t="s">
        <v>162</v>
      </c>
      <c r="J86" s="451">
        <v>1</v>
      </c>
      <c r="K86" s="451" t="s">
        <v>145</v>
      </c>
      <c r="L86" s="451">
        <v>1</v>
      </c>
      <c r="M86" s="451">
        <v>1</v>
      </c>
      <c r="N86" s="451">
        <v>1</v>
      </c>
      <c r="O86" s="451">
        <v>3</v>
      </c>
      <c r="P86" s="451">
        <v>3</v>
      </c>
      <c r="Q86" s="451">
        <v>3</v>
      </c>
      <c r="R86" s="451">
        <v>3</v>
      </c>
      <c r="S86" s="451" t="s">
        <v>145</v>
      </c>
      <c r="T86" s="451">
        <v>2</v>
      </c>
      <c r="U86" s="451">
        <v>2</v>
      </c>
      <c r="V86" s="451">
        <v>2</v>
      </c>
      <c r="W86" s="451">
        <v>2</v>
      </c>
      <c r="X86" s="451" t="s">
        <v>162</v>
      </c>
      <c r="Y86" s="451" t="s">
        <v>145</v>
      </c>
      <c r="Z86" s="451" t="s">
        <v>162</v>
      </c>
      <c r="AA86" s="451" t="s">
        <v>162</v>
      </c>
      <c r="AB86" s="451" t="s">
        <v>162</v>
      </c>
      <c r="AC86" s="451">
        <v>1</v>
      </c>
      <c r="AD86" s="451">
        <v>1</v>
      </c>
      <c r="AE86" s="451">
        <v>1</v>
      </c>
      <c r="AF86" s="451" t="s">
        <v>145</v>
      </c>
      <c r="AG86" s="451">
        <v>3</v>
      </c>
      <c r="AH86" s="451">
        <v>3</v>
      </c>
      <c r="AI86" s="451">
        <v>3</v>
      </c>
      <c r="AJ86" s="451">
        <v>3</v>
      </c>
      <c r="AK86" s="451">
        <v>3</v>
      </c>
      <c r="AL86" s="52"/>
      <c r="AM86" s="94">
        <f t="shared" si="7"/>
        <v>1</v>
      </c>
      <c r="AN86" s="564"/>
      <c r="AO86" s="1"/>
      <c r="AP86" s="1"/>
      <c r="AQ86" s="1"/>
      <c r="AT86" s="2"/>
      <c r="AV86" s="2"/>
    </row>
    <row r="87" spans="1:48" ht="25.35" customHeight="1">
      <c r="A87" s="563"/>
      <c r="B87" s="563"/>
      <c r="C87" s="48" t="s">
        <v>55</v>
      </c>
      <c r="D87" s="504">
        <f>D86+1</f>
        <v>3</v>
      </c>
      <c r="E87" s="186" t="s">
        <v>364</v>
      </c>
      <c r="F87" s="97"/>
      <c r="G87" s="451" t="s">
        <v>162</v>
      </c>
      <c r="H87" s="451" t="s">
        <v>162</v>
      </c>
      <c r="I87" s="451" t="s">
        <v>162</v>
      </c>
      <c r="J87" s="451">
        <v>3</v>
      </c>
      <c r="K87" s="451">
        <v>3</v>
      </c>
      <c r="L87" s="451" t="s">
        <v>145</v>
      </c>
      <c r="M87" s="451">
        <v>3</v>
      </c>
      <c r="N87" s="451">
        <v>3</v>
      </c>
      <c r="O87" s="451">
        <v>3</v>
      </c>
      <c r="P87" s="451">
        <v>3</v>
      </c>
      <c r="Q87" s="451">
        <v>3</v>
      </c>
      <c r="R87" s="451">
        <v>3</v>
      </c>
      <c r="S87" s="451" t="s">
        <v>145</v>
      </c>
      <c r="T87" s="451">
        <v>2</v>
      </c>
      <c r="U87" s="451">
        <v>2</v>
      </c>
      <c r="V87" s="451">
        <v>2</v>
      </c>
      <c r="W87" s="451">
        <v>2</v>
      </c>
      <c r="X87" s="451">
        <v>2</v>
      </c>
      <c r="Y87" s="451" t="s">
        <v>145</v>
      </c>
      <c r="Z87" s="451" t="s">
        <v>190</v>
      </c>
      <c r="AA87" s="451">
        <v>1</v>
      </c>
      <c r="AB87" s="451">
        <v>1</v>
      </c>
      <c r="AC87" s="451">
        <v>1</v>
      </c>
      <c r="AD87" s="451">
        <v>1</v>
      </c>
      <c r="AE87" s="451">
        <v>1</v>
      </c>
      <c r="AF87" s="451" t="s">
        <v>145</v>
      </c>
      <c r="AG87" s="451" t="s">
        <v>190</v>
      </c>
      <c r="AH87" s="451">
        <v>3</v>
      </c>
      <c r="AI87" s="451">
        <v>3</v>
      </c>
      <c r="AJ87" s="451">
        <v>3</v>
      </c>
      <c r="AK87" s="451">
        <v>3</v>
      </c>
      <c r="AL87" s="52"/>
      <c r="AM87" s="94">
        <f t="shared" si="7"/>
        <v>1</v>
      </c>
      <c r="AN87" s="564"/>
      <c r="AO87" s="1"/>
      <c r="AP87" s="1"/>
      <c r="AQ87" s="1"/>
      <c r="AT87" s="2"/>
      <c r="AV87" s="2"/>
    </row>
    <row r="88" spans="1:48" ht="25.35" customHeight="1">
      <c r="A88" s="563"/>
      <c r="B88" s="563"/>
      <c r="C88" s="48" t="s">
        <v>55</v>
      </c>
      <c r="D88" s="504">
        <f>D87+1</f>
        <v>4</v>
      </c>
      <c r="E88" s="186" t="s">
        <v>367</v>
      </c>
      <c r="F88" s="97"/>
      <c r="G88" s="451">
        <v>1</v>
      </c>
      <c r="H88" s="451">
        <v>1</v>
      </c>
      <c r="I88" s="451">
        <v>1</v>
      </c>
      <c r="J88" s="451">
        <v>1</v>
      </c>
      <c r="K88" s="451">
        <v>1</v>
      </c>
      <c r="L88" s="451" t="s">
        <v>145</v>
      </c>
      <c r="M88" s="451">
        <v>3</v>
      </c>
      <c r="N88" s="451">
        <v>3</v>
      </c>
      <c r="O88" s="451">
        <v>3</v>
      </c>
      <c r="P88" s="451">
        <v>3</v>
      </c>
      <c r="Q88" s="451">
        <v>3</v>
      </c>
      <c r="R88" s="451">
        <v>3</v>
      </c>
      <c r="S88" s="451" t="s">
        <v>145</v>
      </c>
      <c r="T88" s="451">
        <v>2</v>
      </c>
      <c r="U88" s="451">
        <v>2</v>
      </c>
      <c r="V88" s="451">
        <v>2</v>
      </c>
      <c r="W88" s="451">
        <v>2</v>
      </c>
      <c r="X88" s="451">
        <v>2</v>
      </c>
      <c r="Y88" s="451" t="s">
        <v>145</v>
      </c>
      <c r="Z88" s="451">
        <v>1</v>
      </c>
      <c r="AA88" s="451">
        <v>1</v>
      </c>
      <c r="AB88" s="451">
        <v>1</v>
      </c>
      <c r="AC88" s="451">
        <v>1</v>
      </c>
      <c r="AD88" s="451">
        <v>1</v>
      </c>
      <c r="AE88" s="451">
        <v>1</v>
      </c>
      <c r="AF88" s="451" t="s">
        <v>145</v>
      </c>
      <c r="AG88" s="451">
        <v>3</v>
      </c>
      <c r="AH88" s="451">
        <v>3</v>
      </c>
      <c r="AI88" s="451">
        <v>3</v>
      </c>
      <c r="AJ88" s="451">
        <v>3</v>
      </c>
      <c r="AK88" s="451">
        <v>3</v>
      </c>
      <c r="AL88" s="52"/>
      <c r="AM88" s="94">
        <f t="shared" si="7"/>
        <v>1</v>
      </c>
      <c r="AN88" s="564"/>
      <c r="AO88" s="1"/>
      <c r="AP88" s="1"/>
      <c r="AQ88" s="1"/>
      <c r="AT88" s="2"/>
      <c r="AV88" s="2"/>
    </row>
    <row r="89" spans="1:48" ht="25.35" customHeight="1">
      <c r="A89" s="563"/>
      <c r="B89" s="563"/>
      <c r="C89" s="48" t="s">
        <v>60</v>
      </c>
      <c r="D89" s="504">
        <f t="shared" ref="D89:D106" si="8">D88+1</f>
        <v>5</v>
      </c>
      <c r="E89" s="186" t="s">
        <v>27</v>
      </c>
      <c r="F89" s="102"/>
      <c r="G89" s="451">
        <v>1</v>
      </c>
      <c r="H89" s="451">
        <v>1</v>
      </c>
      <c r="I89" s="451">
        <v>1</v>
      </c>
      <c r="J89" s="451">
        <v>1</v>
      </c>
      <c r="K89" s="451" t="s">
        <v>51</v>
      </c>
      <c r="L89" s="451" t="s">
        <v>145</v>
      </c>
      <c r="M89" s="451" t="s">
        <v>51</v>
      </c>
      <c r="N89" s="451">
        <v>3</v>
      </c>
      <c r="O89" s="451">
        <v>3</v>
      </c>
      <c r="P89" s="451">
        <v>3</v>
      </c>
      <c r="Q89" s="451">
        <v>3</v>
      </c>
      <c r="R89" s="451">
        <v>3</v>
      </c>
      <c r="S89" s="451" t="s">
        <v>145</v>
      </c>
      <c r="T89" s="451">
        <v>2</v>
      </c>
      <c r="U89" s="451">
        <v>2</v>
      </c>
      <c r="V89" s="451">
        <v>2</v>
      </c>
      <c r="W89" s="451">
        <v>2</v>
      </c>
      <c r="X89" s="451">
        <v>2</v>
      </c>
      <c r="Y89" s="451" t="s">
        <v>145</v>
      </c>
      <c r="Z89" s="451">
        <v>1</v>
      </c>
      <c r="AA89" s="451">
        <v>1</v>
      </c>
      <c r="AB89" s="451">
        <v>1</v>
      </c>
      <c r="AC89" s="451">
        <v>1</v>
      </c>
      <c r="AD89" s="451">
        <v>1</v>
      </c>
      <c r="AE89" s="451" t="s">
        <v>190</v>
      </c>
      <c r="AF89" s="451" t="s">
        <v>145</v>
      </c>
      <c r="AG89" s="451">
        <v>3</v>
      </c>
      <c r="AH89" s="451">
        <v>3</v>
      </c>
      <c r="AI89" s="451">
        <v>3</v>
      </c>
      <c r="AJ89" s="451">
        <v>3</v>
      </c>
      <c r="AK89" s="451">
        <v>3</v>
      </c>
      <c r="AL89" s="52"/>
      <c r="AM89" s="94">
        <f t="shared" si="7"/>
        <v>1</v>
      </c>
      <c r="AN89" s="564"/>
      <c r="AO89" s="1"/>
      <c r="AP89" s="1"/>
      <c r="AQ89" s="1"/>
      <c r="AT89" s="2"/>
      <c r="AV89" s="2"/>
    </row>
    <row r="90" spans="1:48" ht="25.35" customHeight="1">
      <c r="A90" s="563"/>
      <c r="B90" s="563"/>
      <c r="C90" s="48" t="s">
        <v>60</v>
      </c>
      <c r="D90" s="504">
        <f t="shared" si="8"/>
        <v>6</v>
      </c>
      <c r="E90" s="186" t="s">
        <v>175</v>
      </c>
      <c r="F90" s="102"/>
      <c r="G90" s="451">
        <v>1</v>
      </c>
      <c r="H90" s="451">
        <v>1</v>
      </c>
      <c r="I90" s="451" t="s">
        <v>179</v>
      </c>
      <c r="J90" s="451" t="s">
        <v>179</v>
      </c>
      <c r="K90" s="451" t="s">
        <v>191</v>
      </c>
      <c r="L90" s="451" t="s">
        <v>145</v>
      </c>
      <c r="M90" s="451">
        <v>3</v>
      </c>
      <c r="N90" s="451">
        <v>3</v>
      </c>
      <c r="O90" s="451">
        <v>3</v>
      </c>
      <c r="P90" s="451" t="s">
        <v>179</v>
      </c>
      <c r="Q90" s="451" t="s">
        <v>51</v>
      </c>
      <c r="R90" s="451" t="s">
        <v>51</v>
      </c>
      <c r="S90" s="451" t="s">
        <v>145</v>
      </c>
      <c r="T90" s="451" t="s">
        <v>51</v>
      </c>
      <c r="U90" s="451" t="s">
        <v>51</v>
      </c>
      <c r="V90" s="451">
        <v>2</v>
      </c>
      <c r="W90" s="451">
        <v>2</v>
      </c>
      <c r="X90" s="451" t="s">
        <v>193</v>
      </c>
      <c r="Y90" s="451" t="s">
        <v>145</v>
      </c>
      <c r="Z90" s="451">
        <v>1</v>
      </c>
      <c r="AA90" s="451">
        <v>1</v>
      </c>
      <c r="AB90" s="451">
        <v>1</v>
      </c>
      <c r="AC90" s="451">
        <v>1</v>
      </c>
      <c r="AD90" s="451">
        <v>1</v>
      </c>
      <c r="AE90" s="451">
        <v>1</v>
      </c>
      <c r="AF90" s="451" t="s">
        <v>145</v>
      </c>
      <c r="AG90" s="451">
        <v>3</v>
      </c>
      <c r="AH90" s="451">
        <v>3</v>
      </c>
      <c r="AI90" s="451">
        <v>3</v>
      </c>
      <c r="AJ90" s="451">
        <v>3</v>
      </c>
      <c r="AK90" s="451" t="s">
        <v>52</v>
      </c>
      <c r="AL90" s="52"/>
      <c r="AM90" s="94">
        <f t="shared" si="7"/>
        <v>0.92592592592592593</v>
      </c>
      <c r="AN90" s="564"/>
      <c r="AO90" s="1"/>
      <c r="AP90" s="1"/>
      <c r="AQ90" s="1"/>
      <c r="AT90" s="2"/>
      <c r="AV90" s="2"/>
    </row>
    <row r="91" spans="1:48" ht="25.35" customHeight="1">
      <c r="A91" s="563"/>
      <c r="B91" s="563"/>
      <c r="C91" s="48" t="s">
        <v>60</v>
      </c>
      <c r="D91" s="504">
        <f t="shared" si="8"/>
        <v>7</v>
      </c>
      <c r="E91" s="186" t="s">
        <v>125</v>
      </c>
      <c r="F91" s="103"/>
      <c r="G91" s="451">
        <v>1</v>
      </c>
      <c r="H91" s="451">
        <v>1</v>
      </c>
      <c r="I91" s="451">
        <v>1</v>
      </c>
      <c r="J91" s="451">
        <v>1</v>
      </c>
      <c r="K91" s="451" t="s">
        <v>193</v>
      </c>
      <c r="L91" s="451" t="s">
        <v>145</v>
      </c>
      <c r="M91" s="451">
        <v>3</v>
      </c>
      <c r="N91" s="451">
        <v>3</v>
      </c>
      <c r="O91" s="451" t="s">
        <v>179</v>
      </c>
      <c r="P91" s="451">
        <v>3</v>
      </c>
      <c r="Q91" s="451">
        <v>3</v>
      </c>
      <c r="R91" s="451" t="s">
        <v>179</v>
      </c>
      <c r="S91" s="451" t="s">
        <v>145</v>
      </c>
      <c r="T91" s="451">
        <v>2</v>
      </c>
      <c r="U91" s="451">
        <v>2</v>
      </c>
      <c r="V91" s="451">
        <v>2</v>
      </c>
      <c r="W91" s="451">
        <v>2</v>
      </c>
      <c r="X91" s="451">
        <v>2</v>
      </c>
      <c r="Y91" s="451" t="s">
        <v>145</v>
      </c>
      <c r="Z91" s="451" t="s">
        <v>179</v>
      </c>
      <c r="AA91" s="451" t="s">
        <v>179</v>
      </c>
      <c r="AB91" s="451" t="s">
        <v>179</v>
      </c>
      <c r="AC91" s="451">
        <v>1</v>
      </c>
      <c r="AD91" s="451">
        <v>1</v>
      </c>
      <c r="AE91" s="451">
        <v>1</v>
      </c>
      <c r="AF91" s="451" t="s">
        <v>145</v>
      </c>
      <c r="AG91" s="451">
        <v>3</v>
      </c>
      <c r="AH91" s="451">
        <v>3</v>
      </c>
      <c r="AI91" s="451">
        <v>3</v>
      </c>
      <c r="AJ91" s="451">
        <v>3</v>
      </c>
      <c r="AK91" s="451">
        <v>3</v>
      </c>
      <c r="AL91" s="52"/>
      <c r="AM91" s="94">
        <f t="shared" si="7"/>
        <v>0.96296296296296291</v>
      </c>
      <c r="AN91" s="564"/>
      <c r="AO91" s="1"/>
      <c r="AP91" s="1"/>
      <c r="AQ91" s="1"/>
      <c r="AT91" s="2"/>
      <c r="AV91" s="2"/>
    </row>
    <row r="92" spans="1:48" ht="25.35" customHeight="1">
      <c r="A92" s="563"/>
      <c r="B92" s="563"/>
      <c r="C92" s="48" t="s">
        <v>60</v>
      </c>
      <c r="D92" s="504">
        <f t="shared" si="8"/>
        <v>8</v>
      </c>
      <c r="E92" s="186" t="s">
        <v>181</v>
      </c>
      <c r="F92" s="103"/>
      <c r="G92" s="451">
        <v>1</v>
      </c>
      <c r="H92" s="451">
        <v>1</v>
      </c>
      <c r="I92" s="451">
        <v>1</v>
      </c>
      <c r="J92" s="451">
        <v>1</v>
      </c>
      <c r="K92" s="451">
        <v>1</v>
      </c>
      <c r="L92" s="451" t="s">
        <v>145</v>
      </c>
      <c r="M92" s="451">
        <v>3</v>
      </c>
      <c r="N92" s="451">
        <v>3</v>
      </c>
      <c r="O92" s="451">
        <v>3</v>
      </c>
      <c r="P92" s="451">
        <v>3</v>
      </c>
      <c r="Q92" s="451">
        <v>3</v>
      </c>
      <c r="R92" s="451" t="s">
        <v>190</v>
      </c>
      <c r="S92" s="451" t="s">
        <v>145</v>
      </c>
      <c r="T92" s="451">
        <v>2</v>
      </c>
      <c r="U92" s="451">
        <v>2</v>
      </c>
      <c r="V92" s="451">
        <v>2</v>
      </c>
      <c r="W92" s="451">
        <v>2</v>
      </c>
      <c r="X92" s="451">
        <v>2</v>
      </c>
      <c r="Y92" s="451" t="s">
        <v>145</v>
      </c>
      <c r="Z92" s="451">
        <v>1</v>
      </c>
      <c r="AA92" s="451">
        <v>1</v>
      </c>
      <c r="AB92" s="451">
        <v>1</v>
      </c>
      <c r="AC92" s="451" t="s">
        <v>190</v>
      </c>
      <c r="AD92" s="451">
        <v>1</v>
      </c>
      <c r="AE92" s="451">
        <v>1</v>
      </c>
      <c r="AF92" s="451" t="s">
        <v>145</v>
      </c>
      <c r="AG92" s="451">
        <v>3</v>
      </c>
      <c r="AH92" s="451">
        <v>3</v>
      </c>
      <c r="AI92" s="451">
        <v>3</v>
      </c>
      <c r="AJ92" s="451">
        <v>3</v>
      </c>
      <c r="AK92" s="451">
        <v>3</v>
      </c>
      <c r="AL92" s="52"/>
      <c r="AM92" s="94">
        <f t="shared" si="7"/>
        <v>1</v>
      </c>
      <c r="AN92" s="564"/>
      <c r="AO92" s="1"/>
      <c r="AP92" s="1"/>
      <c r="AQ92" s="1"/>
      <c r="AT92" s="2"/>
      <c r="AV92" s="2"/>
    </row>
    <row r="93" spans="1:48" ht="25.35" customHeight="1">
      <c r="A93" s="563"/>
      <c r="B93" s="563"/>
      <c r="C93" s="48" t="s">
        <v>60</v>
      </c>
      <c r="D93" s="504">
        <f t="shared" si="8"/>
        <v>9</v>
      </c>
      <c r="E93" s="186" t="s">
        <v>161</v>
      </c>
      <c r="F93" s="111"/>
      <c r="G93" s="451">
        <v>1</v>
      </c>
      <c r="H93" s="451">
        <v>1</v>
      </c>
      <c r="I93" s="451">
        <v>1</v>
      </c>
      <c r="J93" s="451">
        <v>1</v>
      </c>
      <c r="K93" s="451" t="s">
        <v>193</v>
      </c>
      <c r="L93" s="451" t="s">
        <v>145</v>
      </c>
      <c r="M93" s="451">
        <v>3</v>
      </c>
      <c r="N93" s="451">
        <v>3</v>
      </c>
      <c r="O93" s="451" t="s">
        <v>190</v>
      </c>
      <c r="P93" s="451" t="s">
        <v>190</v>
      </c>
      <c r="Q93" s="451">
        <v>3</v>
      </c>
      <c r="R93" s="451">
        <v>3</v>
      </c>
      <c r="S93" s="451" t="s">
        <v>145</v>
      </c>
      <c r="T93" s="451">
        <v>2</v>
      </c>
      <c r="U93" s="451">
        <v>2</v>
      </c>
      <c r="V93" s="451">
        <v>2</v>
      </c>
      <c r="W93" s="451">
        <v>2</v>
      </c>
      <c r="X93" s="451">
        <v>2</v>
      </c>
      <c r="Y93" s="451" t="s">
        <v>145</v>
      </c>
      <c r="Z93" s="451">
        <v>1</v>
      </c>
      <c r="AA93" s="451">
        <v>1</v>
      </c>
      <c r="AB93" s="451">
        <v>1</v>
      </c>
      <c r="AC93" s="451">
        <v>1</v>
      </c>
      <c r="AD93" s="451" t="s">
        <v>179</v>
      </c>
      <c r="AE93" s="451" t="s">
        <v>190</v>
      </c>
      <c r="AF93" s="451" t="s">
        <v>145</v>
      </c>
      <c r="AG93" s="451" t="s">
        <v>193</v>
      </c>
      <c r="AH93" s="451">
        <v>3</v>
      </c>
      <c r="AI93" s="451">
        <v>3</v>
      </c>
      <c r="AJ93" s="451">
        <v>3</v>
      </c>
      <c r="AK93" s="451">
        <v>3</v>
      </c>
      <c r="AL93" s="52"/>
      <c r="AM93" s="94">
        <f t="shared" si="7"/>
        <v>0.92592592592592593</v>
      </c>
      <c r="AN93" s="564"/>
      <c r="AO93" s="1"/>
      <c r="AP93" s="1"/>
      <c r="AQ93" s="1"/>
      <c r="AT93" s="2"/>
      <c r="AV93" s="2"/>
    </row>
    <row r="94" spans="1:48" ht="25.35" customHeight="1">
      <c r="A94" s="563"/>
      <c r="B94" s="563"/>
      <c r="C94" s="48" t="s">
        <v>55</v>
      </c>
      <c r="D94" s="504">
        <f t="shared" si="8"/>
        <v>10</v>
      </c>
      <c r="E94" s="183" t="s">
        <v>227</v>
      </c>
      <c r="F94" s="102"/>
      <c r="G94" s="451" t="s">
        <v>162</v>
      </c>
      <c r="H94" s="451" t="s">
        <v>162</v>
      </c>
      <c r="I94" s="451" t="s">
        <v>162</v>
      </c>
      <c r="J94" s="451" t="s">
        <v>162</v>
      </c>
      <c r="K94" s="451" t="s">
        <v>162</v>
      </c>
      <c r="L94" s="451" t="s">
        <v>145</v>
      </c>
      <c r="M94" s="451">
        <v>3</v>
      </c>
      <c r="N94" s="451">
        <v>3</v>
      </c>
      <c r="O94" s="451">
        <v>3</v>
      </c>
      <c r="P94" s="451">
        <v>3</v>
      </c>
      <c r="Q94" s="451">
        <v>3</v>
      </c>
      <c r="R94" s="451">
        <v>3</v>
      </c>
      <c r="S94" s="451" t="s">
        <v>145</v>
      </c>
      <c r="T94" s="451" t="s">
        <v>179</v>
      </c>
      <c r="U94" s="451" t="s">
        <v>51</v>
      </c>
      <c r="V94" s="451" t="s">
        <v>51</v>
      </c>
      <c r="W94" s="451" t="s">
        <v>51</v>
      </c>
      <c r="X94" s="451" t="s">
        <v>51</v>
      </c>
      <c r="Y94" s="451" t="s">
        <v>145</v>
      </c>
      <c r="Z94" s="451" t="s">
        <v>51</v>
      </c>
      <c r="AA94" s="451" t="s">
        <v>51</v>
      </c>
      <c r="AB94" s="451">
        <v>1</v>
      </c>
      <c r="AC94" s="451">
        <v>1</v>
      </c>
      <c r="AD94" s="451">
        <v>1</v>
      </c>
      <c r="AE94" s="451">
        <v>1</v>
      </c>
      <c r="AF94" s="451" t="s">
        <v>145</v>
      </c>
      <c r="AG94" s="451" t="s">
        <v>179</v>
      </c>
      <c r="AH94" s="451" t="s">
        <v>179</v>
      </c>
      <c r="AI94" s="451" t="s">
        <v>51</v>
      </c>
      <c r="AJ94" s="451">
        <v>3</v>
      </c>
      <c r="AK94" s="451">
        <v>3</v>
      </c>
      <c r="AL94" s="52"/>
      <c r="AM94" s="94">
        <f t="shared" si="7"/>
        <v>1</v>
      </c>
      <c r="AN94" s="564"/>
      <c r="AO94" s="1"/>
      <c r="AP94" s="1"/>
      <c r="AQ94" s="1"/>
      <c r="AT94" s="2"/>
      <c r="AV94" s="2"/>
    </row>
    <row r="95" spans="1:48" ht="25.35" customHeight="1">
      <c r="A95" s="563"/>
      <c r="B95" s="563"/>
      <c r="C95" s="48" t="s">
        <v>55</v>
      </c>
      <c r="D95" s="504">
        <f t="shared" si="8"/>
        <v>11</v>
      </c>
      <c r="E95" s="183" t="s">
        <v>360</v>
      </c>
      <c r="F95" s="101"/>
      <c r="G95" s="451">
        <v>1</v>
      </c>
      <c r="H95" s="451" t="s">
        <v>193</v>
      </c>
      <c r="I95" s="524">
        <v>1</v>
      </c>
      <c r="J95" s="451">
        <v>1</v>
      </c>
      <c r="K95" s="451" t="s">
        <v>193</v>
      </c>
      <c r="L95" s="451" t="s">
        <v>145</v>
      </c>
      <c r="M95" s="451">
        <v>3</v>
      </c>
      <c r="N95" s="451">
        <v>3</v>
      </c>
      <c r="O95" s="451">
        <v>3</v>
      </c>
      <c r="P95" s="451">
        <v>3</v>
      </c>
      <c r="Q95" s="451">
        <v>3</v>
      </c>
      <c r="R95" s="451">
        <v>3</v>
      </c>
      <c r="S95" s="451" t="s">
        <v>145</v>
      </c>
      <c r="T95" s="451">
        <v>2</v>
      </c>
      <c r="U95" s="451">
        <v>2</v>
      </c>
      <c r="V95" s="451">
        <v>2</v>
      </c>
      <c r="W95" s="451">
        <v>2</v>
      </c>
      <c r="X95" s="451" t="s">
        <v>145</v>
      </c>
      <c r="Y95" s="451">
        <v>1</v>
      </c>
      <c r="Z95" s="451">
        <v>1</v>
      </c>
      <c r="AA95" s="451">
        <v>1</v>
      </c>
      <c r="AB95" s="451">
        <v>1</v>
      </c>
      <c r="AC95" s="451">
        <v>1</v>
      </c>
      <c r="AD95" s="451">
        <v>1</v>
      </c>
      <c r="AE95" s="528">
        <v>1</v>
      </c>
      <c r="AF95" s="451" t="s">
        <v>145</v>
      </c>
      <c r="AG95" s="451" t="s">
        <v>162</v>
      </c>
      <c r="AH95" s="451">
        <v>3</v>
      </c>
      <c r="AI95" s="451">
        <v>3</v>
      </c>
      <c r="AJ95" s="451">
        <v>3</v>
      </c>
      <c r="AK95" s="451">
        <v>3</v>
      </c>
      <c r="AL95" s="52"/>
      <c r="AM95" s="94">
        <f t="shared" si="7"/>
        <v>0.92307692307692313</v>
      </c>
      <c r="AN95" s="564"/>
      <c r="AO95" s="1"/>
      <c r="AP95" s="1"/>
      <c r="AQ95" s="1"/>
      <c r="AT95" s="2"/>
      <c r="AV95" s="2"/>
    </row>
    <row r="96" spans="1:48" ht="25.35" customHeight="1">
      <c r="A96" s="563"/>
      <c r="B96" s="563"/>
      <c r="C96" s="48" t="s">
        <v>60</v>
      </c>
      <c r="D96" s="504">
        <f t="shared" si="8"/>
        <v>12</v>
      </c>
      <c r="E96" s="186" t="s">
        <v>154</v>
      </c>
      <c r="F96" s="97"/>
      <c r="G96" s="451" t="s">
        <v>51</v>
      </c>
      <c r="H96" s="451" t="s">
        <v>51</v>
      </c>
      <c r="I96" s="451" t="s">
        <v>179</v>
      </c>
      <c r="J96" s="451" t="s">
        <v>179</v>
      </c>
      <c r="K96" s="451" t="s">
        <v>191</v>
      </c>
      <c r="L96" s="451" t="s">
        <v>145</v>
      </c>
      <c r="M96" s="451">
        <v>3</v>
      </c>
      <c r="N96" s="451">
        <v>3</v>
      </c>
      <c r="O96" s="451">
        <v>3</v>
      </c>
      <c r="P96" s="451">
        <v>3</v>
      </c>
      <c r="Q96" s="451">
        <v>3</v>
      </c>
      <c r="R96" s="451">
        <v>3</v>
      </c>
      <c r="S96" s="451" t="s">
        <v>145</v>
      </c>
      <c r="T96" s="451" t="s">
        <v>179</v>
      </c>
      <c r="U96" s="451" t="s">
        <v>179</v>
      </c>
      <c r="V96" s="451" t="s">
        <v>179</v>
      </c>
      <c r="W96" s="451" t="s">
        <v>179</v>
      </c>
      <c r="X96" s="451" t="s">
        <v>179</v>
      </c>
      <c r="Y96" s="451" t="s">
        <v>145</v>
      </c>
      <c r="Z96" s="451" t="s">
        <v>179</v>
      </c>
      <c r="AA96" s="451">
        <v>1</v>
      </c>
      <c r="AB96" s="451">
        <v>1</v>
      </c>
      <c r="AC96" s="451">
        <v>1</v>
      </c>
      <c r="AD96" s="451">
        <v>1</v>
      </c>
      <c r="AE96" s="528">
        <v>1</v>
      </c>
      <c r="AF96" s="451" t="s">
        <v>145</v>
      </c>
      <c r="AG96" s="451">
        <v>3</v>
      </c>
      <c r="AH96" s="451">
        <v>3</v>
      </c>
      <c r="AI96" s="451">
        <v>3</v>
      </c>
      <c r="AJ96" s="451">
        <v>3</v>
      </c>
      <c r="AK96" s="451" t="s">
        <v>52</v>
      </c>
      <c r="AL96" s="478"/>
      <c r="AM96" s="94">
        <f t="shared" si="7"/>
        <v>0.96296296296296291</v>
      </c>
      <c r="AN96" s="564"/>
      <c r="AO96" s="1"/>
      <c r="AP96" s="1"/>
      <c r="AQ96" s="1"/>
      <c r="AT96" s="2"/>
      <c r="AV96" s="2"/>
    </row>
    <row r="97" spans="1:49" ht="25.35" customHeight="1">
      <c r="A97" s="563"/>
      <c r="B97" s="563"/>
      <c r="C97" s="48" t="s">
        <v>60</v>
      </c>
      <c r="D97" s="504">
        <f t="shared" si="8"/>
        <v>13</v>
      </c>
      <c r="E97" s="186" t="s">
        <v>23</v>
      </c>
      <c r="F97" s="102"/>
      <c r="G97" s="451">
        <v>1</v>
      </c>
      <c r="H97" s="451">
        <v>1</v>
      </c>
      <c r="I97" s="451">
        <v>1</v>
      </c>
      <c r="J97" s="451">
        <v>1</v>
      </c>
      <c r="K97" s="451" t="s">
        <v>191</v>
      </c>
      <c r="L97" s="451" t="s">
        <v>145</v>
      </c>
      <c r="M97" s="451" t="s">
        <v>179</v>
      </c>
      <c r="N97" s="451" t="s">
        <v>179</v>
      </c>
      <c r="O97" s="451" t="s">
        <v>190</v>
      </c>
      <c r="P97" s="451" t="s">
        <v>190</v>
      </c>
      <c r="Q97" s="451" t="s">
        <v>190</v>
      </c>
      <c r="R97" s="451">
        <v>3</v>
      </c>
      <c r="S97" s="451" t="s">
        <v>145</v>
      </c>
      <c r="T97" s="451">
        <v>2</v>
      </c>
      <c r="U97" s="451">
        <v>2</v>
      </c>
      <c r="V97" s="451">
        <v>2</v>
      </c>
      <c r="W97" s="451">
        <v>2</v>
      </c>
      <c r="X97" s="451">
        <v>2</v>
      </c>
      <c r="Y97" s="451" t="s">
        <v>145</v>
      </c>
      <c r="Z97" s="451" t="s">
        <v>51</v>
      </c>
      <c r="AA97" s="451" t="s">
        <v>51</v>
      </c>
      <c r="AB97" s="451">
        <v>1</v>
      </c>
      <c r="AC97" s="451">
        <v>1</v>
      </c>
      <c r="AD97" s="451">
        <v>1</v>
      </c>
      <c r="AE97" s="451">
        <v>1</v>
      </c>
      <c r="AF97" s="451" t="s">
        <v>145</v>
      </c>
      <c r="AG97" s="451">
        <v>3</v>
      </c>
      <c r="AH97" s="451">
        <v>3</v>
      </c>
      <c r="AI97" s="451">
        <v>3</v>
      </c>
      <c r="AJ97" s="451">
        <v>3</v>
      </c>
      <c r="AK97" s="451">
        <v>3</v>
      </c>
      <c r="AL97" s="52"/>
      <c r="AM97" s="94">
        <f t="shared" si="7"/>
        <v>1</v>
      </c>
      <c r="AN97" s="564"/>
      <c r="AO97" s="1"/>
      <c r="AP97" s="1"/>
      <c r="AQ97" s="1"/>
      <c r="AT97" s="2"/>
      <c r="AV97" s="2"/>
    </row>
    <row r="98" spans="1:49" ht="25.35" customHeight="1">
      <c r="A98" s="563"/>
      <c r="B98" s="563"/>
      <c r="C98" s="48" t="s">
        <v>60</v>
      </c>
      <c r="D98" s="504">
        <f t="shared" si="8"/>
        <v>14</v>
      </c>
      <c r="E98" s="186" t="s">
        <v>363</v>
      </c>
      <c r="F98" s="102"/>
      <c r="G98" s="451">
        <v>1</v>
      </c>
      <c r="H98" s="451">
        <v>1</v>
      </c>
      <c r="I98" s="451" t="s">
        <v>179</v>
      </c>
      <c r="J98" s="451">
        <v>1</v>
      </c>
      <c r="K98" s="451">
        <v>1</v>
      </c>
      <c r="L98" s="451" t="s">
        <v>145</v>
      </c>
      <c r="M98" s="451">
        <v>3</v>
      </c>
      <c r="N98" s="451">
        <v>3</v>
      </c>
      <c r="O98" s="451">
        <v>3</v>
      </c>
      <c r="P98" s="451">
        <v>3</v>
      </c>
      <c r="Q98" s="451">
        <v>3</v>
      </c>
      <c r="R98" s="451">
        <v>3</v>
      </c>
      <c r="S98" s="451" t="s">
        <v>145</v>
      </c>
      <c r="T98" s="451">
        <v>2</v>
      </c>
      <c r="U98" s="451">
        <v>2</v>
      </c>
      <c r="V98" s="451">
        <v>2</v>
      </c>
      <c r="W98" s="451">
        <v>2</v>
      </c>
      <c r="X98" s="451">
        <v>2</v>
      </c>
      <c r="Y98" s="451" t="s">
        <v>145</v>
      </c>
      <c r="Z98" s="451">
        <v>1</v>
      </c>
      <c r="AA98" s="451">
        <v>1</v>
      </c>
      <c r="AB98" s="451">
        <v>1</v>
      </c>
      <c r="AC98" s="451">
        <v>1</v>
      </c>
      <c r="AD98" s="451">
        <v>1</v>
      </c>
      <c r="AE98" s="451">
        <v>1</v>
      </c>
      <c r="AF98" s="451" t="s">
        <v>145</v>
      </c>
      <c r="AG98" s="451" t="s">
        <v>179</v>
      </c>
      <c r="AH98" s="451">
        <v>3</v>
      </c>
      <c r="AI98" s="451">
        <v>3</v>
      </c>
      <c r="AJ98" s="451">
        <v>3</v>
      </c>
      <c r="AK98" s="451">
        <v>3</v>
      </c>
      <c r="AL98" s="52"/>
      <c r="AM98" s="94">
        <f t="shared" si="7"/>
        <v>1</v>
      </c>
      <c r="AN98" s="564"/>
      <c r="AO98" s="1"/>
      <c r="AP98" s="1"/>
      <c r="AQ98" s="1"/>
      <c r="AT98" s="2"/>
      <c r="AV98" s="2"/>
    </row>
    <row r="99" spans="1:49" ht="25.35" customHeight="1">
      <c r="A99" s="563"/>
      <c r="B99" s="563"/>
      <c r="C99" s="48" t="s">
        <v>55</v>
      </c>
      <c r="D99" s="504">
        <f t="shared" si="8"/>
        <v>15</v>
      </c>
      <c r="E99" s="179" t="s">
        <v>216</v>
      </c>
      <c r="F99" s="101"/>
      <c r="G99" s="451">
        <v>1</v>
      </c>
      <c r="H99" s="451">
        <v>1</v>
      </c>
      <c r="I99" s="451">
        <v>1</v>
      </c>
      <c r="J99" s="451">
        <v>1</v>
      </c>
      <c r="K99" s="451" t="s">
        <v>191</v>
      </c>
      <c r="L99" s="451" t="s">
        <v>145</v>
      </c>
      <c r="M99" s="451">
        <v>3</v>
      </c>
      <c r="N99" s="451">
        <v>3</v>
      </c>
      <c r="O99" s="451">
        <v>3</v>
      </c>
      <c r="P99" s="451">
        <v>3</v>
      </c>
      <c r="Q99" s="451">
        <v>3</v>
      </c>
      <c r="R99" s="451">
        <v>3</v>
      </c>
      <c r="S99" s="451" t="s">
        <v>145</v>
      </c>
      <c r="T99" s="451">
        <v>2</v>
      </c>
      <c r="U99" s="451">
        <v>2</v>
      </c>
      <c r="V99" s="451">
        <v>2</v>
      </c>
      <c r="W99" s="451">
        <v>2</v>
      </c>
      <c r="X99" s="451">
        <v>2</v>
      </c>
      <c r="Y99" s="451" t="s">
        <v>145</v>
      </c>
      <c r="Z99" s="451">
        <v>1</v>
      </c>
      <c r="AA99" s="451">
        <v>1</v>
      </c>
      <c r="AB99" s="451">
        <v>1</v>
      </c>
      <c r="AC99" s="451">
        <v>1</v>
      </c>
      <c r="AD99" s="451">
        <v>1</v>
      </c>
      <c r="AE99" s="451">
        <v>1</v>
      </c>
      <c r="AF99" s="451" t="s">
        <v>145</v>
      </c>
      <c r="AG99" s="451">
        <v>3</v>
      </c>
      <c r="AH99" s="451">
        <v>3</v>
      </c>
      <c r="AI99" s="451">
        <v>3</v>
      </c>
      <c r="AJ99" s="451">
        <v>3</v>
      </c>
      <c r="AK99" s="451">
        <v>3</v>
      </c>
      <c r="AL99" s="52"/>
      <c r="AM99" s="94">
        <f t="shared" si="7"/>
        <v>1</v>
      </c>
      <c r="AN99" s="564"/>
      <c r="AO99" s="1"/>
      <c r="AP99" s="1"/>
      <c r="AQ99" s="1"/>
      <c r="AT99" s="2"/>
      <c r="AV99" s="2"/>
    </row>
    <row r="100" spans="1:49" ht="25.35" customHeight="1">
      <c r="A100" s="563"/>
      <c r="B100" s="563"/>
      <c r="C100" s="48" t="s">
        <v>60</v>
      </c>
      <c r="D100" s="504">
        <f t="shared" si="8"/>
        <v>16</v>
      </c>
      <c r="E100" s="183" t="s">
        <v>3</v>
      </c>
      <c r="F100" s="97"/>
      <c r="G100" s="451">
        <v>1</v>
      </c>
      <c r="H100" s="451">
        <v>1</v>
      </c>
      <c r="I100" s="451">
        <v>1</v>
      </c>
      <c r="J100" s="451">
        <v>1</v>
      </c>
      <c r="K100" s="524">
        <v>1</v>
      </c>
      <c r="L100" s="451" t="s">
        <v>145</v>
      </c>
      <c r="M100" s="451">
        <v>3</v>
      </c>
      <c r="N100" s="451">
        <v>3</v>
      </c>
      <c r="O100" s="451">
        <v>3</v>
      </c>
      <c r="P100" s="451">
        <v>3</v>
      </c>
      <c r="Q100" s="451">
        <v>3</v>
      </c>
      <c r="R100" s="451">
        <v>3</v>
      </c>
      <c r="S100" s="451" t="s">
        <v>145</v>
      </c>
      <c r="T100" s="451">
        <v>2</v>
      </c>
      <c r="U100" s="451">
        <v>2</v>
      </c>
      <c r="V100" s="451">
        <v>2</v>
      </c>
      <c r="W100" s="451">
        <v>2</v>
      </c>
      <c r="X100" s="451">
        <v>2</v>
      </c>
      <c r="Y100" s="451" t="s">
        <v>145</v>
      </c>
      <c r="Z100" s="451" t="s">
        <v>190</v>
      </c>
      <c r="AA100" s="451" t="s">
        <v>190</v>
      </c>
      <c r="AB100" s="451" t="s">
        <v>190</v>
      </c>
      <c r="AC100" s="451" t="s">
        <v>190</v>
      </c>
      <c r="AD100" s="451">
        <v>1</v>
      </c>
      <c r="AE100" s="451">
        <v>1</v>
      </c>
      <c r="AF100" s="451" t="s">
        <v>145</v>
      </c>
      <c r="AG100" s="451">
        <v>3</v>
      </c>
      <c r="AH100" s="451">
        <v>3</v>
      </c>
      <c r="AI100" s="451">
        <v>2</v>
      </c>
      <c r="AJ100" s="451">
        <v>2</v>
      </c>
      <c r="AK100" s="451">
        <v>3</v>
      </c>
      <c r="AL100" s="52"/>
      <c r="AM100" s="94">
        <f t="shared" si="7"/>
        <v>1</v>
      </c>
      <c r="AN100" s="564"/>
      <c r="AO100" s="1"/>
      <c r="AP100" s="1"/>
      <c r="AQ100" s="1"/>
      <c r="AT100" s="2"/>
      <c r="AV100" s="2"/>
    </row>
    <row r="101" spans="1:49" ht="25.35" customHeight="1">
      <c r="A101" s="563"/>
      <c r="B101" s="563"/>
      <c r="C101" s="48" t="s">
        <v>60</v>
      </c>
      <c r="D101" s="504">
        <f t="shared" si="8"/>
        <v>17</v>
      </c>
      <c r="E101" s="183" t="s">
        <v>222</v>
      </c>
      <c r="F101" s="103"/>
      <c r="G101" s="451">
        <v>1</v>
      </c>
      <c r="H101" s="451">
        <v>1</v>
      </c>
      <c r="I101" s="451">
        <v>1</v>
      </c>
      <c r="J101" s="451">
        <v>1</v>
      </c>
      <c r="K101" s="524">
        <v>1</v>
      </c>
      <c r="L101" s="451" t="s">
        <v>145</v>
      </c>
      <c r="M101" s="451">
        <v>3</v>
      </c>
      <c r="N101" s="451">
        <v>3</v>
      </c>
      <c r="O101" s="451">
        <v>3</v>
      </c>
      <c r="P101" s="451">
        <v>3</v>
      </c>
      <c r="Q101" s="451">
        <v>3</v>
      </c>
      <c r="R101" s="451" t="s">
        <v>190</v>
      </c>
      <c r="S101" s="451" t="s">
        <v>145</v>
      </c>
      <c r="T101" s="451">
        <v>2</v>
      </c>
      <c r="U101" s="451">
        <v>2</v>
      </c>
      <c r="V101" s="451">
        <v>2</v>
      </c>
      <c r="W101" s="451">
        <v>2</v>
      </c>
      <c r="X101" s="451">
        <v>2</v>
      </c>
      <c r="Y101" s="451" t="s">
        <v>145</v>
      </c>
      <c r="Z101" s="451">
        <v>1</v>
      </c>
      <c r="AA101" s="451">
        <v>1</v>
      </c>
      <c r="AB101" s="451">
        <v>1</v>
      </c>
      <c r="AC101" s="451">
        <v>1</v>
      </c>
      <c r="AD101" s="451">
        <v>1</v>
      </c>
      <c r="AE101" s="451">
        <v>1</v>
      </c>
      <c r="AF101" s="451" t="s">
        <v>145</v>
      </c>
      <c r="AG101" s="451">
        <v>3</v>
      </c>
      <c r="AH101" s="451">
        <v>3</v>
      </c>
      <c r="AI101" s="451">
        <v>3</v>
      </c>
      <c r="AJ101" s="451">
        <v>3</v>
      </c>
      <c r="AK101" s="451">
        <v>3</v>
      </c>
      <c r="AL101" s="52"/>
      <c r="AM101" s="94">
        <f t="shared" si="7"/>
        <v>1</v>
      </c>
      <c r="AN101" s="564"/>
      <c r="AO101" s="1"/>
      <c r="AP101" s="1"/>
      <c r="AQ101" s="1"/>
      <c r="AT101" s="2"/>
      <c r="AV101" s="2"/>
    </row>
    <row r="102" spans="1:49" ht="25.35" customHeight="1">
      <c r="A102" s="563"/>
      <c r="B102" s="563"/>
      <c r="C102" s="48" t="s">
        <v>55</v>
      </c>
      <c r="D102" s="504">
        <f t="shared" si="8"/>
        <v>18</v>
      </c>
      <c r="E102" s="183" t="s">
        <v>357</v>
      </c>
      <c r="F102" s="103"/>
      <c r="G102" s="451">
        <v>1</v>
      </c>
      <c r="H102" s="451">
        <v>1</v>
      </c>
      <c r="I102" s="451">
        <v>1</v>
      </c>
      <c r="J102" s="451" t="s">
        <v>179</v>
      </c>
      <c r="K102" s="524">
        <v>1</v>
      </c>
      <c r="L102" s="451" t="s">
        <v>145</v>
      </c>
      <c r="M102" s="451" t="s">
        <v>145</v>
      </c>
      <c r="N102" s="451">
        <v>3</v>
      </c>
      <c r="O102" s="451">
        <v>3</v>
      </c>
      <c r="P102" s="451">
        <v>3</v>
      </c>
      <c r="Q102" s="451" t="s">
        <v>179</v>
      </c>
      <c r="R102" s="451">
        <v>3</v>
      </c>
      <c r="S102" s="451" t="s">
        <v>145</v>
      </c>
      <c r="T102" s="451">
        <v>2</v>
      </c>
      <c r="U102" s="451">
        <v>2</v>
      </c>
      <c r="V102" s="451">
        <v>2</v>
      </c>
      <c r="W102" s="451">
        <v>2</v>
      </c>
      <c r="X102" s="451">
        <v>2</v>
      </c>
      <c r="Y102" s="451" t="s">
        <v>145</v>
      </c>
      <c r="Z102" s="451">
        <v>1</v>
      </c>
      <c r="AA102" s="451">
        <v>1</v>
      </c>
      <c r="AB102" s="451">
        <v>1</v>
      </c>
      <c r="AC102" s="451">
        <v>1</v>
      </c>
      <c r="AD102" s="451">
        <v>1</v>
      </c>
      <c r="AE102" s="451">
        <v>1</v>
      </c>
      <c r="AF102" s="451" t="s">
        <v>145</v>
      </c>
      <c r="AG102" s="451" t="s">
        <v>145</v>
      </c>
      <c r="AH102" s="451">
        <v>1</v>
      </c>
      <c r="AI102" s="451">
        <v>1</v>
      </c>
      <c r="AJ102" s="451">
        <v>3</v>
      </c>
      <c r="AK102" s="451">
        <v>3</v>
      </c>
      <c r="AL102" s="52"/>
      <c r="AM102" s="94">
        <f t="shared" si="7"/>
        <v>1</v>
      </c>
      <c r="AN102" s="564"/>
      <c r="AO102" s="1"/>
      <c r="AP102" s="1"/>
      <c r="AQ102" s="1"/>
      <c r="AT102" s="2"/>
      <c r="AV102" s="2"/>
    </row>
    <row r="103" spans="1:49" ht="25.35" customHeight="1">
      <c r="A103" s="563"/>
      <c r="B103" s="563"/>
      <c r="C103" s="48" t="s">
        <v>60</v>
      </c>
      <c r="D103" s="504">
        <f t="shared" si="8"/>
        <v>19</v>
      </c>
      <c r="E103" s="183" t="s">
        <v>48</v>
      </c>
      <c r="F103" s="103"/>
      <c r="G103" s="451" t="s">
        <v>145</v>
      </c>
      <c r="H103" s="451">
        <v>1</v>
      </c>
      <c r="I103" s="451" t="s">
        <v>193</v>
      </c>
      <c r="J103" s="451">
        <v>1</v>
      </c>
      <c r="K103" s="524">
        <v>1</v>
      </c>
      <c r="L103" s="451" t="s">
        <v>145</v>
      </c>
      <c r="M103" s="451">
        <v>3</v>
      </c>
      <c r="N103" s="451">
        <v>3</v>
      </c>
      <c r="O103" s="451">
        <v>3</v>
      </c>
      <c r="P103" s="451">
        <v>3</v>
      </c>
      <c r="Q103" s="451" t="s">
        <v>179</v>
      </c>
      <c r="R103" s="451" t="s">
        <v>179</v>
      </c>
      <c r="S103" s="451" t="s">
        <v>145</v>
      </c>
      <c r="T103" s="451">
        <v>2</v>
      </c>
      <c r="U103" s="451">
        <v>2</v>
      </c>
      <c r="V103" s="451">
        <v>2</v>
      </c>
      <c r="W103" s="451">
        <v>2</v>
      </c>
      <c r="X103" s="451">
        <v>2</v>
      </c>
      <c r="Y103" s="451" t="s">
        <v>145</v>
      </c>
      <c r="Z103" s="528">
        <v>1</v>
      </c>
      <c r="AA103" s="451">
        <v>1</v>
      </c>
      <c r="AB103" s="451">
        <v>1</v>
      </c>
      <c r="AC103" s="451">
        <v>1</v>
      </c>
      <c r="AD103" s="451">
        <v>1</v>
      </c>
      <c r="AE103" s="451">
        <v>1</v>
      </c>
      <c r="AF103" s="451" t="s">
        <v>145</v>
      </c>
      <c r="AG103" s="451">
        <v>3</v>
      </c>
      <c r="AH103" s="451">
        <v>3</v>
      </c>
      <c r="AI103" s="451">
        <v>3</v>
      </c>
      <c r="AJ103" s="451">
        <v>3</v>
      </c>
      <c r="AK103" s="451">
        <v>3</v>
      </c>
      <c r="AL103" s="52"/>
      <c r="AM103" s="94">
        <f t="shared" si="7"/>
        <v>0.96153846153846156</v>
      </c>
      <c r="AN103" s="564"/>
      <c r="AO103" s="1"/>
      <c r="AP103" s="1"/>
      <c r="AQ103" s="1"/>
      <c r="AT103" s="2"/>
      <c r="AV103" s="2"/>
    </row>
    <row r="104" spans="1:49" ht="25.35" customHeight="1">
      <c r="A104" s="563"/>
      <c r="B104" s="563"/>
      <c r="C104" s="48" t="s">
        <v>60</v>
      </c>
      <c r="D104" s="504">
        <f t="shared" si="8"/>
        <v>20</v>
      </c>
      <c r="E104" s="183" t="s">
        <v>183</v>
      </c>
      <c r="F104" s="103"/>
      <c r="G104" s="451">
        <v>1</v>
      </c>
      <c r="H104" s="451">
        <v>1</v>
      </c>
      <c r="I104" s="451">
        <v>1</v>
      </c>
      <c r="J104" s="451">
        <v>1</v>
      </c>
      <c r="K104" s="524">
        <v>1</v>
      </c>
      <c r="L104" s="451" t="s">
        <v>145</v>
      </c>
      <c r="M104" s="451">
        <v>3</v>
      </c>
      <c r="N104" s="451">
        <v>3</v>
      </c>
      <c r="O104" s="451">
        <v>3</v>
      </c>
      <c r="P104" s="451" t="s">
        <v>145</v>
      </c>
      <c r="Q104" s="451">
        <v>1</v>
      </c>
      <c r="R104" s="451">
        <v>1</v>
      </c>
      <c r="S104" s="451">
        <v>1</v>
      </c>
      <c r="T104" s="451">
        <v>1</v>
      </c>
      <c r="U104" s="451" t="s">
        <v>145</v>
      </c>
      <c r="V104" s="451">
        <v>2</v>
      </c>
      <c r="W104" s="451">
        <v>2</v>
      </c>
      <c r="X104" s="451">
        <v>2</v>
      </c>
      <c r="Y104" s="451" t="s">
        <v>145</v>
      </c>
      <c r="Z104" s="451" t="s">
        <v>145</v>
      </c>
      <c r="AA104" s="451">
        <v>1</v>
      </c>
      <c r="AB104" s="451">
        <v>1</v>
      </c>
      <c r="AC104" s="451">
        <v>1</v>
      </c>
      <c r="AD104" s="451">
        <v>1</v>
      </c>
      <c r="AE104" s="451">
        <v>1</v>
      </c>
      <c r="AF104" s="451" t="s">
        <v>145</v>
      </c>
      <c r="AG104" s="451" t="s">
        <v>190</v>
      </c>
      <c r="AH104" s="451">
        <v>3</v>
      </c>
      <c r="AI104" s="451">
        <v>3</v>
      </c>
      <c r="AJ104" s="451" t="s">
        <v>145</v>
      </c>
      <c r="AK104" s="451">
        <v>1</v>
      </c>
      <c r="AL104" s="52"/>
      <c r="AM104" s="94">
        <f t="shared" si="7"/>
        <v>1</v>
      </c>
      <c r="AN104" s="564"/>
      <c r="AO104" s="1"/>
      <c r="AP104" s="1"/>
      <c r="AQ104" s="1"/>
      <c r="AT104" s="2"/>
      <c r="AV104" s="2"/>
    </row>
    <row r="105" spans="1:49" ht="25.35" customHeight="1">
      <c r="A105" s="563"/>
      <c r="B105" s="563"/>
      <c r="C105" s="48" t="s">
        <v>60</v>
      </c>
      <c r="D105" s="504">
        <f t="shared" si="8"/>
        <v>21</v>
      </c>
      <c r="E105" s="497" t="s">
        <v>129</v>
      </c>
      <c r="F105" s="103"/>
      <c r="G105" s="451" t="s">
        <v>191</v>
      </c>
      <c r="H105" s="451" t="s">
        <v>191</v>
      </c>
      <c r="I105" s="451" t="s">
        <v>179</v>
      </c>
      <c r="J105" s="451" t="s">
        <v>191</v>
      </c>
      <c r="K105" s="524" t="s">
        <v>179</v>
      </c>
      <c r="L105" s="451" t="s">
        <v>145</v>
      </c>
      <c r="M105" s="451" t="s">
        <v>190</v>
      </c>
      <c r="N105" s="451" t="s">
        <v>190</v>
      </c>
      <c r="O105" s="451" t="s">
        <v>190</v>
      </c>
      <c r="P105" s="451" t="s">
        <v>190</v>
      </c>
      <c r="Q105" s="451" t="s">
        <v>190</v>
      </c>
      <c r="R105" s="451">
        <v>3</v>
      </c>
      <c r="S105" s="451" t="s">
        <v>145</v>
      </c>
      <c r="T105" s="451">
        <v>2</v>
      </c>
      <c r="U105" s="451">
        <v>2</v>
      </c>
      <c r="V105" s="451" t="s">
        <v>179</v>
      </c>
      <c r="W105" s="451" t="s">
        <v>179</v>
      </c>
      <c r="X105" s="451" t="s">
        <v>179</v>
      </c>
      <c r="Y105" s="451" t="s">
        <v>145</v>
      </c>
      <c r="Z105" s="451" t="s">
        <v>179</v>
      </c>
      <c r="AA105" s="451" t="s">
        <v>179</v>
      </c>
      <c r="AB105" s="451" t="s">
        <v>179</v>
      </c>
      <c r="AC105" s="451" t="s">
        <v>179</v>
      </c>
      <c r="AD105" s="451" t="s">
        <v>179</v>
      </c>
      <c r="AE105" s="451" t="s">
        <v>145</v>
      </c>
      <c r="AF105" s="451" t="s">
        <v>179</v>
      </c>
      <c r="AG105" s="451" t="s">
        <v>179</v>
      </c>
      <c r="AH105" s="451" t="s">
        <v>52</v>
      </c>
      <c r="AI105" s="451" t="s">
        <v>145</v>
      </c>
      <c r="AJ105" s="451" t="s">
        <v>179</v>
      </c>
      <c r="AK105" s="451" t="s">
        <v>179</v>
      </c>
      <c r="AL105" s="52"/>
      <c r="AM105" s="94">
        <f t="shared" si="7"/>
        <v>0.96153846153846156</v>
      </c>
      <c r="AN105" s="564"/>
      <c r="AT105" s="2"/>
      <c r="AV105" s="2"/>
    </row>
    <row r="106" spans="1:49" ht="25.35" customHeight="1" thickBot="1">
      <c r="A106" s="563"/>
      <c r="B106" s="563"/>
      <c r="C106" s="48"/>
      <c r="D106" s="509">
        <f t="shared" si="8"/>
        <v>22</v>
      </c>
      <c r="E106" s="181"/>
      <c r="F106" s="500"/>
      <c r="G106" s="530"/>
      <c r="H106" s="530"/>
      <c r="I106" s="530"/>
      <c r="J106" s="531"/>
      <c r="K106" s="531"/>
      <c r="L106" s="530"/>
      <c r="M106" s="530"/>
      <c r="N106" s="530"/>
      <c r="O106" s="530"/>
      <c r="P106" s="530"/>
      <c r="Q106" s="530"/>
      <c r="R106" s="530"/>
      <c r="S106" s="530"/>
      <c r="T106" s="530"/>
      <c r="U106" s="530"/>
      <c r="V106" s="530"/>
      <c r="W106" s="530"/>
      <c r="X106" s="530"/>
      <c r="Y106" s="532"/>
      <c r="Z106" s="530"/>
      <c r="AA106" s="530"/>
      <c r="AB106" s="530"/>
      <c r="AC106" s="530"/>
      <c r="AD106" s="530"/>
      <c r="AE106" s="530"/>
      <c r="AF106" s="530"/>
      <c r="AG106" s="530"/>
      <c r="AH106" s="530"/>
      <c r="AI106" s="530"/>
      <c r="AJ106" s="530"/>
      <c r="AK106" s="530"/>
      <c r="AL106" s="171"/>
      <c r="AM106" s="503" t="str">
        <f>IF((COUNTIF(G106:AK106, "x")+COUNTIF(G106:AK106, "1")+COUNTIF(G106:AK106, "2")+COUNTIF(G106:AK106, "3"))=0, "", (COUNTIF(G106:AK106, "1")+COUNTIF(G106:AK106, "2")+COUNTIF(G106:AK106, "3"))/(COUNTIF(G106:AK106, "x")+COUNTIF(G106:AK106, "1")+COUNTIF(G106:AK106, "2")+COUNTIF(G106:AK106, "3")))</f>
        <v/>
      </c>
      <c r="AN106" s="564"/>
      <c r="AT106" s="2"/>
      <c r="AV106" s="2"/>
    </row>
    <row r="107" spans="1:49" ht="25.35" customHeight="1">
      <c r="B107" s="2"/>
      <c r="C107" s="2"/>
      <c r="D107" s="496"/>
      <c r="AT107" s="2"/>
      <c r="AV107" s="2"/>
    </row>
    <row r="108" spans="1:49" ht="25.35" customHeight="1">
      <c r="B108" s="2"/>
      <c r="C108" s="2"/>
      <c r="AT108" s="2"/>
      <c r="AV108" s="2"/>
    </row>
    <row r="109" spans="1:49" ht="25.35" customHeight="1">
      <c r="B109" s="2"/>
      <c r="C109" s="2"/>
      <c r="AT109" s="2"/>
      <c r="AV109" s="2"/>
    </row>
    <row r="110" spans="1:49" s="18" customFormat="1" ht="25.35" customHeight="1"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S110" s="2"/>
      <c r="AT110" s="2"/>
      <c r="AU110" s="2"/>
      <c r="AV110" s="2"/>
      <c r="AW110" s="2"/>
    </row>
    <row r="111" spans="1:49" ht="25.35" customHeight="1">
      <c r="B111" s="2"/>
      <c r="C111" s="2"/>
      <c r="AT111" s="2"/>
      <c r="AV111" s="2"/>
    </row>
    <row r="112" spans="1:49" ht="25.35" customHeight="1">
      <c r="B112" s="2"/>
      <c r="C112" s="2"/>
      <c r="AT112" s="2"/>
      <c r="AV112" s="2"/>
    </row>
    <row r="113" spans="46:48" ht="25.35" customHeight="1">
      <c r="AT113" s="2"/>
      <c r="AV113" s="2"/>
    </row>
    <row r="114" spans="46:48" ht="25.35" customHeight="1">
      <c r="AT114" s="2"/>
      <c r="AV114" s="2"/>
    </row>
    <row r="115" spans="46:48" ht="25.35" customHeight="1">
      <c r="AT115" s="2"/>
      <c r="AV115" s="2"/>
    </row>
    <row r="116" spans="46:48" ht="25.35" customHeight="1">
      <c r="AT116" s="2"/>
      <c r="AV116" s="2"/>
    </row>
    <row r="117" spans="46:48" ht="25.35" customHeight="1">
      <c r="AT117" s="2"/>
      <c r="AV117" s="2"/>
    </row>
    <row r="118" spans="46:48" ht="25.35" customHeight="1">
      <c r="AT118" s="2"/>
      <c r="AV118" s="2"/>
    </row>
    <row r="119" spans="46:48" ht="25.35" customHeight="1">
      <c r="AT119" s="2"/>
      <c r="AV119" s="2"/>
    </row>
    <row r="120" spans="46:48" ht="25.35" customHeight="1">
      <c r="AT120" s="2"/>
      <c r="AV120" s="2"/>
    </row>
    <row r="121" spans="46:48" ht="25.35" customHeight="1">
      <c r="AT121" s="2"/>
      <c r="AV121" s="2"/>
    </row>
  </sheetData>
  <mergeCells count="15">
    <mergeCell ref="D2:E4"/>
    <mergeCell ref="G2:AL2"/>
    <mergeCell ref="AN3:AN4"/>
    <mergeCell ref="D5:E5"/>
    <mergeCell ref="A6:B27"/>
    <mergeCell ref="AN6:AN27"/>
    <mergeCell ref="D84:E84"/>
    <mergeCell ref="A85:B106"/>
    <mergeCell ref="AN85:AN106"/>
    <mergeCell ref="D33:E33"/>
    <mergeCell ref="A34:B55"/>
    <mergeCell ref="AN34:AN55"/>
    <mergeCell ref="D61:E61"/>
    <mergeCell ref="A62:B82"/>
    <mergeCell ref="AN62:AN82"/>
  </mergeCells>
  <conditionalFormatting sqref="G106:AL106">
    <cfRule type="cellIs" dxfId="10099" priority="3185" operator="equal">
      <formula>"HTL"</formula>
    </cfRule>
    <cfRule type="cellIs" dxfId="10098" priority="3187" operator="equal">
      <formula>"1OT"</formula>
    </cfRule>
    <cfRule type="cellIs" dxfId="10097" priority="3188" operator="equal">
      <formula>"3ET"</formula>
    </cfRule>
    <cfRule type="cellIs" dxfId="10096" priority="3189" operator="equal">
      <formula>"1ET"</formula>
    </cfRule>
    <cfRule type="cellIs" dxfId="10095" priority="3190" operator="equal">
      <formula>"2OT"</formula>
    </cfRule>
    <cfRule type="cellIs" dxfId="10094" priority="3191" operator="equal">
      <formula>"VL"</formula>
    </cfRule>
    <cfRule type="cellIs" dxfId="10093" priority="3192" operator="equal">
      <formula>X</formula>
    </cfRule>
    <cfRule type="cellIs" dxfId="10092" priority="3193" operator="between">
      <formula>"SL"</formula>
      <formula>"EL"</formula>
    </cfRule>
  </conditionalFormatting>
  <conditionalFormatting sqref="G106:AL106 AL82">
    <cfRule type="colorScale" priority="3194">
      <colorScale>
        <cfvo type="num" val="1"/>
        <cfvo type="num" val="3"/>
        <color rgb="FFFFFF00"/>
        <color rgb="FFFFFF00"/>
      </colorScale>
    </cfRule>
  </conditionalFormatting>
  <conditionalFormatting sqref="W106">
    <cfRule type="colorScale" priority="3066">
      <colorScale>
        <cfvo type="num" val="1"/>
        <cfvo type="num" val="3"/>
        <color rgb="FFFFFF00"/>
        <color rgb="FFFFFF00"/>
      </colorScale>
    </cfRule>
  </conditionalFormatting>
  <conditionalFormatting sqref="AL6:AL27">
    <cfRule type="colorScale" priority="1709">
      <colorScale>
        <cfvo type="num" val="1"/>
        <cfvo type="num" val="3"/>
        <color rgb="FFFFFF00"/>
        <color rgb="FFFFFF00"/>
      </colorScale>
    </cfRule>
  </conditionalFormatting>
  <conditionalFormatting sqref="AL6:AL16 AL20:AL27">
    <cfRule type="colorScale" priority="1708">
      <colorScale>
        <cfvo type="num" val="1"/>
        <cfvo type="num" val="3"/>
        <color rgb="FFFFFF00"/>
        <color rgb="FFFFFF00"/>
      </colorScale>
    </cfRule>
  </conditionalFormatting>
  <conditionalFormatting sqref="AL6:AL27">
    <cfRule type="containsText" dxfId="10091" priority="770" operator="containsText" text="RD">
      <formula>NOT(ISERROR(SEARCH("RD",AL6)))</formula>
    </cfRule>
    <cfRule type="containsText" dxfId="10090" priority="771" operator="containsText" text="x">
      <formula>NOT(ISERROR(SEARCH("x",AL6)))</formula>
    </cfRule>
  </conditionalFormatting>
  <conditionalFormatting sqref="AL34:AL55">
    <cfRule type="colorScale" priority="248">
      <colorScale>
        <cfvo type="num" val="1"/>
        <cfvo type="num" val="3"/>
        <color rgb="FFFFFF00"/>
        <color rgb="FFFFFF00"/>
      </colorScale>
    </cfRule>
  </conditionalFormatting>
  <conditionalFormatting sqref="AL43:AL55">
    <cfRule type="colorScale" priority="247">
      <colorScale>
        <cfvo type="num" val="1"/>
        <cfvo type="num" val="3"/>
        <color rgb="FFFFFF00"/>
        <color rgb="FFFFFF00"/>
      </colorScale>
    </cfRule>
  </conditionalFormatting>
  <conditionalFormatting sqref="AL85:AL105">
    <cfRule type="cellIs" dxfId="10089" priority="86" operator="equal">
      <formula>"HTL"</formula>
    </cfRule>
    <cfRule type="cellIs" dxfId="10088" priority="87" operator="equal">
      <formula>"1OT"</formula>
    </cfRule>
    <cfRule type="cellIs" dxfId="10087" priority="88" operator="equal">
      <formula>"3ET"</formula>
    </cfRule>
    <cfRule type="cellIs" dxfId="10086" priority="89" operator="equal">
      <formula>"1ET"</formula>
    </cfRule>
    <cfRule type="cellIs" dxfId="10085" priority="90" operator="equal">
      <formula>"2OT"</formula>
    </cfRule>
    <cfRule type="cellIs" dxfId="10084" priority="91" operator="equal">
      <formula>"VL"</formula>
    </cfRule>
    <cfRule type="cellIs" dxfId="10083" priority="92" operator="equal">
      <formula>X</formula>
    </cfRule>
    <cfRule type="cellIs" dxfId="10082" priority="93" operator="between">
      <formula>"SL"</formula>
      <formula>"EL"</formula>
    </cfRule>
  </conditionalFormatting>
  <conditionalFormatting sqref="AL85:AL105">
    <cfRule type="colorScale" priority="94">
      <colorScale>
        <cfvo type="num" val="1"/>
        <cfvo type="num" val="3"/>
        <color rgb="FFFFFF00"/>
        <color rgb="FFFFFF00"/>
      </colorScale>
    </cfRule>
  </conditionalFormatting>
  <conditionalFormatting sqref="AL62:AL81">
    <cfRule type="colorScale" priority="19">
      <colorScale>
        <cfvo type="num" val="1"/>
        <cfvo type="num" val="3"/>
        <color rgb="FFFFFF00"/>
        <color rgb="FFFFFF00"/>
      </colorScale>
    </cfRule>
  </conditionalFormatting>
  <conditionalFormatting sqref="AL62">
    <cfRule type="colorScale" priority="18">
      <colorScale>
        <cfvo type="num" val="1"/>
        <cfvo type="num" val="3"/>
        <color rgb="FFFFFF00"/>
        <color rgb="FFFFFF00"/>
      </colorScale>
    </cfRule>
  </conditionalFormatting>
  <conditionalFormatting sqref="AL62:AL81">
    <cfRule type="containsText" dxfId="10081" priority="15" operator="containsText" text="SL">
      <formula>NOT(ISERROR(SEARCH("SL",AL62)))</formula>
    </cfRule>
    <cfRule type="containsText" dxfId="10080" priority="16" operator="containsText" text="RD">
      <formula>NOT(ISERROR(SEARCH("RD",AL62)))</formula>
    </cfRule>
    <cfRule type="containsText" dxfId="10079" priority="17" operator="containsText" text="x">
      <formula>NOT(ISERROR(SEARCH("x",AL62)))</formula>
    </cfRule>
  </conditionalFormatting>
  <conditionalFormatting sqref="AL34:AL54">
    <cfRule type="containsText" dxfId="10078" priority="9" operator="containsText" text="SL">
      <formula>NOT(ISERROR(SEARCH("SL",AL34)))</formula>
    </cfRule>
    <cfRule type="containsText" dxfId="10077" priority="10" operator="containsText" text="EL">
      <formula>NOT(ISERROR(SEARCH("EL",AL34)))</formula>
    </cfRule>
    <cfRule type="containsText" dxfId="10076" priority="11" operator="containsText" text="RD">
      <formula>NOT(ISERROR(SEARCH("RD",AL34)))</formula>
    </cfRule>
    <cfRule type="containsText" dxfId="10075" priority="12" operator="containsText" text="EL">
      <formula>NOT(ISERROR(SEARCH("EL",AL34)))</formula>
    </cfRule>
    <cfRule type="containsText" dxfId="10074" priority="13" operator="containsText" text="HTL">
      <formula>NOT(ISERROR(SEARCH("HTL",AL34)))</formula>
    </cfRule>
    <cfRule type="containsText" dxfId="10073" priority="14" operator="containsText" text="VL">
      <formula>NOT(ISERROR(SEARCH("VL",AL34)))</formula>
    </cfRule>
  </conditionalFormatting>
  <pageMargins left="0.7" right="0.7" top="0.75" bottom="0.75" header="0.3" footer="0.3"/>
  <pageSetup paperSize="9" scale="27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00B050"/>
  </sheetPr>
  <dimension ref="A1:AZ121"/>
  <sheetViews>
    <sheetView showGridLines="0" view="pageBreakPreview" zoomScale="55" zoomScaleNormal="70" zoomScaleSheetLayoutView="55" workbookViewId="0">
      <pane xSplit="6" ySplit="4" topLeftCell="G35" activePane="bottomRight" state="frozen"/>
      <selection activeCell="I30" sqref="I30"/>
      <selection pane="topRight" activeCell="I30" sqref="I30"/>
      <selection pane="bottomLeft" activeCell="I30" sqref="I30"/>
      <selection pane="bottomRight" activeCell="AJ35" sqref="AJ35"/>
    </sheetView>
  </sheetViews>
  <sheetFormatPr defaultColWidth="9.42578125" defaultRowHeight="25.35" customHeight="1"/>
  <cols>
    <col min="1" max="1" width="9.42578125" style="2"/>
    <col min="2" max="2" width="7.42578125" style="45" customWidth="1"/>
    <col min="3" max="3" width="5.5703125" style="45" customWidth="1"/>
    <col min="4" max="4" width="6.28515625" style="2" customWidth="1"/>
    <col min="5" max="5" width="45.5703125" style="2" customWidth="1"/>
    <col min="6" max="6" width="9.42578125" style="2" customWidth="1"/>
    <col min="7" max="26" width="6.42578125" style="2" customWidth="1"/>
    <col min="27" max="27" width="6.5703125" style="2" customWidth="1"/>
    <col min="28" max="34" width="6.42578125" style="2" customWidth="1"/>
    <col min="35" max="35" width="5.42578125" style="2" hidden="1" customWidth="1"/>
    <col min="36" max="37" width="15.5703125" style="2" customWidth="1"/>
    <col min="38" max="39" width="5.5703125" style="2" customWidth="1"/>
    <col min="40" max="41" width="5.5703125" style="2" hidden="1" customWidth="1"/>
    <col min="42" max="42" width="7.5703125" style="2" hidden="1" customWidth="1"/>
    <col min="43" max="43" width="10.5703125" style="18" hidden="1" customWidth="1"/>
    <col min="44" max="44" width="5.5703125" style="2" hidden="1" customWidth="1"/>
    <col min="45" max="45" width="5.5703125" style="18" hidden="1" customWidth="1"/>
    <col min="46" max="46" width="13" style="2" hidden="1" customWidth="1"/>
    <col min="47" max="47" width="14.42578125" style="2" hidden="1" customWidth="1"/>
    <col min="48" max="48" width="11.42578125" style="2" hidden="1" customWidth="1"/>
    <col min="49" max="50" width="9.42578125" style="2" hidden="1" customWidth="1"/>
    <col min="51" max="16384" width="9.42578125" style="2"/>
  </cols>
  <sheetData>
    <row r="1" spans="1:50" ht="25.35" customHeight="1" thickBot="1">
      <c r="B1" s="46"/>
      <c r="C1" s="46"/>
      <c r="F1" s="507">
        <f>G3-1</f>
        <v>45688</v>
      </c>
    </row>
    <row r="2" spans="1:50" ht="25.35" customHeight="1">
      <c r="B2" s="46"/>
      <c r="C2" s="46"/>
      <c r="D2" s="575" t="s">
        <v>53</v>
      </c>
      <c r="E2" s="576"/>
      <c r="F2" s="156" t="s">
        <v>13</v>
      </c>
      <c r="G2" s="581" t="s">
        <v>385</v>
      </c>
      <c r="H2" s="582"/>
      <c r="I2" s="582"/>
      <c r="J2" s="582"/>
      <c r="K2" s="582"/>
      <c r="L2" s="582"/>
      <c r="M2" s="582"/>
      <c r="N2" s="582"/>
      <c r="O2" s="582"/>
      <c r="P2" s="582"/>
      <c r="Q2" s="582"/>
      <c r="R2" s="582"/>
      <c r="S2" s="582"/>
      <c r="T2" s="582"/>
      <c r="U2" s="582"/>
      <c r="V2" s="582"/>
      <c r="W2" s="582"/>
      <c r="X2" s="582"/>
      <c r="Y2" s="582"/>
      <c r="Z2" s="582"/>
      <c r="AA2" s="582"/>
      <c r="AB2" s="582"/>
      <c r="AC2" s="582"/>
      <c r="AD2" s="582"/>
      <c r="AE2" s="582"/>
      <c r="AF2" s="582"/>
      <c r="AG2" s="582"/>
      <c r="AH2" s="582"/>
      <c r="AI2" s="582"/>
      <c r="AJ2" s="157" t="s">
        <v>57</v>
      </c>
      <c r="AK2" s="158" t="s">
        <v>16</v>
      </c>
      <c r="AQ2" s="2"/>
      <c r="AS2" s="2"/>
    </row>
    <row r="3" spans="1:50" ht="25.35" customHeight="1">
      <c r="B3" s="46"/>
      <c r="C3" s="46"/>
      <c r="D3" s="577"/>
      <c r="E3" s="578"/>
      <c r="F3" s="71" t="s">
        <v>14</v>
      </c>
      <c r="G3" s="72">
        <v>45689</v>
      </c>
      <c r="H3" s="508">
        <f>G3+1</f>
        <v>45690</v>
      </c>
      <c r="I3" s="508">
        <f t="shared" ref="I3:AH3" si="0">H3+1</f>
        <v>45691</v>
      </c>
      <c r="J3" s="508">
        <f t="shared" si="0"/>
        <v>45692</v>
      </c>
      <c r="K3" s="508">
        <f t="shared" si="0"/>
        <v>45693</v>
      </c>
      <c r="L3" s="508">
        <f t="shared" si="0"/>
        <v>45694</v>
      </c>
      <c r="M3" s="508">
        <f t="shared" si="0"/>
        <v>45695</v>
      </c>
      <c r="N3" s="508">
        <f t="shared" si="0"/>
        <v>45696</v>
      </c>
      <c r="O3" s="508">
        <f t="shared" si="0"/>
        <v>45697</v>
      </c>
      <c r="P3" s="508">
        <f t="shared" si="0"/>
        <v>45698</v>
      </c>
      <c r="Q3" s="508">
        <f t="shared" si="0"/>
        <v>45699</v>
      </c>
      <c r="R3" s="508">
        <f t="shared" si="0"/>
        <v>45700</v>
      </c>
      <c r="S3" s="508">
        <f t="shared" si="0"/>
        <v>45701</v>
      </c>
      <c r="T3" s="508">
        <f t="shared" si="0"/>
        <v>45702</v>
      </c>
      <c r="U3" s="508">
        <f t="shared" si="0"/>
        <v>45703</v>
      </c>
      <c r="V3" s="508">
        <f t="shared" si="0"/>
        <v>45704</v>
      </c>
      <c r="W3" s="508">
        <f t="shared" si="0"/>
        <v>45705</v>
      </c>
      <c r="X3" s="508">
        <f t="shared" si="0"/>
        <v>45706</v>
      </c>
      <c r="Y3" s="508">
        <f t="shared" si="0"/>
        <v>45707</v>
      </c>
      <c r="Z3" s="508">
        <f t="shared" si="0"/>
        <v>45708</v>
      </c>
      <c r="AA3" s="508">
        <f t="shared" si="0"/>
        <v>45709</v>
      </c>
      <c r="AB3" s="508">
        <f t="shared" si="0"/>
        <v>45710</v>
      </c>
      <c r="AC3" s="508">
        <f t="shared" si="0"/>
        <v>45711</v>
      </c>
      <c r="AD3" s="508">
        <f t="shared" si="0"/>
        <v>45712</v>
      </c>
      <c r="AE3" s="508">
        <f t="shared" si="0"/>
        <v>45713</v>
      </c>
      <c r="AF3" s="508">
        <f t="shared" si="0"/>
        <v>45714</v>
      </c>
      <c r="AG3" s="508">
        <f t="shared" si="0"/>
        <v>45715</v>
      </c>
      <c r="AH3" s="508">
        <f t="shared" si="0"/>
        <v>45716</v>
      </c>
      <c r="AI3" s="508" t="e">
        <f>#REF!+1</f>
        <v>#REF!</v>
      </c>
      <c r="AJ3" s="73" t="s">
        <v>58</v>
      </c>
      <c r="AK3" s="583" t="s">
        <v>56</v>
      </c>
      <c r="AQ3" s="2"/>
      <c r="AS3" s="2"/>
    </row>
    <row r="4" spans="1:50" ht="25.35" customHeight="1" thickBot="1">
      <c r="B4" s="46"/>
      <c r="C4" s="46"/>
      <c r="D4" s="579"/>
      <c r="E4" s="580"/>
      <c r="F4" s="159" t="s">
        <v>15</v>
      </c>
      <c r="G4" s="21">
        <f>G3</f>
        <v>45689</v>
      </c>
      <c r="H4" s="21">
        <f t="shared" ref="H4:AH4" si="1">H3</f>
        <v>45690</v>
      </c>
      <c r="I4" s="21">
        <f t="shared" si="1"/>
        <v>45691</v>
      </c>
      <c r="J4" s="21">
        <f t="shared" si="1"/>
        <v>45692</v>
      </c>
      <c r="K4" s="21">
        <f t="shared" si="1"/>
        <v>45693</v>
      </c>
      <c r="L4" s="21">
        <f t="shared" si="1"/>
        <v>45694</v>
      </c>
      <c r="M4" s="21">
        <f t="shared" si="1"/>
        <v>45695</v>
      </c>
      <c r="N4" s="21">
        <f t="shared" si="1"/>
        <v>45696</v>
      </c>
      <c r="O4" s="21">
        <f t="shared" si="1"/>
        <v>45697</v>
      </c>
      <c r="P4" s="21">
        <f t="shared" si="1"/>
        <v>45698</v>
      </c>
      <c r="Q4" s="21">
        <f t="shared" si="1"/>
        <v>45699</v>
      </c>
      <c r="R4" s="21">
        <f t="shared" si="1"/>
        <v>45700</v>
      </c>
      <c r="S4" s="21">
        <f t="shared" si="1"/>
        <v>45701</v>
      </c>
      <c r="T4" s="21">
        <f t="shared" si="1"/>
        <v>45702</v>
      </c>
      <c r="U4" s="21">
        <f t="shared" si="1"/>
        <v>45703</v>
      </c>
      <c r="V4" s="21">
        <f t="shared" si="1"/>
        <v>45704</v>
      </c>
      <c r="W4" s="21">
        <f t="shared" si="1"/>
        <v>45705</v>
      </c>
      <c r="X4" s="21">
        <f t="shared" si="1"/>
        <v>45706</v>
      </c>
      <c r="Y4" s="21">
        <f t="shared" si="1"/>
        <v>45707</v>
      </c>
      <c r="Z4" s="21">
        <f t="shared" si="1"/>
        <v>45708</v>
      </c>
      <c r="AA4" s="21">
        <f t="shared" si="1"/>
        <v>45709</v>
      </c>
      <c r="AB4" s="21">
        <f t="shared" si="1"/>
        <v>45710</v>
      </c>
      <c r="AC4" s="21">
        <f t="shared" si="1"/>
        <v>45711</v>
      </c>
      <c r="AD4" s="21">
        <f t="shared" si="1"/>
        <v>45712</v>
      </c>
      <c r="AE4" s="21">
        <f t="shared" si="1"/>
        <v>45713</v>
      </c>
      <c r="AF4" s="21">
        <f t="shared" si="1"/>
        <v>45714</v>
      </c>
      <c r="AG4" s="21">
        <f t="shared" si="1"/>
        <v>45715</v>
      </c>
      <c r="AH4" s="21">
        <f t="shared" si="1"/>
        <v>45716</v>
      </c>
      <c r="AI4" s="21" t="s">
        <v>202</v>
      </c>
      <c r="AJ4" s="160" t="s">
        <v>59</v>
      </c>
      <c r="AK4" s="584"/>
      <c r="AQ4" s="2"/>
      <c r="AS4" s="2"/>
    </row>
    <row r="5" spans="1:50" ht="30" customHeight="1" thickBot="1">
      <c r="C5" s="47" t="s">
        <v>164</v>
      </c>
      <c r="D5" s="565" t="s">
        <v>141</v>
      </c>
      <c r="E5" s="566"/>
      <c r="F5" s="155"/>
      <c r="G5" s="476"/>
      <c r="H5" s="477" t="s">
        <v>372</v>
      </c>
      <c r="I5" s="477" t="s">
        <v>372</v>
      </c>
      <c r="J5" s="477"/>
      <c r="K5" s="477" t="s">
        <v>372</v>
      </c>
      <c r="L5" s="477" t="s">
        <v>386</v>
      </c>
      <c r="M5" s="477" t="s">
        <v>372</v>
      </c>
      <c r="N5" s="493" t="s">
        <v>374</v>
      </c>
      <c r="O5" s="477" t="s">
        <v>374</v>
      </c>
      <c r="P5" s="477"/>
      <c r="Q5" s="477"/>
      <c r="R5" s="477"/>
      <c r="S5" s="477"/>
      <c r="T5" s="477"/>
      <c r="U5" s="477"/>
      <c r="V5" s="477"/>
      <c r="W5" s="477"/>
      <c r="X5" s="477"/>
      <c r="Y5" s="477"/>
      <c r="Z5" s="477"/>
      <c r="AA5" s="477"/>
      <c r="AB5" s="477"/>
      <c r="AC5" s="477"/>
      <c r="AD5" s="477"/>
      <c r="AE5" s="477"/>
      <c r="AF5" s="477"/>
      <c r="AG5" s="477"/>
      <c r="AH5" s="477"/>
      <c r="AI5" s="477"/>
      <c r="AJ5" s="169"/>
      <c r="AK5" s="170"/>
      <c r="AL5" s="1"/>
      <c r="AM5" s="1"/>
      <c r="AN5" s="126"/>
      <c r="AO5" s="128"/>
      <c r="AP5" s="128"/>
      <c r="AQ5" s="128"/>
      <c r="AR5" s="128"/>
      <c r="AS5" s="129"/>
      <c r="AT5" s="58"/>
      <c r="AU5" s="58"/>
      <c r="AV5" s="61"/>
      <c r="AW5" s="134"/>
      <c r="AX5" s="134"/>
    </row>
    <row r="6" spans="1:50" ht="25.35" customHeight="1">
      <c r="A6" s="585" t="s">
        <v>184</v>
      </c>
      <c r="B6" s="585"/>
      <c r="C6" s="49" t="s">
        <v>55</v>
      </c>
      <c r="D6" s="91">
        <v>1</v>
      </c>
      <c r="E6" s="498" t="s">
        <v>173</v>
      </c>
      <c r="F6" s="93"/>
      <c r="G6" s="511">
        <v>2</v>
      </c>
      <c r="H6" s="511">
        <v>2</v>
      </c>
      <c r="I6" s="511">
        <v>2</v>
      </c>
      <c r="J6" s="511" t="s">
        <v>145</v>
      </c>
      <c r="K6" s="511">
        <v>1</v>
      </c>
      <c r="L6" s="511">
        <v>1</v>
      </c>
      <c r="M6" s="511">
        <v>1</v>
      </c>
      <c r="N6" s="511" t="s">
        <v>162</v>
      </c>
      <c r="O6" s="511" t="s">
        <v>162</v>
      </c>
      <c r="P6" s="511"/>
      <c r="Q6" s="511" t="s">
        <v>145</v>
      </c>
      <c r="R6" s="511">
        <v>3</v>
      </c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12"/>
      <c r="AI6" s="470"/>
      <c r="AJ6" s="533">
        <f t="shared" ref="AJ6:AJ26" si="2">IF((COUNTIF(G6:AH6, "x")+COUNTIF(G6:AH6, "1")+COUNTIF(G6:AH6, "2")+COUNTIF(G6:AH6, "3")+COUNTIF(G6:AH6, "L")+COUNTIF(G6:AH6, "VL")+COUNTIF(G6:AH6, "SL")+COUNTIF(G6:AH6, "EL"))=0, "", (COUNTIF(G6:AH6, "1")+COUNTIF(G6:AH6, "2")+COUNTIF(G6:AH6, "3")+COUNTIF(G6:AH6, "L")+COUNTIF(G6:AH6, "VL")+COUNTIF(G6:AH6, "SL")+COUNTIF(G6:AH6, "EL"))/(COUNTIF(G6:AH6, "x")+COUNTIF(G6:AH6, "1")+COUNTIF(G6:AH6, "2")+COUNTIF(G6:AH6, "3")+COUNTIF(G6:AH6, "L")+COUNTIF(G6:AH6, "VL")+COUNTIF(G6:AH6, "SL")+COUNTIF(G6:AH6, "EL")))</f>
        <v>1</v>
      </c>
      <c r="AK6" s="586">
        <f>AVERAGE(AJ6:AJ27)</f>
        <v>0.99470899470899476</v>
      </c>
      <c r="AL6" s="499"/>
      <c r="AM6" s="499"/>
      <c r="AN6" s="126"/>
      <c r="AO6" s="56"/>
      <c r="AP6" s="56"/>
      <c r="AQ6" s="56"/>
      <c r="AR6" s="56"/>
      <c r="AS6" s="130"/>
      <c r="AT6" s="59"/>
      <c r="AU6" s="59"/>
      <c r="AV6" s="60"/>
      <c r="AW6" s="134"/>
      <c r="AX6" s="134"/>
    </row>
    <row r="7" spans="1:50" ht="25.35" customHeight="1">
      <c r="A7" s="585"/>
      <c r="B7" s="585"/>
      <c r="C7" s="49" t="s">
        <v>55</v>
      </c>
      <c r="D7" s="504">
        <f>D6+1</f>
        <v>2</v>
      </c>
      <c r="E7" s="184" t="s">
        <v>189</v>
      </c>
      <c r="F7" s="97"/>
      <c r="G7" s="513">
        <v>2</v>
      </c>
      <c r="H7" s="513">
        <v>2</v>
      </c>
      <c r="I7" s="513">
        <v>2</v>
      </c>
      <c r="J7" s="513" t="s">
        <v>145</v>
      </c>
      <c r="K7" s="513">
        <v>1</v>
      </c>
      <c r="L7" s="451">
        <v>1</v>
      </c>
      <c r="M7" s="451">
        <v>1</v>
      </c>
      <c r="N7" s="451">
        <v>1</v>
      </c>
      <c r="O7" s="451">
        <v>1</v>
      </c>
      <c r="P7" s="451"/>
      <c r="Q7" s="451" t="s">
        <v>145</v>
      </c>
      <c r="R7" s="451">
        <v>3</v>
      </c>
      <c r="S7" s="451"/>
      <c r="T7" s="451"/>
      <c r="U7" s="451"/>
      <c r="V7" s="451"/>
      <c r="W7" s="451"/>
      <c r="X7" s="451"/>
      <c r="Y7" s="451"/>
      <c r="Z7" s="451"/>
      <c r="AA7" s="451"/>
      <c r="AB7" s="451"/>
      <c r="AC7" s="451"/>
      <c r="AD7" s="451"/>
      <c r="AE7" s="451"/>
      <c r="AF7" s="451"/>
      <c r="AG7" s="451"/>
      <c r="AH7" s="451"/>
      <c r="AI7" s="52"/>
      <c r="AJ7" s="94">
        <f t="shared" si="2"/>
        <v>1</v>
      </c>
      <c r="AK7" s="564"/>
      <c r="AL7" s="1"/>
      <c r="AM7" s="1"/>
      <c r="AN7" s="126"/>
      <c r="AO7" s="58"/>
      <c r="AP7" s="128"/>
      <c r="AQ7" s="58"/>
      <c r="AR7" s="58"/>
      <c r="AS7" s="58"/>
      <c r="AT7" s="58"/>
      <c r="AU7" s="58"/>
      <c r="AV7" s="61"/>
      <c r="AW7" s="134"/>
      <c r="AX7" s="134"/>
    </row>
    <row r="8" spans="1:50" ht="25.35" customHeight="1">
      <c r="A8" s="585"/>
      <c r="B8" s="585"/>
      <c r="C8" s="49" t="s">
        <v>55</v>
      </c>
      <c r="D8" s="504">
        <f t="shared" ref="D8:D26" si="3">D7+1</f>
        <v>3</v>
      </c>
      <c r="E8" s="184" t="s">
        <v>220</v>
      </c>
      <c r="F8" s="97"/>
      <c r="G8" s="451" t="s">
        <v>162</v>
      </c>
      <c r="H8" s="451" t="s">
        <v>162</v>
      </c>
      <c r="I8" s="451" t="s">
        <v>162</v>
      </c>
      <c r="J8" s="451" t="s">
        <v>145</v>
      </c>
      <c r="K8" s="451">
        <v>1</v>
      </c>
      <c r="L8" s="451">
        <v>1</v>
      </c>
      <c r="M8" s="451">
        <v>1</v>
      </c>
      <c r="N8" s="451">
        <v>1</v>
      </c>
      <c r="O8" s="451">
        <v>1</v>
      </c>
      <c r="P8" s="451"/>
      <c r="Q8" s="451" t="s">
        <v>145</v>
      </c>
      <c r="R8" s="451">
        <v>3</v>
      </c>
      <c r="S8" s="451"/>
      <c r="T8" s="451"/>
      <c r="U8" s="451"/>
      <c r="V8" s="451"/>
      <c r="W8" s="451"/>
      <c r="X8" s="451"/>
      <c r="Y8" s="451"/>
      <c r="Z8" s="451"/>
      <c r="AA8" s="451"/>
      <c r="AB8" s="451"/>
      <c r="AC8" s="451"/>
      <c r="AD8" s="451"/>
      <c r="AE8" s="451"/>
      <c r="AF8" s="451"/>
      <c r="AG8" s="451"/>
      <c r="AH8" s="451"/>
      <c r="AI8" s="52"/>
      <c r="AJ8" s="94">
        <f t="shared" si="2"/>
        <v>1</v>
      </c>
      <c r="AK8" s="564"/>
      <c r="AL8" s="1"/>
      <c r="AM8" s="1"/>
      <c r="AN8" s="132"/>
      <c r="AO8" s="59"/>
      <c r="AP8" s="57"/>
      <c r="AQ8" s="57"/>
      <c r="AR8" s="57"/>
      <c r="AS8" s="57"/>
      <c r="AT8" s="57"/>
      <c r="AU8" s="57"/>
      <c r="AV8" s="57"/>
      <c r="AW8" s="133"/>
    </row>
    <row r="9" spans="1:50" ht="25.35" customHeight="1">
      <c r="A9" s="585"/>
      <c r="B9" s="585"/>
      <c r="C9" s="48" t="s">
        <v>55</v>
      </c>
      <c r="D9" s="504">
        <f t="shared" si="3"/>
        <v>4</v>
      </c>
      <c r="E9" s="184" t="s">
        <v>368</v>
      </c>
      <c r="F9" s="101"/>
      <c r="G9" s="451">
        <v>2</v>
      </c>
      <c r="H9" s="451">
        <v>2</v>
      </c>
      <c r="I9" s="451">
        <v>2</v>
      </c>
      <c r="J9" s="451" t="s">
        <v>145</v>
      </c>
      <c r="K9" s="451">
        <v>1</v>
      </c>
      <c r="L9" s="451">
        <v>1</v>
      </c>
      <c r="M9" s="451">
        <v>1</v>
      </c>
      <c r="N9" s="451">
        <v>1</v>
      </c>
      <c r="O9" s="451">
        <v>1</v>
      </c>
      <c r="P9" s="451"/>
      <c r="Q9" s="451" t="s">
        <v>145</v>
      </c>
      <c r="R9" s="451">
        <v>3</v>
      </c>
      <c r="S9" s="451"/>
      <c r="T9" s="451"/>
      <c r="U9" s="451"/>
      <c r="V9" s="451"/>
      <c r="W9" s="451"/>
      <c r="X9" s="451"/>
      <c r="Y9" s="451"/>
      <c r="Z9" s="451"/>
      <c r="AA9" s="451"/>
      <c r="AB9" s="451"/>
      <c r="AC9" s="451"/>
      <c r="AD9" s="451"/>
      <c r="AE9" s="451"/>
      <c r="AF9" s="451"/>
      <c r="AG9" s="451"/>
      <c r="AH9" s="451"/>
      <c r="AI9" s="52"/>
      <c r="AJ9" s="94">
        <f t="shared" si="2"/>
        <v>1</v>
      </c>
      <c r="AK9" s="564"/>
      <c r="AL9" s="1"/>
      <c r="AM9" s="1"/>
      <c r="AN9" s="1"/>
      <c r="AQ9" s="2"/>
      <c r="AS9" s="2"/>
    </row>
    <row r="10" spans="1:50" ht="25.35" customHeight="1">
      <c r="A10" s="585"/>
      <c r="B10" s="585"/>
      <c r="C10" s="48" t="s">
        <v>60</v>
      </c>
      <c r="D10" s="504">
        <f t="shared" si="3"/>
        <v>5</v>
      </c>
      <c r="E10" s="187" t="s">
        <v>45</v>
      </c>
      <c r="F10" s="102"/>
      <c r="G10" s="451">
        <v>2</v>
      </c>
      <c r="H10" s="451">
        <v>2</v>
      </c>
      <c r="I10" s="451">
        <v>2</v>
      </c>
      <c r="J10" s="451" t="s">
        <v>145</v>
      </c>
      <c r="K10" s="451">
        <v>1</v>
      </c>
      <c r="L10" s="451">
        <v>1</v>
      </c>
      <c r="M10" s="451">
        <v>1</v>
      </c>
      <c r="N10" s="451">
        <v>1</v>
      </c>
      <c r="O10" s="451">
        <v>1</v>
      </c>
      <c r="P10" s="514"/>
      <c r="Q10" s="451" t="s">
        <v>145</v>
      </c>
      <c r="R10" s="451">
        <v>3</v>
      </c>
      <c r="S10" s="451"/>
      <c r="T10" s="451"/>
      <c r="U10" s="451"/>
      <c r="V10" s="451"/>
      <c r="W10" s="451"/>
      <c r="X10" s="451"/>
      <c r="Y10" s="451"/>
      <c r="Z10" s="451"/>
      <c r="AA10" s="451"/>
      <c r="AB10" s="451"/>
      <c r="AC10" s="451"/>
      <c r="AD10" s="451"/>
      <c r="AE10" s="451"/>
      <c r="AF10" s="451"/>
      <c r="AG10" s="451"/>
      <c r="AH10" s="451"/>
      <c r="AI10" s="52"/>
      <c r="AJ10" s="94">
        <f t="shared" si="2"/>
        <v>1</v>
      </c>
      <c r="AK10" s="564"/>
      <c r="AL10" s="1"/>
      <c r="AM10" s="1"/>
      <c r="AQ10" s="2"/>
      <c r="AS10" s="2"/>
    </row>
    <row r="11" spans="1:50" ht="25.35" customHeight="1">
      <c r="A11" s="585"/>
      <c r="B11" s="585"/>
      <c r="C11" s="48" t="s">
        <v>60</v>
      </c>
      <c r="D11" s="504">
        <f t="shared" si="3"/>
        <v>6</v>
      </c>
      <c r="E11" s="184" t="s">
        <v>4</v>
      </c>
      <c r="F11" s="102"/>
      <c r="G11" s="451">
        <v>2</v>
      </c>
      <c r="H11" s="451">
        <v>2</v>
      </c>
      <c r="I11" s="451">
        <v>2</v>
      </c>
      <c r="J11" s="451" t="s">
        <v>145</v>
      </c>
      <c r="K11" s="451">
        <v>1</v>
      </c>
      <c r="L11" s="451">
        <v>1</v>
      </c>
      <c r="M11" s="451">
        <v>1</v>
      </c>
      <c r="N11" s="451">
        <v>1</v>
      </c>
      <c r="O11" s="451">
        <v>1</v>
      </c>
      <c r="P11" s="451"/>
      <c r="Q11" s="451" t="s">
        <v>145</v>
      </c>
      <c r="R11" s="451">
        <v>3</v>
      </c>
      <c r="S11" s="451"/>
      <c r="T11" s="451"/>
      <c r="U11" s="451"/>
      <c r="V11" s="451"/>
      <c r="W11" s="451"/>
      <c r="X11" s="451"/>
      <c r="Y11" s="451"/>
      <c r="Z11" s="451"/>
      <c r="AA11" s="451"/>
      <c r="AB11" s="451"/>
      <c r="AC11" s="451"/>
      <c r="AD11" s="451"/>
      <c r="AE11" s="451"/>
      <c r="AF11" s="451"/>
      <c r="AG11" s="451"/>
      <c r="AH11" s="451"/>
      <c r="AI11" s="52"/>
      <c r="AJ11" s="94">
        <f t="shared" si="2"/>
        <v>1</v>
      </c>
      <c r="AK11" s="564"/>
      <c r="AL11" s="1"/>
      <c r="AM11" s="1"/>
      <c r="AN11" s="1"/>
      <c r="AQ11" s="2"/>
      <c r="AS11" s="2"/>
    </row>
    <row r="12" spans="1:50" ht="25.35" customHeight="1">
      <c r="A12" s="585"/>
      <c r="B12" s="585"/>
      <c r="C12" s="48" t="s">
        <v>60</v>
      </c>
      <c r="D12" s="504">
        <f t="shared" si="3"/>
        <v>7</v>
      </c>
      <c r="E12" s="184" t="s">
        <v>25</v>
      </c>
      <c r="F12" s="102"/>
      <c r="G12" s="451">
        <v>2</v>
      </c>
      <c r="H12" s="451">
        <v>2</v>
      </c>
      <c r="I12" s="451">
        <v>2</v>
      </c>
      <c r="J12" s="451" t="s">
        <v>145</v>
      </c>
      <c r="K12" s="451" t="s">
        <v>190</v>
      </c>
      <c r="L12" s="451" t="s">
        <v>179</v>
      </c>
      <c r="M12" s="451" t="s">
        <v>179</v>
      </c>
      <c r="N12" s="451" t="s">
        <v>179</v>
      </c>
      <c r="O12" s="451" t="s">
        <v>179</v>
      </c>
      <c r="P12" s="451"/>
      <c r="Q12" s="451" t="s">
        <v>145</v>
      </c>
      <c r="R12" s="451"/>
      <c r="S12" s="451"/>
      <c r="T12" s="451"/>
      <c r="U12" s="513"/>
      <c r="V12" s="513"/>
      <c r="W12" s="513"/>
      <c r="X12" s="513"/>
      <c r="Y12" s="451"/>
      <c r="Z12" s="451"/>
      <c r="AA12" s="451"/>
      <c r="AB12" s="451"/>
      <c r="AC12" s="451"/>
      <c r="AD12" s="451"/>
      <c r="AE12" s="451"/>
      <c r="AF12" s="451"/>
      <c r="AG12" s="451"/>
      <c r="AH12" s="451"/>
      <c r="AI12" s="52"/>
      <c r="AJ12" s="94">
        <f t="shared" si="2"/>
        <v>1</v>
      </c>
      <c r="AK12" s="564"/>
      <c r="AL12" s="1"/>
      <c r="AM12" s="1"/>
      <c r="AN12" s="1"/>
      <c r="AQ12" s="2"/>
      <c r="AS12" s="2"/>
    </row>
    <row r="13" spans="1:50" ht="25.35" customHeight="1">
      <c r="A13" s="585"/>
      <c r="B13" s="585"/>
      <c r="C13" s="48" t="s">
        <v>60</v>
      </c>
      <c r="D13" s="504">
        <f t="shared" si="3"/>
        <v>8</v>
      </c>
      <c r="E13" s="185" t="s">
        <v>28</v>
      </c>
      <c r="F13" s="97"/>
      <c r="G13" s="451">
        <v>2</v>
      </c>
      <c r="H13" s="451">
        <v>2</v>
      </c>
      <c r="I13" s="451">
        <v>2</v>
      </c>
      <c r="J13" s="451" t="s">
        <v>145</v>
      </c>
      <c r="K13" s="451">
        <v>1</v>
      </c>
      <c r="L13" s="451">
        <v>1</v>
      </c>
      <c r="M13" s="451">
        <v>1</v>
      </c>
      <c r="N13" s="451" t="s">
        <v>179</v>
      </c>
      <c r="O13" s="451" t="s">
        <v>179</v>
      </c>
      <c r="P13" s="451"/>
      <c r="Q13" s="451" t="s">
        <v>145</v>
      </c>
      <c r="R13" s="451">
        <v>3</v>
      </c>
      <c r="S13" s="451"/>
      <c r="T13" s="451"/>
      <c r="U13" s="451"/>
      <c r="V13" s="451"/>
      <c r="W13" s="451"/>
      <c r="X13" s="451"/>
      <c r="Y13" s="451"/>
      <c r="Z13" s="451"/>
      <c r="AA13" s="451"/>
      <c r="AB13" s="451"/>
      <c r="AC13" s="451"/>
      <c r="AD13" s="451"/>
      <c r="AE13" s="451"/>
      <c r="AF13" s="451"/>
      <c r="AG13" s="451"/>
      <c r="AH13" s="451"/>
      <c r="AI13" s="52"/>
      <c r="AJ13" s="94">
        <f t="shared" si="2"/>
        <v>1</v>
      </c>
      <c r="AK13" s="564"/>
      <c r="AL13" s="1"/>
      <c r="AM13" s="1"/>
      <c r="AN13" s="1"/>
      <c r="AQ13" s="2"/>
      <c r="AS13" s="2"/>
    </row>
    <row r="14" spans="1:50" ht="25.35" customHeight="1">
      <c r="A14" s="585"/>
      <c r="B14" s="585"/>
      <c r="C14" s="49" t="s">
        <v>60</v>
      </c>
      <c r="D14" s="504">
        <f t="shared" si="3"/>
        <v>9</v>
      </c>
      <c r="E14" s="184" t="s">
        <v>224</v>
      </c>
      <c r="F14" s="97"/>
      <c r="G14" s="513">
        <v>2</v>
      </c>
      <c r="H14" s="513">
        <v>2</v>
      </c>
      <c r="I14" s="513">
        <v>2</v>
      </c>
      <c r="J14" s="451" t="s">
        <v>145</v>
      </c>
      <c r="K14" s="451">
        <v>1</v>
      </c>
      <c r="L14" s="451">
        <v>1</v>
      </c>
      <c r="M14" s="451">
        <v>1</v>
      </c>
      <c r="N14" s="451">
        <v>1</v>
      </c>
      <c r="O14" s="451">
        <v>1</v>
      </c>
      <c r="P14" s="451"/>
      <c r="Q14" s="451" t="s">
        <v>145</v>
      </c>
      <c r="R14" s="451">
        <v>3</v>
      </c>
      <c r="S14" s="451"/>
      <c r="T14" s="451"/>
      <c r="U14" s="451"/>
      <c r="V14" s="451"/>
      <c r="W14" s="451"/>
      <c r="X14" s="451"/>
      <c r="Y14" s="451"/>
      <c r="Z14" s="451"/>
      <c r="AA14" s="451"/>
      <c r="AB14" s="451"/>
      <c r="AC14" s="451"/>
      <c r="AD14" s="451"/>
      <c r="AE14" s="451"/>
      <c r="AF14" s="451"/>
      <c r="AG14" s="451"/>
      <c r="AH14" s="451"/>
      <c r="AI14" s="52"/>
      <c r="AJ14" s="94">
        <f t="shared" si="2"/>
        <v>1</v>
      </c>
      <c r="AK14" s="564"/>
      <c r="AL14" s="1"/>
      <c r="AM14" s="1"/>
      <c r="AN14" s="1"/>
      <c r="AQ14" s="2"/>
      <c r="AS14" s="2"/>
    </row>
    <row r="15" spans="1:50" ht="25.35" customHeight="1">
      <c r="A15" s="585"/>
      <c r="B15" s="585"/>
      <c r="C15" s="48" t="s">
        <v>55</v>
      </c>
      <c r="D15" s="504">
        <f t="shared" si="3"/>
        <v>10</v>
      </c>
      <c r="E15" s="185" t="s">
        <v>225</v>
      </c>
      <c r="F15" s="101"/>
      <c r="G15" s="451" t="s">
        <v>51</v>
      </c>
      <c r="H15" s="451" t="s">
        <v>51</v>
      </c>
      <c r="I15" s="451">
        <v>2</v>
      </c>
      <c r="J15" s="451" t="s">
        <v>145</v>
      </c>
      <c r="K15" s="451">
        <v>1</v>
      </c>
      <c r="L15" s="451" t="s">
        <v>51</v>
      </c>
      <c r="M15" s="451">
        <v>1</v>
      </c>
      <c r="N15" s="451">
        <v>1</v>
      </c>
      <c r="O15" s="451">
        <v>1</v>
      </c>
      <c r="P15" s="451"/>
      <c r="Q15" s="451" t="s">
        <v>145</v>
      </c>
      <c r="R15" s="451">
        <v>3</v>
      </c>
      <c r="S15" s="451"/>
      <c r="T15" s="451"/>
      <c r="U15" s="451"/>
      <c r="V15" s="451"/>
      <c r="W15" s="451"/>
      <c r="X15" s="451"/>
      <c r="Y15" s="451"/>
      <c r="Z15" s="451"/>
      <c r="AA15" s="451"/>
      <c r="AB15" s="451"/>
      <c r="AC15" s="451"/>
      <c r="AD15" s="451"/>
      <c r="AE15" s="451"/>
      <c r="AF15" s="451"/>
      <c r="AG15" s="451"/>
      <c r="AH15" s="451"/>
      <c r="AI15" s="52"/>
      <c r="AJ15" s="94">
        <f t="shared" si="2"/>
        <v>1</v>
      </c>
      <c r="AK15" s="564"/>
      <c r="AL15" s="1"/>
      <c r="AM15" s="1"/>
      <c r="AN15" s="1"/>
      <c r="AQ15" s="2"/>
      <c r="AS15" s="2"/>
    </row>
    <row r="16" spans="1:50" ht="25.35" customHeight="1">
      <c r="A16" s="585"/>
      <c r="B16" s="585"/>
      <c r="C16" s="48" t="s">
        <v>55</v>
      </c>
      <c r="D16" s="504">
        <f t="shared" si="3"/>
        <v>11</v>
      </c>
      <c r="E16" s="185" t="s">
        <v>211</v>
      </c>
      <c r="F16" s="102"/>
      <c r="G16" s="451">
        <v>2</v>
      </c>
      <c r="H16" s="451">
        <v>2</v>
      </c>
      <c r="I16" s="451">
        <v>2</v>
      </c>
      <c r="J16" s="451" t="s">
        <v>145</v>
      </c>
      <c r="K16" s="451">
        <v>1</v>
      </c>
      <c r="L16" s="451">
        <v>1</v>
      </c>
      <c r="M16" s="451">
        <v>1</v>
      </c>
      <c r="N16" s="451">
        <v>1</v>
      </c>
      <c r="O16" s="451">
        <v>1</v>
      </c>
      <c r="P16" s="451"/>
      <c r="Q16" s="451" t="s">
        <v>145</v>
      </c>
      <c r="R16" s="451">
        <v>3</v>
      </c>
      <c r="S16" s="451"/>
      <c r="T16" s="451"/>
      <c r="U16" s="451"/>
      <c r="V16" s="451"/>
      <c r="W16" s="451"/>
      <c r="X16" s="451"/>
      <c r="Y16" s="451"/>
      <c r="Z16" s="451"/>
      <c r="AA16" s="451"/>
      <c r="AB16" s="451"/>
      <c r="AC16" s="451"/>
      <c r="AD16" s="451"/>
      <c r="AE16" s="451"/>
      <c r="AF16" s="451"/>
      <c r="AG16" s="451"/>
      <c r="AH16" s="451"/>
      <c r="AI16" s="52"/>
      <c r="AJ16" s="94">
        <f t="shared" si="2"/>
        <v>1</v>
      </c>
      <c r="AK16" s="564"/>
      <c r="AL16" s="1"/>
      <c r="AM16" s="1"/>
      <c r="AN16" s="1"/>
      <c r="AQ16" s="2"/>
      <c r="AS16" s="2"/>
    </row>
    <row r="17" spans="1:45" ht="25.35" customHeight="1">
      <c r="A17" s="585"/>
      <c r="B17" s="585"/>
      <c r="C17" s="48" t="s">
        <v>60</v>
      </c>
      <c r="D17" s="504">
        <f t="shared" si="3"/>
        <v>12</v>
      </c>
      <c r="E17" s="184" t="s">
        <v>7</v>
      </c>
      <c r="F17" s="101"/>
      <c r="G17" s="451">
        <v>2</v>
      </c>
      <c r="H17" s="451">
        <v>2</v>
      </c>
      <c r="I17" s="451">
        <v>2</v>
      </c>
      <c r="J17" s="451" t="s">
        <v>145</v>
      </c>
      <c r="K17" s="451">
        <v>1</v>
      </c>
      <c r="L17" s="451">
        <v>1</v>
      </c>
      <c r="M17" s="451">
        <v>1</v>
      </c>
      <c r="N17" s="451" t="s">
        <v>52</v>
      </c>
      <c r="O17" s="451" t="s">
        <v>179</v>
      </c>
      <c r="P17" s="451"/>
      <c r="Q17" s="451" t="s">
        <v>145</v>
      </c>
      <c r="R17" s="451">
        <v>3</v>
      </c>
      <c r="S17" s="451"/>
      <c r="T17" s="451"/>
      <c r="U17" s="451"/>
      <c r="V17" s="451"/>
      <c r="W17" s="451"/>
      <c r="X17" s="451"/>
      <c r="Y17" s="451"/>
      <c r="Z17" s="451"/>
      <c r="AA17" s="451"/>
      <c r="AB17" s="451"/>
      <c r="AC17" s="451"/>
      <c r="AD17" s="451"/>
      <c r="AE17" s="451"/>
      <c r="AF17" s="451"/>
      <c r="AG17" s="451"/>
      <c r="AH17" s="451"/>
      <c r="AI17" s="52"/>
      <c r="AJ17" s="94">
        <f t="shared" si="2"/>
        <v>0.88888888888888884</v>
      </c>
      <c r="AK17" s="564"/>
      <c r="AL17" s="1"/>
      <c r="AM17" s="1"/>
      <c r="AN17" s="1"/>
      <c r="AQ17" s="2"/>
      <c r="AS17" s="2"/>
    </row>
    <row r="18" spans="1:45" ht="25.35" customHeight="1">
      <c r="A18" s="585"/>
      <c r="B18" s="585"/>
      <c r="C18" s="48" t="s">
        <v>60</v>
      </c>
      <c r="D18" s="504">
        <f t="shared" si="3"/>
        <v>13</v>
      </c>
      <c r="E18" s="185" t="s">
        <v>44</v>
      </c>
      <c r="F18" s="97"/>
      <c r="G18" s="451">
        <v>2</v>
      </c>
      <c r="H18" s="451">
        <v>2</v>
      </c>
      <c r="I18" s="451">
        <v>2</v>
      </c>
      <c r="J18" s="451" t="s">
        <v>145</v>
      </c>
      <c r="K18" s="451">
        <v>1</v>
      </c>
      <c r="L18" s="451">
        <v>1</v>
      </c>
      <c r="M18" s="451">
        <v>1</v>
      </c>
      <c r="N18" s="451">
        <v>1</v>
      </c>
      <c r="O18" s="451">
        <v>1</v>
      </c>
      <c r="P18" s="451"/>
      <c r="Q18" s="451" t="s">
        <v>145</v>
      </c>
      <c r="R18" s="451">
        <v>3</v>
      </c>
      <c r="S18" s="451"/>
      <c r="T18" s="451"/>
      <c r="U18" s="451"/>
      <c r="V18" s="451"/>
      <c r="W18" s="451"/>
      <c r="X18" s="451"/>
      <c r="Y18" s="451"/>
      <c r="Z18" s="451"/>
      <c r="AA18" s="451"/>
      <c r="AB18" s="451"/>
      <c r="AC18" s="451"/>
      <c r="AD18" s="451"/>
      <c r="AE18" s="451"/>
      <c r="AF18" s="451"/>
      <c r="AG18" s="451"/>
      <c r="AH18" s="451"/>
      <c r="AI18" s="52"/>
      <c r="AJ18" s="94">
        <f t="shared" si="2"/>
        <v>1</v>
      </c>
      <c r="AK18" s="564"/>
      <c r="AL18" s="1"/>
      <c r="AM18" s="1"/>
      <c r="AN18" s="1"/>
      <c r="AQ18" s="2"/>
      <c r="AS18" s="2"/>
    </row>
    <row r="19" spans="1:45" ht="25.35" customHeight="1">
      <c r="A19" s="585"/>
      <c r="B19" s="585"/>
      <c r="C19" s="48" t="s">
        <v>60</v>
      </c>
      <c r="D19" s="504">
        <f t="shared" si="3"/>
        <v>14</v>
      </c>
      <c r="E19" s="185" t="s">
        <v>26</v>
      </c>
      <c r="F19" s="103"/>
      <c r="G19" s="451">
        <v>2</v>
      </c>
      <c r="H19" s="451">
        <v>2</v>
      </c>
      <c r="I19" s="451">
        <v>2</v>
      </c>
      <c r="J19" s="451" t="s">
        <v>145</v>
      </c>
      <c r="K19" s="451">
        <v>1</v>
      </c>
      <c r="L19" s="451">
        <v>1</v>
      </c>
      <c r="M19" s="451">
        <v>1</v>
      </c>
      <c r="N19" s="451">
        <v>1</v>
      </c>
      <c r="O19" s="451">
        <v>1</v>
      </c>
      <c r="P19" s="451"/>
      <c r="Q19" s="451" t="s">
        <v>145</v>
      </c>
      <c r="R19" s="451"/>
      <c r="S19" s="451"/>
      <c r="T19" s="513"/>
      <c r="U19" s="513"/>
      <c r="V19" s="513"/>
      <c r="W19" s="513"/>
      <c r="X19" s="513"/>
      <c r="Y19" s="451"/>
      <c r="Z19" s="451"/>
      <c r="AA19" s="451"/>
      <c r="AB19" s="451"/>
      <c r="AC19" s="451"/>
      <c r="AD19" s="451"/>
      <c r="AE19" s="451"/>
      <c r="AF19" s="451"/>
      <c r="AG19" s="451"/>
      <c r="AH19" s="451"/>
      <c r="AI19" s="52"/>
      <c r="AJ19" s="94">
        <f t="shared" si="2"/>
        <v>1</v>
      </c>
      <c r="AK19" s="564"/>
      <c r="AL19" s="1"/>
      <c r="AM19" s="1"/>
      <c r="AN19" s="1"/>
      <c r="AQ19" s="2"/>
      <c r="AS19" s="2"/>
    </row>
    <row r="20" spans="1:45" ht="25.35" customHeight="1">
      <c r="A20" s="585"/>
      <c r="B20" s="585"/>
      <c r="C20" s="48" t="s">
        <v>55</v>
      </c>
      <c r="D20" s="504">
        <f t="shared" si="3"/>
        <v>15</v>
      </c>
      <c r="E20" s="185" t="s">
        <v>218</v>
      </c>
      <c r="F20" s="103"/>
      <c r="G20" s="513">
        <v>2</v>
      </c>
      <c r="H20" s="513">
        <v>2</v>
      </c>
      <c r="I20" s="451" t="s">
        <v>145</v>
      </c>
      <c r="J20" s="451" t="s">
        <v>145</v>
      </c>
      <c r="K20" s="451">
        <v>1</v>
      </c>
      <c r="L20" s="451">
        <v>1</v>
      </c>
      <c r="M20" s="451">
        <v>1</v>
      </c>
      <c r="N20" s="451">
        <v>1</v>
      </c>
      <c r="O20" s="451">
        <v>1</v>
      </c>
      <c r="P20" s="451"/>
      <c r="Q20" s="451" t="s">
        <v>145</v>
      </c>
      <c r="R20" s="451">
        <v>3</v>
      </c>
      <c r="S20" s="451"/>
      <c r="T20" s="451"/>
      <c r="U20" s="451"/>
      <c r="V20" s="451"/>
      <c r="W20" s="451"/>
      <c r="X20" s="451"/>
      <c r="Y20" s="451"/>
      <c r="Z20" s="451"/>
      <c r="AA20" s="451"/>
      <c r="AB20" s="451"/>
      <c r="AC20" s="451"/>
      <c r="AD20" s="451"/>
      <c r="AE20" s="451"/>
      <c r="AF20" s="451"/>
      <c r="AG20" s="451"/>
      <c r="AH20" s="451"/>
      <c r="AI20" s="52"/>
      <c r="AJ20" s="94">
        <f t="shared" si="2"/>
        <v>1</v>
      </c>
      <c r="AK20" s="564"/>
      <c r="AL20" s="1"/>
      <c r="AM20" s="1"/>
      <c r="AN20" s="1"/>
      <c r="AQ20" s="2"/>
      <c r="AS20" s="2"/>
    </row>
    <row r="21" spans="1:45" ht="25.35" customHeight="1">
      <c r="A21" s="585"/>
      <c r="B21" s="585"/>
      <c r="C21" s="48" t="s">
        <v>60</v>
      </c>
      <c r="D21" s="504">
        <f t="shared" si="3"/>
        <v>16</v>
      </c>
      <c r="E21" s="185" t="s">
        <v>34</v>
      </c>
      <c r="F21" s="97"/>
      <c r="G21" s="451">
        <v>2</v>
      </c>
      <c r="H21" s="451">
        <v>2</v>
      </c>
      <c r="I21" s="451">
        <v>2</v>
      </c>
      <c r="J21" s="451" t="s">
        <v>145</v>
      </c>
      <c r="K21" s="451" t="s">
        <v>179</v>
      </c>
      <c r="L21" s="451" t="s">
        <v>179</v>
      </c>
      <c r="M21" s="451" t="s">
        <v>179</v>
      </c>
      <c r="N21" s="451" t="s">
        <v>179</v>
      </c>
      <c r="O21" s="451" t="s">
        <v>51</v>
      </c>
      <c r="P21" s="451"/>
      <c r="Q21" s="451" t="s">
        <v>145</v>
      </c>
      <c r="R21" s="451">
        <v>3</v>
      </c>
      <c r="S21" s="451"/>
      <c r="T21" s="451"/>
      <c r="U21" s="451"/>
      <c r="V21" s="451"/>
      <c r="W21" s="451"/>
      <c r="X21" s="451"/>
      <c r="Y21" s="451"/>
      <c r="Z21" s="451"/>
      <c r="AA21" s="451"/>
      <c r="AB21" s="451"/>
      <c r="AC21" s="451"/>
      <c r="AD21" s="451"/>
      <c r="AE21" s="451"/>
      <c r="AF21" s="451"/>
      <c r="AG21" s="451"/>
      <c r="AH21" s="451"/>
      <c r="AI21" s="52"/>
      <c r="AJ21" s="94">
        <f t="shared" si="2"/>
        <v>1</v>
      </c>
      <c r="AK21" s="564"/>
      <c r="AL21" s="1"/>
      <c r="AM21" s="1"/>
      <c r="AN21" s="1"/>
      <c r="AQ21" s="2"/>
      <c r="AS21" s="2"/>
    </row>
    <row r="22" spans="1:45" ht="25.35" customHeight="1">
      <c r="A22" s="585"/>
      <c r="B22" s="585"/>
      <c r="C22" s="48" t="s">
        <v>60</v>
      </c>
      <c r="D22" s="504">
        <f t="shared" si="3"/>
        <v>17</v>
      </c>
      <c r="E22" s="185" t="s">
        <v>177</v>
      </c>
      <c r="F22" s="103"/>
      <c r="G22" s="451">
        <v>2</v>
      </c>
      <c r="H22" s="451">
        <v>2</v>
      </c>
      <c r="I22" s="451">
        <v>2</v>
      </c>
      <c r="J22" s="451" t="s">
        <v>145</v>
      </c>
      <c r="K22" s="451">
        <v>1</v>
      </c>
      <c r="L22" s="451">
        <v>1</v>
      </c>
      <c r="M22" s="451">
        <v>1</v>
      </c>
      <c r="N22" s="451">
        <v>1</v>
      </c>
      <c r="O22" s="451">
        <v>1</v>
      </c>
      <c r="P22" s="451"/>
      <c r="Q22" s="451" t="s">
        <v>145</v>
      </c>
      <c r="R22" s="451">
        <v>3</v>
      </c>
      <c r="S22" s="451"/>
      <c r="T22" s="451"/>
      <c r="U22" s="451"/>
      <c r="V22" s="451"/>
      <c r="W22" s="451"/>
      <c r="X22" s="451"/>
      <c r="Y22" s="451"/>
      <c r="Z22" s="451"/>
      <c r="AA22" s="451"/>
      <c r="AB22" s="451"/>
      <c r="AC22" s="451"/>
      <c r="AD22" s="451"/>
      <c r="AE22" s="451"/>
      <c r="AF22" s="451"/>
      <c r="AG22" s="451"/>
      <c r="AH22" s="451"/>
      <c r="AI22" s="52"/>
      <c r="AJ22" s="94">
        <f t="shared" si="2"/>
        <v>1</v>
      </c>
      <c r="AK22" s="564"/>
      <c r="AL22" s="1"/>
      <c r="AM22" s="1"/>
      <c r="AN22" s="1"/>
      <c r="AQ22" s="2"/>
      <c r="AS22" s="2"/>
    </row>
    <row r="23" spans="1:45" ht="25.35" customHeight="1">
      <c r="A23" s="585"/>
      <c r="B23" s="585"/>
      <c r="C23" s="48" t="s">
        <v>55</v>
      </c>
      <c r="D23" s="504">
        <f t="shared" si="3"/>
        <v>18</v>
      </c>
      <c r="E23" s="185" t="s">
        <v>213</v>
      </c>
      <c r="F23" s="103"/>
      <c r="G23" s="513">
        <v>2</v>
      </c>
      <c r="H23" s="513">
        <v>2</v>
      </c>
      <c r="I23" s="451">
        <v>2</v>
      </c>
      <c r="J23" s="451" t="s">
        <v>145</v>
      </c>
      <c r="K23" s="451">
        <v>1</v>
      </c>
      <c r="L23" s="451">
        <v>1</v>
      </c>
      <c r="M23" s="451">
        <v>1</v>
      </c>
      <c r="N23" s="451">
        <v>1</v>
      </c>
      <c r="O23" s="451">
        <v>1</v>
      </c>
      <c r="P23" s="451"/>
      <c r="Q23" s="451" t="s">
        <v>145</v>
      </c>
      <c r="R23" s="451" t="s">
        <v>51</v>
      </c>
      <c r="S23" s="451" t="s">
        <v>51</v>
      </c>
      <c r="T23" s="451"/>
      <c r="U23" s="451"/>
      <c r="V23" s="451"/>
      <c r="W23" s="451"/>
      <c r="X23" s="451"/>
      <c r="Y23" s="451"/>
      <c r="Z23" s="451"/>
      <c r="AA23" s="451"/>
      <c r="AB23" s="451"/>
      <c r="AC23" s="451"/>
      <c r="AD23" s="451"/>
      <c r="AE23" s="451"/>
      <c r="AF23" s="451"/>
      <c r="AG23" s="451"/>
      <c r="AH23" s="451"/>
      <c r="AI23" s="52"/>
      <c r="AJ23" s="94">
        <f t="shared" si="2"/>
        <v>1</v>
      </c>
      <c r="AK23" s="564"/>
      <c r="AL23" s="1"/>
      <c r="AM23" s="1"/>
      <c r="AN23" s="1"/>
      <c r="AQ23" s="2"/>
      <c r="AS23" s="2"/>
    </row>
    <row r="24" spans="1:45" ht="25.35" customHeight="1">
      <c r="A24" s="585"/>
      <c r="B24" s="585"/>
      <c r="C24" s="48" t="s">
        <v>60</v>
      </c>
      <c r="D24" s="504">
        <f t="shared" si="3"/>
        <v>19</v>
      </c>
      <c r="E24" s="184" t="s">
        <v>192</v>
      </c>
      <c r="F24" s="101"/>
      <c r="G24" s="515">
        <v>2</v>
      </c>
      <c r="H24" s="515">
        <v>2</v>
      </c>
      <c r="I24" s="515">
        <v>2</v>
      </c>
      <c r="J24" s="515" t="s">
        <v>145</v>
      </c>
      <c r="K24" s="515">
        <v>1</v>
      </c>
      <c r="L24" s="515">
        <v>1</v>
      </c>
      <c r="M24" s="515">
        <v>1</v>
      </c>
      <c r="N24" s="451">
        <v>1</v>
      </c>
      <c r="O24" s="515">
        <v>1</v>
      </c>
      <c r="P24" s="515"/>
      <c r="Q24" s="515" t="s">
        <v>145</v>
      </c>
      <c r="R24" s="515">
        <v>3</v>
      </c>
      <c r="S24" s="515"/>
      <c r="T24" s="515"/>
      <c r="U24" s="515"/>
      <c r="V24" s="515"/>
      <c r="W24" s="515"/>
      <c r="X24" s="515"/>
      <c r="Y24" s="515"/>
      <c r="Z24" s="515"/>
      <c r="AA24" s="515"/>
      <c r="AB24" s="515"/>
      <c r="AC24" s="515"/>
      <c r="AD24" s="515"/>
      <c r="AE24" s="515"/>
      <c r="AF24" s="515"/>
      <c r="AG24" s="515"/>
      <c r="AH24" s="515"/>
      <c r="AI24" s="471"/>
      <c r="AJ24" s="94">
        <f t="shared" si="2"/>
        <v>1</v>
      </c>
      <c r="AK24" s="564"/>
      <c r="AL24" s="1"/>
      <c r="AM24" s="1"/>
      <c r="AN24" s="1"/>
      <c r="AQ24" s="2"/>
      <c r="AS24" s="2"/>
    </row>
    <row r="25" spans="1:45" ht="25.35" customHeight="1">
      <c r="A25" s="585"/>
      <c r="B25" s="585"/>
      <c r="C25" s="48"/>
      <c r="D25" s="504">
        <f t="shared" si="3"/>
        <v>20</v>
      </c>
      <c r="E25" s="184" t="s">
        <v>131</v>
      </c>
      <c r="F25" s="101"/>
      <c r="G25" s="515">
        <v>2</v>
      </c>
      <c r="H25" s="515">
        <v>2</v>
      </c>
      <c r="I25" s="515">
        <v>2</v>
      </c>
      <c r="J25" s="515" t="s">
        <v>145</v>
      </c>
      <c r="K25" s="515">
        <v>1</v>
      </c>
      <c r="L25" s="515">
        <v>1</v>
      </c>
      <c r="M25" s="515">
        <v>1</v>
      </c>
      <c r="N25" s="451">
        <v>1</v>
      </c>
      <c r="O25" s="515">
        <v>1</v>
      </c>
      <c r="P25" s="515"/>
      <c r="Q25" s="515" t="s">
        <v>145</v>
      </c>
      <c r="R25" s="515">
        <v>3</v>
      </c>
      <c r="S25" s="515"/>
      <c r="T25" s="515"/>
      <c r="U25" s="515"/>
      <c r="V25" s="515"/>
      <c r="W25" s="515"/>
      <c r="X25" s="515"/>
      <c r="Y25" s="515"/>
      <c r="Z25" s="515"/>
      <c r="AA25" s="515"/>
      <c r="AB25" s="515"/>
      <c r="AC25" s="515"/>
      <c r="AD25" s="515"/>
      <c r="AE25" s="515"/>
      <c r="AF25" s="515"/>
      <c r="AG25" s="515"/>
      <c r="AH25" s="515"/>
      <c r="AI25" s="471"/>
      <c r="AJ25" s="94">
        <f t="shared" si="2"/>
        <v>1</v>
      </c>
      <c r="AK25" s="564"/>
      <c r="AL25" s="1"/>
      <c r="AM25" s="1"/>
      <c r="AN25" s="1"/>
      <c r="AQ25" s="2"/>
      <c r="AS25" s="2"/>
    </row>
    <row r="26" spans="1:45" ht="25.35" customHeight="1">
      <c r="A26" s="585"/>
      <c r="B26" s="585"/>
      <c r="C26" s="48" t="s">
        <v>60</v>
      </c>
      <c r="D26" s="504">
        <f t="shared" si="3"/>
        <v>21</v>
      </c>
      <c r="E26" s="184" t="s">
        <v>223</v>
      </c>
      <c r="F26" s="103"/>
      <c r="G26" s="451">
        <v>2</v>
      </c>
      <c r="H26" s="451">
        <v>2</v>
      </c>
      <c r="I26" s="451">
        <v>2</v>
      </c>
      <c r="J26" s="451" t="s">
        <v>145</v>
      </c>
      <c r="K26" s="451">
        <v>1</v>
      </c>
      <c r="L26" s="451" t="s">
        <v>179</v>
      </c>
      <c r="M26" s="451">
        <v>1</v>
      </c>
      <c r="N26" s="451">
        <v>1</v>
      </c>
      <c r="O26" s="451">
        <v>1</v>
      </c>
      <c r="P26" s="451">
        <v>1</v>
      </c>
      <c r="Q26" s="451"/>
      <c r="R26" s="451">
        <v>1</v>
      </c>
      <c r="S26" s="451">
        <v>1</v>
      </c>
      <c r="T26" s="451"/>
      <c r="U26" s="451"/>
      <c r="V26" s="451"/>
      <c r="W26" s="451"/>
      <c r="X26" s="451"/>
      <c r="Y26" s="451"/>
      <c r="Z26" s="451"/>
      <c r="AA26" s="451"/>
      <c r="AB26" s="451"/>
      <c r="AC26" s="451"/>
      <c r="AD26" s="451"/>
      <c r="AE26" s="451"/>
      <c r="AF26" s="451"/>
      <c r="AG26" s="451"/>
      <c r="AH26" s="451"/>
      <c r="AI26" s="52"/>
      <c r="AJ26" s="94">
        <f t="shared" si="2"/>
        <v>1</v>
      </c>
      <c r="AK26" s="564"/>
      <c r="AL26" s="1"/>
      <c r="AM26" s="1"/>
      <c r="AN26" s="1"/>
      <c r="AQ26" s="2"/>
      <c r="AS26" s="2"/>
    </row>
    <row r="27" spans="1:45" ht="25.35" customHeight="1" thickBot="1">
      <c r="A27" s="585"/>
      <c r="B27" s="585"/>
      <c r="C27" s="48"/>
      <c r="D27" s="510">
        <f>D26+1</f>
        <v>22</v>
      </c>
      <c r="E27" s="185"/>
      <c r="F27" s="106"/>
      <c r="G27" s="516"/>
      <c r="H27" s="479"/>
      <c r="I27" s="479"/>
      <c r="J27" s="479"/>
      <c r="K27" s="479"/>
      <c r="L27" s="479"/>
      <c r="M27" s="479"/>
      <c r="N27" s="479"/>
      <c r="O27" s="479"/>
      <c r="P27" s="479"/>
      <c r="Q27" s="479"/>
      <c r="R27" s="479"/>
      <c r="S27" s="479"/>
      <c r="T27" s="479"/>
      <c r="U27" s="479"/>
      <c r="V27" s="479"/>
      <c r="W27" s="479"/>
      <c r="X27" s="479"/>
      <c r="Y27" s="479"/>
      <c r="Z27" s="479"/>
      <c r="AA27" s="479"/>
      <c r="AB27" s="479"/>
      <c r="AC27" s="479"/>
      <c r="AD27" s="479"/>
      <c r="AE27" s="479"/>
      <c r="AF27" s="479"/>
      <c r="AG27" s="479"/>
      <c r="AH27" s="479"/>
      <c r="AI27" s="472"/>
      <c r="AJ27" s="506" t="str">
        <f>IF((COUNTIF(G27:AH27, "x")+COUNTIF(G27:AH27, "1")+COUNTIF(G27:AH27, "2")+COUNTIF(G27:AH27, "3"))=0, "", (COUNTIF(G27:AH27, "1")+COUNTIF(G27:AH27, "2")+COUNTIF(G27:AH27, "3"))/(COUNTIF(G27:AH27, "x")+COUNTIF(G27:AH27, "1")+COUNTIF(G27:AH27, "2")+COUNTIF(G27:AH27, "3")))</f>
        <v/>
      </c>
      <c r="AK27" s="574"/>
      <c r="AL27" s="1"/>
      <c r="AM27" s="1"/>
      <c r="AN27" s="1"/>
      <c r="AQ27" s="2"/>
      <c r="AS27" s="2"/>
    </row>
    <row r="28" spans="1:45" ht="25.35" customHeight="1">
      <c r="A28" s="163"/>
      <c r="B28" s="163"/>
      <c r="C28" s="48"/>
      <c r="D28" s="172"/>
      <c r="E28" s="489"/>
      <c r="F28" s="30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  <c r="AG28" s="517"/>
      <c r="AH28" s="517"/>
      <c r="AI28" s="473"/>
      <c r="AJ28" s="165"/>
      <c r="AK28" s="173"/>
      <c r="AL28" s="1"/>
      <c r="AM28" s="1"/>
      <c r="AN28" s="1"/>
      <c r="AQ28" s="2"/>
      <c r="AS28" s="2"/>
    </row>
    <row r="29" spans="1:45" ht="4.1500000000000004" customHeight="1" thickBot="1">
      <c r="B29" s="107"/>
      <c r="C29" s="152" t="s">
        <v>165</v>
      </c>
      <c r="D29" s="174"/>
      <c r="E29" s="164"/>
      <c r="F29" s="164"/>
      <c r="G29" s="518"/>
      <c r="H29" s="518"/>
      <c r="I29" s="518"/>
      <c r="J29" s="518"/>
      <c r="K29" s="518"/>
      <c r="L29" s="519"/>
      <c r="M29" s="519"/>
      <c r="N29" s="519"/>
      <c r="O29" s="519"/>
      <c r="P29" s="519"/>
      <c r="Q29" s="519"/>
      <c r="R29" s="519"/>
      <c r="S29" s="519"/>
      <c r="T29" s="519"/>
      <c r="U29" s="519"/>
      <c r="V29" s="519"/>
      <c r="W29" s="519"/>
      <c r="X29" s="519"/>
      <c r="Y29" s="519"/>
      <c r="Z29" s="519"/>
      <c r="AA29" s="519"/>
      <c r="AB29" s="519"/>
      <c r="AC29" s="519"/>
      <c r="AD29" s="519"/>
      <c r="AE29" s="519"/>
      <c r="AF29" s="519"/>
      <c r="AG29" s="519"/>
      <c r="AH29" s="519"/>
      <c r="AI29" s="475"/>
      <c r="AJ29" s="23" t="s">
        <v>163</v>
      </c>
      <c r="AK29" s="175"/>
      <c r="AL29" s="23"/>
      <c r="AM29" s="23"/>
      <c r="AN29" s="23"/>
      <c r="AQ29" s="2"/>
      <c r="AS29" s="2"/>
    </row>
    <row r="30" spans="1:45" ht="25.35" hidden="1" customHeight="1">
      <c r="B30" s="108"/>
      <c r="C30" s="49"/>
      <c r="D30" s="95">
        <v>1</v>
      </c>
      <c r="E30" s="77" t="s">
        <v>17</v>
      </c>
      <c r="F30" s="101" t="s">
        <v>142</v>
      </c>
      <c r="G30" s="511"/>
      <c r="H30" s="520"/>
      <c r="I30" s="520"/>
      <c r="J30" s="520"/>
      <c r="K30" s="520"/>
      <c r="L30" s="520"/>
      <c r="M30" s="520"/>
      <c r="N30" s="520"/>
      <c r="O30" s="520"/>
      <c r="P30" s="520"/>
      <c r="Q30" s="520"/>
      <c r="R30" s="520"/>
      <c r="S30" s="520"/>
      <c r="T30" s="520"/>
      <c r="U30" s="520"/>
      <c r="V30" s="520"/>
      <c r="W30" s="520"/>
      <c r="X30" s="520"/>
      <c r="Y30" s="520"/>
      <c r="Z30" s="520"/>
      <c r="AA30" s="520"/>
      <c r="AB30" s="520"/>
      <c r="AC30" s="520"/>
      <c r="AD30" s="520"/>
      <c r="AE30" s="520"/>
      <c r="AF30" s="520"/>
      <c r="AG30" s="520"/>
      <c r="AH30" s="520"/>
      <c r="AI30" s="470"/>
      <c r="AJ30" s="485"/>
      <c r="AK30" s="166"/>
      <c r="AL30" s="1"/>
      <c r="AM30" s="1"/>
      <c r="AN30" s="1"/>
      <c r="AQ30" s="2"/>
      <c r="AS30" s="2"/>
    </row>
    <row r="31" spans="1:45" ht="25.35" hidden="1" customHeight="1">
      <c r="B31" s="108"/>
      <c r="C31" s="49"/>
      <c r="D31" s="95">
        <v>2</v>
      </c>
      <c r="E31" s="77" t="s">
        <v>29</v>
      </c>
      <c r="F31" s="97" t="s">
        <v>143</v>
      </c>
      <c r="G31" s="451"/>
      <c r="H31" s="451"/>
      <c r="I31" s="451"/>
      <c r="J31" s="451"/>
      <c r="K31" s="451"/>
      <c r="L31" s="451"/>
      <c r="M31" s="451"/>
      <c r="N31" s="451"/>
      <c r="O31" s="451"/>
      <c r="P31" s="451"/>
      <c r="Q31" s="451"/>
      <c r="R31" s="451"/>
      <c r="S31" s="451"/>
      <c r="T31" s="451"/>
      <c r="U31" s="451"/>
      <c r="V31" s="451"/>
      <c r="W31" s="451"/>
      <c r="X31" s="451"/>
      <c r="Y31" s="451"/>
      <c r="Z31" s="451"/>
      <c r="AA31" s="451"/>
      <c r="AB31" s="451"/>
      <c r="AC31" s="451"/>
      <c r="AD31" s="451"/>
      <c r="AE31" s="451"/>
      <c r="AF31" s="451"/>
      <c r="AG31" s="451"/>
      <c r="AH31" s="451"/>
      <c r="AI31" s="52"/>
      <c r="AJ31" s="485"/>
      <c r="AK31" s="166"/>
      <c r="AL31" s="1"/>
      <c r="AM31" s="1"/>
      <c r="AN31" s="1"/>
      <c r="AQ31" s="2"/>
      <c r="AS31" s="2"/>
    </row>
    <row r="32" spans="1:45" ht="25.35" hidden="1" customHeight="1">
      <c r="B32" s="110"/>
      <c r="C32" s="49"/>
      <c r="D32" s="167">
        <v>3</v>
      </c>
      <c r="E32" s="154" t="s">
        <v>30</v>
      </c>
      <c r="F32" s="480" t="s">
        <v>143</v>
      </c>
      <c r="G32" s="515"/>
      <c r="H32" s="515"/>
      <c r="I32" s="515"/>
      <c r="J32" s="515"/>
      <c r="K32" s="515"/>
      <c r="L32" s="515"/>
      <c r="M32" s="515"/>
      <c r="N32" s="515"/>
      <c r="O32" s="515"/>
      <c r="P32" s="515"/>
      <c r="Q32" s="515"/>
      <c r="R32" s="515"/>
      <c r="S32" s="515"/>
      <c r="T32" s="515"/>
      <c r="U32" s="515"/>
      <c r="V32" s="515"/>
      <c r="W32" s="515"/>
      <c r="X32" s="515"/>
      <c r="Y32" s="515"/>
      <c r="Z32" s="515"/>
      <c r="AA32" s="515"/>
      <c r="AB32" s="515"/>
      <c r="AC32" s="515"/>
      <c r="AD32" s="515"/>
      <c r="AE32" s="515"/>
      <c r="AF32" s="515"/>
      <c r="AG32" s="515"/>
      <c r="AH32" s="515"/>
      <c r="AI32" s="471"/>
      <c r="AJ32" s="486"/>
      <c r="AK32" s="168"/>
      <c r="AL32" s="1"/>
      <c r="AM32" s="1"/>
      <c r="AN32" s="1"/>
      <c r="AQ32" s="2"/>
      <c r="AS32" s="2"/>
    </row>
    <row r="33" spans="1:45" ht="30" customHeight="1" thickBot="1">
      <c r="B33" s="110"/>
      <c r="C33" s="47" t="s">
        <v>166</v>
      </c>
      <c r="D33" s="565" t="s">
        <v>141</v>
      </c>
      <c r="E33" s="566"/>
      <c r="F33" s="155"/>
      <c r="G33" s="476" t="s">
        <v>373</v>
      </c>
      <c r="H33" s="477" t="s">
        <v>371</v>
      </c>
      <c r="I33" s="477" t="s">
        <v>373</v>
      </c>
      <c r="J33" s="477" t="s">
        <v>371</v>
      </c>
      <c r="K33" s="477"/>
      <c r="L33" s="477" t="s">
        <v>374</v>
      </c>
      <c r="M33" s="477" t="s">
        <v>371</v>
      </c>
      <c r="N33" s="477" t="s">
        <v>373</v>
      </c>
      <c r="O33" s="477" t="s">
        <v>371</v>
      </c>
      <c r="P33" s="477" t="s">
        <v>373</v>
      </c>
      <c r="Q33" s="477" t="s">
        <v>371</v>
      </c>
      <c r="R33" s="477"/>
      <c r="S33" s="477"/>
      <c r="T33" s="477"/>
      <c r="U33" s="477"/>
      <c r="V33" s="477"/>
      <c r="W33" s="477"/>
      <c r="X33" s="477"/>
      <c r="Y33" s="477"/>
      <c r="Z33" s="477"/>
      <c r="AA33" s="477"/>
      <c r="AB33" s="477"/>
      <c r="AC33" s="477"/>
      <c r="AD33" s="477"/>
      <c r="AE33" s="477"/>
      <c r="AF33" s="477"/>
      <c r="AG33" s="477"/>
      <c r="AH33" s="477"/>
      <c r="AI33" s="477"/>
      <c r="AJ33" s="161"/>
      <c r="AK33" s="162"/>
      <c r="AL33" s="1"/>
      <c r="AM33" s="1"/>
      <c r="AN33" s="1"/>
      <c r="AQ33" s="2"/>
      <c r="AS33" s="2"/>
    </row>
    <row r="34" spans="1:45" ht="25.35" customHeight="1">
      <c r="A34" s="567" t="s">
        <v>185</v>
      </c>
      <c r="B34" s="567"/>
      <c r="C34" s="49" t="s">
        <v>55</v>
      </c>
      <c r="D34" s="91">
        <v>1</v>
      </c>
      <c r="E34" s="178" t="s">
        <v>217</v>
      </c>
      <c r="F34" s="93"/>
      <c r="G34" s="521">
        <v>1</v>
      </c>
      <c r="H34" s="511">
        <v>1</v>
      </c>
      <c r="I34" s="511">
        <v>1</v>
      </c>
      <c r="J34" s="511">
        <v>1</v>
      </c>
      <c r="K34" s="511" t="s">
        <v>145</v>
      </c>
      <c r="L34" s="511">
        <v>3</v>
      </c>
      <c r="M34" s="511">
        <v>3</v>
      </c>
      <c r="N34" s="511">
        <v>3</v>
      </c>
      <c r="O34" s="511">
        <v>3</v>
      </c>
      <c r="P34" s="511">
        <v>3</v>
      </c>
      <c r="Q34" s="511" t="s">
        <v>51</v>
      </c>
      <c r="R34" s="511"/>
      <c r="S34" s="511"/>
      <c r="T34" s="511"/>
      <c r="U34" s="511"/>
      <c r="V34" s="511"/>
      <c r="W34" s="511"/>
      <c r="X34" s="511"/>
      <c r="Y34" s="511"/>
      <c r="Z34" s="511"/>
      <c r="AA34" s="511"/>
      <c r="AB34" s="511"/>
      <c r="AC34" s="511"/>
      <c r="AD34" s="511"/>
      <c r="AE34" s="511"/>
      <c r="AF34" s="511"/>
      <c r="AG34" s="511"/>
      <c r="AH34" s="511"/>
      <c r="AI34" s="470"/>
      <c r="AJ34" s="94">
        <f t="shared" ref="AJ34:AJ54" si="4">IF((COUNTIF(G34:AH34, "x")+COUNTIF(G34:AH34, "1")+COUNTIF(G34:AH34, "2")+COUNTIF(G34:AH34, "3")+COUNTIF(G34:AH34, "L")+COUNTIF(G34:AH34, "VL")+COUNTIF(G34:AH34, "SL")+COUNTIF(G34:AH34, "EL"))=0, "", (COUNTIF(G34:AH34, "1")+COUNTIF(G34:AH34, "2")+COUNTIF(G34:AH34, "3")+COUNTIF(G34:AH34, "L")+COUNTIF(G34:AH34, "VL")+COUNTIF(G34:AH34, "SL")+COUNTIF(G34:AH34, "EL"))/(COUNTIF(G34:AH34, "x")+COUNTIF(G34:AH34, "1")+COUNTIF(G34:AH34, "2")+COUNTIF(G34:AH34, "3")+COUNTIF(G34:AH34, "L")+COUNTIF(G34:AH34, "VL")+COUNTIF(G34:AH34, "SL")+COUNTIF(G34:AH34, "EL")))</f>
        <v>1</v>
      </c>
      <c r="AK34" s="568">
        <f>AVERAGE(AJ34:AJ55)</f>
        <v>1</v>
      </c>
      <c r="AL34" s="1"/>
      <c r="AM34" s="1"/>
      <c r="AN34" s="1"/>
      <c r="AQ34" s="2"/>
      <c r="AS34" s="2"/>
    </row>
    <row r="35" spans="1:45" ht="25.35" customHeight="1">
      <c r="A35" s="567"/>
      <c r="B35" s="567"/>
      <c r="C35" s="49" t="s">
        <v>55</v>
      </c>
      <c r="D35" s="504">
        <f>D34+1</f>
        <v>2</v>
      </c>
      <c r="E35" s="179" t="s">
        <v>362</v>
      </c>
      <c r="F35" s="101"/>
      <c r="G35" s="521">
        <v>1</v>
      </c>
      <c r="H35" s="451">
        <v>1</v>
      </c>
      <c r="I35" s="451">
        <v>1</v>
      </c>
      <c r="J35" s="451">
        <v>1</v>
      </c>
      <c r="K35" s="511" t="s">
        <v>145</v>
      </c>
      <c r="L35" s="451">
        <v>3</v>
      </c>
      <c r="M35" s="451">
        <v>3</v>
      </c>
      <c r="N35" s="451">
        <v>3</v>
      </c>
      <c r="O35" s="511" t="s">
        <v>145</v>
      </c>
      <c r="P35" s="451" t="s">
        <v>145</v>
      </c>
      <c r="Q35" s="451">
        <v>1</v>
      </c>
      <c r="R35" s="451">
        <v>1</v>
      </c>
      <c r="S35" s="451">
        <v>1</v>
      </c>
      <c r="T35" s="451"/>
      <c r="U35" s="451"/>
      <c r="V35" s="451"/>
      <c r="W35" s="451"/>
      <c r="X35" s="451"/>
      <c r="Y35" s="451"/>
      <c r="Z35" s="451"/>
      <c r="AA35" s="451"/>
      <c r="AB35" s="451"/>
      <c r="AC35" s="451"/>
      <c r="AD35" s="451"/>
      <c r="AE35" s="451"/>
      <c r="AF35" s="451"/>
      <c r="AG35" s="451"/>
      <c r="AH35" s="451"/>
      <c r="AI35" s="52"/>
      <c r="AJ35" s="94">
        <f t="shared" si="4"/>
        <v>1</v>
      </c>
      <c r="AK35" s="569"/>
      <c r="AL35" s="1"/>
      <c r="AM35" s="1"/>
      <c r="AN35" s="1"/>
      <c r="AQ35" s="2"/>
      <c r="AS35" s="2"/>
    </row>
    <row r="36" spans="1:45" ht="25.35" customHeight="1">
      <c r="A36" s="567"/>
      <c r="B36" s="567"/>
      <c r="C36" s="49" t="s">
        <v>55</v>
      </c>
      <c r="D36" s="504">
        <f>D35+1</f>
        <v>3</v>
      </c>
      <c r="E36" s="179" t="s">
        <v>366</v>
      </c>
      <c r="F36" s="97"/>
      <c r="G36" s="521">
        <v>1</v>
      </c>
      <c r="H36" s="451">
        <v>1</v>
      </c>
      <c r="I36" s="451">
        <v>1</v>
      </c>
      <c r="J36" s="451">
        <v>1</v>
      </c>
      <c r="K36" s="511" t="s">
        <v>145</v>
      </c>
      <c r="L36" s="451">
        <v>3</v>
      </c>
      <c r="M36" s="451">
        <v>3</v>
      </c>
      <c r="N36" s="451">
        <v>3</v>
      </c>
      <c r="O36" s="511">
        <v>3</v>
      </c>
      <c r="P36" s="451">
        <v>3</v>
      </c>
      <c r="Q36" s="451">
        <v>3</v>
      </c>
      <c r="R36" s="451"/>
      <c r="S36" s="451"/>
      <c r="T36" s="451"/>
      <c r="U36" s="451"/>
      <c r="V36" s="451"/>
      <c r="W36" s="451"/>
      <c r="X36" s="451"/>
      <c r="Y36" s="451"/>
      <c r="Z36" s="451"/>
      <c r="AA36" s="451"/>
      <c r="AB36" s="451"/>
      <c r="AC36" s="451"/>
      <c r="AD36" s="451"/>
      <c r="AE36" s="451"/>
      <c r="AF36" s="451"/>
      <c r="AG36" s="451"/>
      <c r="AH36" s="451"/>
      <c r="AI36" s="52"/>
      <c r="AJ36" s="94">
        <f t="shared" si="4"/>
        <v>1</v>
      </c>
      <c r="AK36" s="569"/>
      <c r="AL36" s="1"/>
      <c r="AM36" s="1"/>
      <c r="AN36" s="1"/>
      <c r="AQ36" s="2"/>
      <c r="AS36" s="2"/>
    </row>
    <row r="37" spans="1:45" ht="25.35" customHeight="1">
      <c r="A37" s="567"/>
      <c r="B37" s="567"/>
      <c r="C37" s="49" t="s">
        <v>60</v>
      </c>
      <c r="D37" s="504">
        <f>D36+1</f>
        <v>4</v>
      </c>
      <c r="E37" s="178" t="s">
        <v>127</v>
      </c>
      <c r="F37" s="97"/>
      <c r="G37" s="521">
        <v>1</v>
      </c>
      <c r="H37" s="451" t="s">
        <v>190</v>
      </c>
      <c r="I37" s="451">
        <v>1</v>
      </c>
      <c r="J37" s="451">
        <v>1</v>
      </c>
      <c r="K37" s="511" t="s">
        <v>145</v>
      </c>
      <c r="L37" s="451" t="s">
        <v>190</v>
      </c>
      <c r="M37" s="451" t="s">
        <v>190</v>
      </c>
      <c r="N37" s="451" t="s">
        <v>190</v>
      </c>
      <c r="O37" s="511">
        <v>3</v>
      </c>
      <c r="P37" s="451">
        <v>3</v>
      </c>
      <c r="Q37" s="451">
        <v>3</v>
      </c>
      <c r="R37" s="451"/>
      <c r="S37" s="451"/>
      <c r="T37" s="451"/>
      <c r="U37" s="451"/>
      <c r="V37" s="451"/>
      <c r="W37" s="451"/>
      <c r="X37" s="451"/>
      <c r="Y37" s="451"/>
      <c r="Z37" s="451"/>
      <c r="AA37" s="451"/>
      <c r="AB37" s="451"/>
      <c r="AC37" s="451"/>
      <c r="AD37" s="451"/>
      <c r="AE37" s="451"/>
      <c r="AF37" s="451"/>
      <c r="AG37" s="451"/>
      <c r="AH37" s="451"/>
      <c r="AI37" s="52"/>
      <c r="AJ37" s="94">
        <f t="shared" si="4"/>
        <v>1</v>
      </c>
      <c r="AK37" s="569"/>
      <c r="AL37" s="1"/>
      <c r="AM37" s="1"/>
      <c r="AN37" s="1"/>
      <c r="AQ37" s="2"/>
      <c r="AS37" s="2"/>
    </row>
    <row r="38" spans="1:45" ht="25.35" customHeight="1">
      <c r="A38" s="567"/>
      <c r="B38" s="567"/>
      <c r="C38" s="49" t="s">
        <v>60</v>
      </c>
      <c r="D38" s="504">
        <f t="shared" ref="D38:D55" si="5">D37+1</f>
        <v>5</v>
      </c>
      <c r="E38" s="178" t="s">
        <v>12</v>
      </c>
      <c r="F38" s="97"/>
      <c r="G38" s="521">
        <v>1</v>
      </c>
      <c r="H38" s="451" t="s">
        <v>51</v>
      </c>
      <c r="I38" s="451" t="s">
        <v>51</v>
      </c>
      <c r="J38" s="451">
        <v>1</v>
      </c>
      <c r="K38" s="511" t="s">
        <v>145</v>
      </c>
      <c r="L38" s="451">
        <v>3</v>
      </c>
      <c r="M38" s="451">
        <v>3</v>
      </c>
      <c r="N38" s="451">
        <v>3</v>
      </c>
      <c r="O38" s="511">
        <v>3</v>
      </c>
      <c r="P38" s="451">
        <v>3</v>
      </c>
      <c r="Q38" s="451">
        <v>3</v>
      </c>
      <c r="R38" s="451"/>
      <c r="S38" s="451"/>
      <c r="T38" s="451"/>
      <c r="U38" s="451"/>
      <c r="V38" s="451"/>
      <c r="W38" s="451"/>
      <c r="X38" s="451"/>
      <c r="Y38" s="451"/>
      <c r="Z38" s="451"/>
      <c r="AA38" s="451"/>
      <c r="AB38" s="451"/>
      <c r="AC38" s="451"/>
      <c r="AD38" s="451"/>
      <c r="AE38" s="451"/>
      <c r="AF38" s="451"/>
      <c r="AG38" s="451"/>
      <c r="AH38" s="451"/>
      <c r="AI38" s="52"/>
      <c r="AJ38" s="94">
        <f t="shared" si="4"/>
        <v>1</v>
      </c>
      <c r="AK38" s="569"/>
      <c r="AL38" s="1"/>
      <c r="AM38" s="1"/>
      <c r="AN38" s="1"/>
      <c r="AQ38" s="2"/>
      <c r="AS38" s="2"/>
    </row>
    <row r="39" spans="1:45" ht="25.35" customHeight="1">
      <c r="A39" s="567"/>
      <c r="B39" s="567"/>
      <c r="C39" s="49" t="s">
        <v>60</v>
      </c>
      <c r="D39" s="504">
        <f t="shared" si="5"/>
        <v>6</v>
      </c>
      <c r="E39" s="178" t="s">
        <v>50</v>
      </c>
      <c r="F39" s="97"/>
      <c r="G39" s="521">
        <v>1</v>
      </c>
      <c r="H39" s="451">
        <v>1</v>
      </c>
      <c r="I39" s="451">
        <v>1</v>
      </c>
      <c r="J39" s="451">
        <v>1</v>
      </c>
      <c r="K39" s="511" t="s">
        <v>145</v>
      </c>
      <c r="L39" s="451">
        <v>3</v>
      </c>
      <c r="M39" s="451">
        <v>3</v>
      </c>
      <c r="N39" s="451">
        <v>3</v>
      </c>
      <c r="O39" s="511">
        <v>3</v>
      </c>
      <c r="P39" s="451">
        <v>3</v>
      </c>
      <c r="Q39" s="451">
        <v>3</v>
      </c>
      <c r="R39" s="451"/>
      <c r="S39" s="451"/>
      <c r="T39" s="451"/>
      <c r="U39" s="451"/>
      <c r="V39" s="451"/>
      <c r="W39" s="451"/>
      <c r="X39" s="451"/>
      <c r="Y39" s="451"/>
      <c r="Z39" s="451"/>
      <c r="AA39" s="451"/>
      <c r="AB39" s="451"/>
      <c r="AC39" s="451"/>
      <c r="AD39" s="451"/>
      <c r="AE39" s="451"/>
      <c r="AF39" s="451"/>
      <c r="AG39" s="451"/>
      <c r="AH39" s="451"/>
      <c r="AI39" s="52"/>
      <c r="AJ39" s="94">
        <f t="shared" si="4"/>
        <v>1</v>
      </c>
      <c r="AK39" s="569"/>
      <c r="AL39" s="1"/>
      <c r="AM39" s="1"/>
      <c r="AN39" s="1"/>
      <c r="AQ39" s="2"/>
      <c r="AS39" s="2"/>
    </row>
    <row r="40" spans="1:45" ht="25.35" customHeight="1">
      <c r="A40" s="567"/>
      <c r="B40" s="567"/>
      <c r="C40" s="49" t="s">
        <v>60</v>
      </c>
      <c r="D40" s="504">
        <f t="shared" si="5"/>
        <v>7</v>
      </c>
      <c r="E40" s="178" t="s">
        <v>126</v>
      </c>
      <c r="F40" s="97"/>
      <c r="G40" s="521">
        <v>1</v>
      </c>
      <c r="H40" s="451">
        <v>1</v>
      </c>
      <c r="I40" s="451">
        <v>1</v>
      </c>
      <c r="J40" s="451">
        <v>1</v>
      </c>
      <c r="K40" s="511" t="s">
        <v>145</v>
      </c>
      <c r="L40" s="451">
        <v>3</v>
      </c>
      <c r="M40" s="451">
        <v>3</v>
      </c>
      <c r="N40" s="451" t="s">
        <v>179</v>
      </c>
      <c r="O40" s="511">
        <v>3</v>
      </c>
      <c r="P40" s="451">
        <v>3</v>
      </c>
      <c r="Q40" s="451">
        <v>3</v>
      </c>
      <c r="R40" s="451"/>
      <c r="S40" s="451"/>
      <c r="T40" s="451"/>
      <c r="U40" s="451"/>
      <c r="V40" s="451"/>
      <c r="W40" s="451"/>
      <c r="X40" s="451"/>
      <c r="Y40" s="451"/>
      <c r="Z40" s="451"/>
      <c r="AA40" s="451"/>
      <c r="AB40" s="451"/>
      <c r="AC40" s="451"/>
      <c r="AD40" s="451"/>
      <c r="AE40" s="451"/>
      <c r="AF40" s="451"/>
      <c r="AG40" s="451"/>
      <c r="AH40" s="451"/>
      <c r="AI40" s="52"/>
      <c r="AJ40" s="94">
        <f t="shared" si="4"/>
        <v>1</v>
      </c>
      <c r="AK40" s="569"/>
      <c r="AL40" s="1"/>
      <c r="AM40" s="1"/>
      <c r="AN40" s="1"/>
      <c r="AQ40" s="2"/>
      <c r="AS40" s="2"/>
    </row>
    <row r="41" spans="1:45" ht="25.35" customHeight="1">
      <c r="A41" s="567"/>
      <c r="B41" s="567"/>
      <c r="C41" s="49" t="s">
        <v>60</v>
      </c>
      <c r="D41" s="504">
        <f t="shared" si="5"/>
        <v>8</v>
      </c>
      <c r="E41" s="178" t="s">
        <v>365</v>
      </c>
      <c r="F41" s="97"/>
      <c r="G41" s="521">
        <v>1</v>
      </c>
      <c r="H41" s="451">
        <v>1</v>
      </c>
      <c r="I41" s="451">
        <v>1</v>
      </c>
      <c r="J41" s="451">
        <v>1</v>
      </c>
      <c r="K41" s="511" t="s">
        <v>145</v>
      </c>
      <c r="L41" s="451">
        <v>3</v>
      </c>
      <c r="M41" s="451">
        <v>3</v>
      </c>
      <c r="N41" s="451">
        <v>3</v>
      </c>
      <c r="O41" s="511">
        <v>3</v>
      </c>
      <c r="P41" s="451">
        <v>3</v>
      </c>
      <c r="Q41" s="451">
        <v>3</v>
      </c>
      <c r="R41" s="451"/>
      <c r="S41" s="451"/>
      <c r="T41" s="451"/>
      <c r="U41" s="451"/>
      <c r="V41" s="451"/>
      <c r="W41" s="451"/>
      <c r="X41" s="451"/>
      <c r="Y41" s="451"/>
      <c r="Z41" s="451"/>
      <c r="AA41" s="451"/>
      <c r="AB41" s="451"/>
      <c r="AC41" s="451"/>
      <c r="AD41" s="451"/>
      <c r="AE41" s="451"/>
      <c r="AF41" s="451"/>
      <c r="AG41" s="451"/>
      <c r="AH41" s="451"/>
      <c r="AI41" s="52"/>
      <c r="AJ41" s="94">
        <f t="shared" si="4"/>
        <v>1</v>
      </c>
      <c r="AK41" s="569"/>
      <c r="AL41" s="1"/>
      <c r="AM41" s="1"/>
      <c r="AN41" s="1"/>
      <c r="AQ41" s="2"/>
      <c r="AS41" s="2"/>
    </row>
    <row r="42" spans="1:45" ht="25.35" customHeight="1">
      <c r="A42" s="567"/>
      <c r="B42" s="567"/>
      <c r="C42" s="49" t="s">
        <v>55</v>
      </c>
      <c r="D42" s="504">
        <f t="shared" si="5"/>
        <v>9</v>
      </c>
      <c r="E42" s="178" t="s">
        <v>210</v>
      </c>
      <c r="F42" s="97"/>
      <c r="G42" s="521">
        <v>1</v>
      </c>
      <c r="H42" s="451">
        <v>1</v>
      </c>
      <c r="I42" s="451">
        <v>1</v>
      </c>
      <c r="J42" s="451">
        <v>1</v>
      </c>
      <c r="K42" s="511" t="s">
        <v>145</v>
      </c>
      <c r="L42" s="451">
        <v>1</v>
      </c>
      <c r="M42" s="451">
        <v>3</v>
      </c>
      <c r="N42" s="451">
        <v>3</v>
      </c>
      <c r="O42" s="511">
        <v>3</v>
      </c>
      <c r="P42" s="451">
        <v>3</v>
      </c>
      <c r="Q42" s="451">
        <v>3</v>
      </c>
      <c r="R42" s="451"/>
      <c r="S42" s="451"/>
      <c r="T42" s="451"/>
      <c r="U42" s="451"/>
      <c r="V42" s="451"/>
      <c r="W42" s="451"/>
      <c r="X42" s="451"/>
      <c r="Y42" s="451"/>
      <c r="Z42" s="451"/>
      <c r="AA42" s="451"/>
      <c r="AB42" s="451"/>
      <c r="AC42" s="451"/>
      <c r="AD42" s="451"/>
      <c r="AE42" s="451"/>
      <c r="AF42" s="451"/>
      <c r="AG42" s="451"/>
      <c r="AH42" s="451"/>
      <c r="AI42" s="52"/>
      <c r="AJ42" s="94">
        <f t="shared" si="4"/>
        <v>1</v>
      </c>
      <c r="AK42" s="569"/>
      <c r="AL42" s="1"/>
      <c r="AM42" s="1"/>
      <c r="AN42" s="1"/>
      <c r="AQ42" s="2"/>
      <c r="AS42" s="2"/>
    </row>
    <row r="43" spans="1:45" ht="25.35" customHeight="1">
      <c r="A43" s="567"/>
      <c r="B43" s="567"/>
      <c r="C43" s="49" t="s">
        <v>55</v>
      </c>
      <c r="D43" s="504">
        <f t="shared" si="5"/>
        <v>10</v>
      </c>
      <c r="E43" s="185" t="s">
        <v>133</v>
      </c>
      <c r="F43" s="97"/>
      <c r="G43" s="523" t="s">
        <v>51</v>
      </c>
      <c r="H43" s="451">
        <v>1</v>
      </c>
      <c r="I43" s="451">
        <v>1</v>
      </c>
      <c r="J43" s="451">
        <v>1</v>
      </c>
      <c r="K43" s="511" t="s">
        <v>145</v>
      </c>
      <c r="L43" s="451">
        <v>3</v>
      </c>
      <c r="M43" s="451">
        <v>3</v>
      </c>
      <c r="N43" s="451">
        <v>3</v>
      </c>
      <c r="O43" s="511">
        <v>3</v>
      </c>
      <c r="P43" s="451">
        <v>3</v>
      </c>
      <c r="Q43" s="451">
        <v>3</v>
      </c>
      <c r="R43" s="451"/>
      <c r="S43" s="451"/>
      <c r="T43" s="451"/>
      <c r="U43" s="451"/>
      <c r="V43" s="451"/>
      <c r="W43" s="451"/>
      <c r="X43" s="451"/>
      <c r="Y43" s="451"/>
      <c r="Z43" s="451"/>
      <c r="AA43" s="451"/>
      <c r="AB43" s="451"/>
      <c r="AC43" s="451"/>
      <c r="AD43" s="451"/>
      <c r="AE43" s="451"/>
      <c r="AF43" s="451"/>
      <c r="AG43" s="451"/>
      <c r="AH43" s="451"/>
      <c r="AI43" s="52"/>
      <c r="AJ43" s="94">
        <f t="shared" si="4"/>
        <v>1</v>
      </c>
      <c r="AK43" s="569"/>
      <c r="AL43" s="1"/>
      <c r="AM43" s="1"/>
      <c r="AN43" s="1"/>
      <c r="AQ43" s="2"/>
      <c r="AS43" s="2"/>
    </row>
    <row r="44" spans="1:45" ht="25.35" customHeight="1">
      <c r="A44" s="567"/>
      <c r="B44" s="567"/>
      <c r="C44" s="49" t="s">
        <v>55</v>
      </c>
      <c r="D44" s="504">
        <f t="shared" si="5"/>
        <v>11</v>
      </c>
      <c r="E44" s="178" t="s">
        <v>219</v>
      </c>
      <c r="F44" s="102"/>
      <c r="G44" s="523">
        <v>1</v>
      </c>
      <c r="H44" s="451">
        <v>1</v>
      </c>
      <c r="I44" s="451">
        <v>1</v>
      </c>
      <c r="J44" s="451">
        <v>1</v>
      </c>
      <c r="K44" s="511" t="s">
        <v>145</v>
      </c>
      <c r="L44" s="451">
        <v>3</v>
      </c>
      <c r="M44" s="451">
        <v>3</v>
      </c>
      <c r="N44" s="451" t="s">
        <v>51</v>
      </c>
      <c r="O44" s="511" t="s">
        <v>51</v>
      </c>
      <c r="P44" s="451" t="s">
        <v>51</v>
      </c>
      <c r="Q44" s="451">
        <v>3</v>
      </c>
      <c r="R44" s="451"/>
      <c r="S44" s="451"/>
      <c r="T44" s="451"/>
      <c r="U44" s="451"/>
      <c r="V44" s="451"/>
      <c r="W44" s="451"/>
      <c r="X44" s="451"/>
      <c r="Y44" s="451"/>
      <c r="Z44" s="451"/>
      <c r="AA44" s="451"/>
      <c r="AB44" s="451"/>
      <c r="AC44" s="451"/>
      <c r="AD44" s="451"/>
      <c r="AE44" s="451"/>
      <c r="AF44" s="451"/>
      <c r="AG44" s="451"/>
      <c r="AH44" s="451"/>
      <c r="AI44" s="52"/>
      <c r="AJ44" s="94">
        <f t="shared" si="4"/>
        <v>1</v>
      </c>
      <c r="AK44" s="569"/>
      <c r="AL44" s="1"/>
      <c r="AM44" s="1"/>
      <c r="AN44" s="1"/>
      <c r="AQ44" s="2"/>
      <c r="AS44" s="2"/>
    </row>
    <row r="45" spans="1:45" ht="25.35" customHeight="1">
      <c r="A45" s="567"/>
      <c r="B45" s="567"/>
      <c r="C45" s="49" t="s">
        <v>60</v>
      </c>
      <c r="D45" s="504">
        <f t="shared" si="5"/>
        <v>12</v>
      </c>
      <c r="E45" s="178" t="s">
        <v>158</v>
      </c>
      <c r="F45" s="102"/>
      <c r="G45" s="523" t="s">
        <v>190</v>
      </c>
      <c r="H45" s="451">
        <v>1</v>
      </c>
      <c r="I45" s="451">
        <v>1</v>
      </c>
      <c r="J45" s="451">
        <v>1</v>
      </c>
      <c r="K45" s="511" t="s">
        <v>145</v>
      </c>
      <c r="L45" s="451" t="s">
        <v>51</v>
      </c>
      <c r="M45" s="451" t="s">
        <v>51</v>
      </c>
      <c r="N45" s="451">
        <v>3</v>
      </c>
      <c r="O45" s="511">
        <v>3</v>
      </c>
      <c r="P45" s="451">
        <v>3</v>
      </c>
      <c r="Q45" s="451">
        <v>3</v>
      </c>
      <c r="R45" s="451"/>
      <c r="S45" s="451"/>
      <c r="T45" s="451"/>
      <c r="U45" s="451"/>
      <c r="V45" s="451"/>
      <c r="W45" s="451"/>
      <c r="X45" s="451"/>
      <c r="Y45" s="451"/>
      <c r="Z45" s="451"/>
      <c r="AA45" s="451"/>
      <c r="AB45" s="451"/>
      <c r="AC45" s="451"/>
      <c r="AD45" s="451"/>
      <c r="AE45" s="451"/>
      <c r="AF45" s="451"/>
      <c r="AG45" s="451"/>
      <c r="AH45" s="451"/>
      <c r="AI45" s="52"/>
      <c r="AJ45" s="94">
        <f t="shared" si="4"/>
        <v>1</v>
      </c>
      <c r="AK45" s="569"/>
      <c r="AL45" s="1"/>
      <c r="AM45" s="1"/>
      <c r="AN45" s="1"/>
      <c r="AQ45" s="2"/>
      <c r="AS45" s="2"/>
    </row>
    <row r="46" spans="1:45" ht="25.35" customHeight="1">
      <c r="A46" s="567"/>
      <c r="B46" s="567"/>
      <c r="C46" s="48" t="s">
        <v>60</v>
      </c>
      <c r="D46" s="504">
        <f t="shared" si="5"/>
        <v>13</v>
      </c>
      <c r="E46" s="178" t="s">
        <v>62</v>
      </c>
      <c r="F46" s="111"/>
      <c r="G46" s="523">
        <v>1</v>
      </c>
      <c r="H46" s="451" t="s">
        <v>51</v>
      </c>
      <c r="I46" s="451" t="s">
        <v>51</v>
      </c>
      <c r="J46" s="451" t="s">
        <v>51</v>
      </c>
      <c r="K46" s="511" t="s">
        <v>145</v>
      </c>
      <c r="L46" s="451" t="s">
        <v>51</v>
      </c>
      <c r="M46" s="451" t="s">
        <v>51</v>
      </c>
      <c r="N46" s="451">
        <v>3</v>
      </c>
      <c r="O46" s="511">
        <v>3</v>
      </c>
      <c r="P46" s="451">
        <v>3</v>
      </c>
      <c r="Q46" s="451">
        <v>3</v>
      </c>
      <c r="R46" s="451"/>
      <c r="S46" s="451"/>
      <c r="T46" s="451"/>
      <c r="U46" s="451"/>
      <c r="V46" s="451"/>
      <c r="W46" s="451"/>
      <c r="X46" s="451"/>
      <c r="Y46" s="451"/>
      <c r="Z46" s="451"/>
      <c r="AA46" s="451"/>
      <c r="AB46" s="451"/>
      <c r="AC46" s="451"/>
      <c r="AD46" s="451"/>
      <c r="AE46" s="451"/>
      <c r="AF46" s="451"/>
      <c r="AG46" s="451"/>
      <c r="AH46" s="451"/>
      <c r="AI46" s="52"/>
      <c r="AJ46" s="94">
        <f t="shared" si="4"/>
        <v>1</v>
      </c>
      <c r="AK46" s="569"/>
      <c r="AL46" s="1"/>
      <c r="AM46" s="1"/>
      <c r="AN46" s="1"/>
      <c r="AQ46" s="2"/>
      <c r="AS46" s="2"/>
    </row>
    <row r="47" spans="1:45" ht="25.35" customHeight="1">
      <c r="A47" s="567"/>
      <c r="B47" s="567"/>
      <c r="C47" s="48" t="s">
        <v>60</v>
      </c>
      <c r="D47" s="504">
        <f t="shared" si="5"/>
        <v>14</v>
      </c>
      <c r="E47" s="178" t="s">
        <v>40</v>
      </c>
      <c r="F47" s="111"/>
      <c r="G47" s="523">
        <v>1</v>
      </c>
      <c r="H47" s="451">
        <v>1</v>
      </c>
      <c r="I47" s="451" t="s">
        <v>190</v>
      </c>
      <c r="J47" s="451">
        <v>1</v>
      </c>
      <c r="K47" s="511" t="s">
        <v>145</v>
      </c>
      <c r="L47" s="451">
        <v>3</v>
      </c>
      <c r="M47" s="451">
        <v>3</v>
      </c>
      <c r="N47" s="451">
        <v>3</v>
      </c>
      <c r="O47" s="511">
        <v>3</v>
      </c>
      <c r="P47" s="451">
        <v>3</v>
      </c>
      <c r="Q47" s="451">
        <v>3</v>
      </c>
      <c r="R47" s="451"/>
      <c r="S47" s="451"/>
      <c r="T47" s="451"/>
      <c r="U47" s="451"/>
      <c r="V47" s="451"/>
      <c r="W47" s="451"/>
      <c r="X47" s="451"/>
      <c r="Y47" s="451"/>
      <c r="Z47" s="451"/>
      <c r="AA47" s="451"/>
      <c r="AB47" s="451"/>
      <c r="AC47" s="451"/>
      <c r="AD47" s="451"/>
      <c r="AE47" s="451"/>
      <c r="AF47" s="451"/>
      <c r="AG47" s="451"/>
      <c r="AH47" s="451"/>
      <c r="AI47" s="52"/>
      <c r="AJ47" s="94">
        <f t="shared" si="4"/>
        <v>1</v>
      </c>
      <c r="AK47" s="569"/>
      <c r="AL47" s="1"/>
      <c r="AM47" s="1"/>
      <c r="AN47" s="1"/>
      <c r="AQ47" s="2"/>
      <c r="AS47" s="2"/>
    </row>
    <row r="48" spans="1:45" ht="25.35" customHeight="1">
      <c r="A48" s="567"/>
      <c r="B48" s="567"/>
      <c r="C48" s="48" t="s">
        <v>55</v>
      </c>
      <c r="D48" s="504">
        <f t="shared" si="5"/>
        <v>15</v>
      </c>
      <c r="E48" s="178" t="s">
        <v>212</v>
      </c>
      <c r="F48" s="111"/>
      <c r="G48" s="523">
        <v>1</v>
      </c>
      <c r="H48" s="451">
        <v>1</v>
      </c>
      <c r="I48" s="451">
        <v>1</v>
      </c>
      <c r="J48" s="451">
        <v>1</v>
      </c>
      <c r="K48" s="511" t="s">
        <v>145</v>
      </c>
      <c r="L48" s="451">
        <v>3</v>
      </c>
      <c r="M48" s="451">
        <v>3</v>
      </c>
      <c r="N48" s="451" t="s">
        <v>51</v>
      </c>
      <c r="O48" s="511" t="s">
        <v>51</v>
      </c>
      <c r="P48" s="451" t="s">
        <v>51</v>
      </c>
      <c r="Q48" s="451">
        <v>3</v>
      </c>
      <c r="R48" s="451"/>
      <c r="S48" s="451"/>
      <c r="T48" s="451"/>
      <c r="U48" s="451"/>
      <c r="V48" s="451"/>
      <c r="W48" s="451"/>
      <c r="X48" s="451"/>
      <c r="Y48" s="451"/>
      <c r="Z48" s="451"/>
      <c r="AA48" s="451"/>
      <c r="AB48" s="451"/>
      <c r="AC48" s="451"/>
      <c r="AD48" s="451"/>
      <c r="AE48" s="451"/>
      <c r="AF48" s="451"/>
      <c r="AG48" s="451"/>
      <c r="AH48" s="451"/>
      <c r="AI48" s="52"/>
      <c r="AJ48" s="94">
        <f t="shared" si="4"/>
        <v>1</v>
      </c>
      <c r="AK48" s="569"/>
      <c r="AL48" s="1"/>
      <c r="AM48" s="1"/>
      <c r="AN48" s="1"/>
      <c r="AQ48" s="2"/>
      <c r="AS48" s="2"/>
    </row>
    <row r="49" spans="1:45" ht="25.35" customHeight="1">
      <c r="A49" s="567"/>
      <c r="B49" s="567"/>
      <c r="C49" s="48" t="s">
        <v>60</v>
      </c>
      <c r="D49" s="504">
        <f t="shared" si="5"/>
        <v>16</v>
      </c>
      <c r="E49" s="178" t="s">
        <v>47</v>
      </c>
      <c r="F49" s="111"/>
      <c r="G49" s="523" t="s">
        <v>383</v>
      </c>
      <c r="H49" s="523" t="s">
        <v>383</v>
      </c>
      <c r="I49" s="451">
        <v>1</v>
      </c>
      <c r="J49" s="451">
        <v>1</v>
      </c>
      <c r="K49" s="511" t="s">
        <v>145</v>
      </c>
      <c r="L49" s="451" t="s">
        <v>179</v>
      </c>
      <c r="M49" s="451">
        <v>3</v>
      </c>
      <c r="N49" s="451" t="s">
        <v>179</v>
      </c>
      <c r="O49" s="511">
        <v>3</v>
      </c>
      <c r="P49" s="451">
        <v>3</v>
      </c>
      <c r="Q49" s="451">
        <v>3</v>
      </c>
      <c r="R49" s="451"/>
      <c r="S49" s="451"/>
      <c r="T49" s="451"/>
      <c r="U49" s="451"/>
      <c r="V49" s="451"/>
      <c r="W49" s="451"/>
      <c r="X49" s="451"/>
      <c r="Y49" s="451"/>
      <c r="Z49" s="451"/>
      <c r="AA49" s="451"/>
      <c r="AB49" s="451"/>
      <c r="AC49" s="451"/>
      <c r="AD49" s="451"/>
      <c r="AE49" s="451"/>
      <c r="AF49" s="451"/>
      <c r="AG49" s="451"/>
      <c r="AH49" s="451"/>
      <c r="AI49" s="53"/>
      <c r="AJ49" s="94">
        <f t="shared" si="4"/>
        <v>1</v>
      </c>
      <c r="AK49" s="569"/>
      <c r="AL49" s="1"/>
      <c r="AM49" s="1"/>
      <c r="AN49" s="1"/>
      <c r="AQ49" s="2"/>
      <c r="AS49" s="2"/>
    </row>
    <row r="50" spans="1:45" ht="25.35" customHeight="1">
      <c r="A50" s="567"/>
      <c r="B50" s="567"/>
      <c r="C50" s="48" t="s">
        <v>60</v>
      </c>
      <c r="D50" s="504">
        <f t="shared" si="5"/>
        <v>17</v>
      </c>
      <c r="E50" s="178" t="s">
        <v>356</v>
      </c>
      <c r="F50" s="101"/>
      <c r="G50" s="523">
        <v>1</v>
      </c>
      <c r="H50" s="451">
        <v>1</v>
      </c>
      <c r="I50" s="451">
        <v>1</v>
      </c>
      <c r="J50" s="451">
        <v>1</v>
      </c>
      <c r="K50" s="511" t="s">
        <v>145</v>
      </c>
      <c r="L50" s="451">
        <v>1</v>
      </c>
      <c r="M50" s="451">
        <v>1</v>
      </c>
      <c r="N50" s="451">
        <v>1</v>
      </c>
      <c r="O50" s="511">
        <v>1</v>
      </c>
      <c r="P50" s="451">
        <v>3</v>
      </c>
      <c r="Q50" s="451" t="s">
        <v>145</v>
      </c>
      <c r="R50" s="451"/>
      <c r="S50" s="451"/>
      <c r="T50" s="451"/>
      <c r="U50" s="451"/>
      <c r="V50" s="451"/>
      <c r="W50" s="451"/>
      <c r="X50" s="451"/>
      <c r="Y50" s="451"/>
      <c r="Z50" s="451"/>
      <c r="AA50" s="451"/>
      <c r="AB50" s="451"/>
      <c r="AC50" s="451"/>
      <c r="AD50" s="451"/>
      <c r="AE50" s="451"/>
      <c r="AF50" s="451"/>
      <c r="AG50" s="451"/>
      <c r="AH50" s="451"/>
      <c r="AI50" s="52"/>
      <c r="AJ50" s="94">
        <f t="shared" si="4"/>
        <v>1</v>
      </c>
      <c r="AK50" s="569"/>
      <c r="AL50" s="1"/>
      <c r="AM50" s="1"/>
      <c r="AN50" s="1"/>
      <c r="AQ50" s="2"/>
      <c r="AS50" s="2"/>
    </row>
    <row r="51" spans="1:45" ht="25.35" customHeight="1">
      <c r="A51" s="567"/>
      <c r="B51" s="567"/>
      <c r="C51" s="48" t="s">
        <v>55</v>
      </c>
      <c r="D51" s="504">
        <f t="shared" si="5"/>
        <v>18</v>
      </c>
      <c r="E51" s="178" t="s">
        <v>221</v>
      </c>
      <c r="F51" s="102"/>
      <c r="G51" s="523">
        <v>1</v>
      </c>
      <c r="H51" s="451">
        <v>1</v>
      </c>
      <c r="I51" s="451">
        <v>1</v>
      </c>
      <c r="J51" s="451">
        <v>1</v>
      </c>
      <c r="K51" s="511" t="s">
        <v>145</v>
      </c>
      <c r="L51" s="451">
        <v>3</v>
      </c>
      <c r="M51" s="451">
        <v>3</v>
      </c>
      <c r="N51" s="451">
        <v>3</v>
      </c>
      <c r="O51" s="511">
        <v>3</v>
      </c>
      <c r="P51" s="451">
        <v>3</v>
      </c>
      <c r="Q51" s="451">
        <v>3</v>
      </c>
      <c r="R51" s="451"/>
      <c r="S51" s="451"/>
      <c r="T51" s="451"/>
      <c r="U51" s="451"/>
      <c r="V51" s="451"/>
      <c r="W51" s="451"/>
      <c r="X51" s="451"/>
      <c r="Y51" s="451"/>
      <c r="Z51" s="451"/>
      <c r="AA51" s="451"/>
      <c r="AB51" s="451"/>
      <c r="AC51" s="451"/>
      <c r="AD51" s="451"/>
      <c r="AE51" s="451"/>
      <c r="AF51" s="451"/>
      <c r="AG51" s="451"/>
      <c r="AH51" s="451"/>
      <c r="AI51" s="52"/>
      <c r="AJ51" s="94">
        <f t="shared" si="4"/>
        <v>1</v>
      </c>
      <c r="AK51" s="569"/>
      <c r="AL51" s="1"/>
      <c r="AM51" s="1"/>
      <c r="AN51" s="1"/>
      <c r="AQ51" s="2"/>
      <c r="AS51" s="2"/>
    </row>
    <row r="52" spans="1:45" ht="25.35" customHeight="1">
      <c r="A52" s="567"/>
      <c r="B52" s="567"/>
      <c r="C52" s="48" t="s">
        <v>60</v>
      </c>
      <c r="D52" s="504">
        <f t="shared" si="5"/>
        <v>19</v>
      </c>
      <c r="E52" s="178" t="s">
        <v>33</v>
      </c>
      <c r="F52" s="101"/>
      <c r="G52" s="523">
        <v>1</v>
      </c>
      <c r="H52" s="451">
        <v>1</v>
      </c>
      <c r="I52" s="451">
        <v>1</v>
      </c>
      <c r="J52" s="451">
        <v>1</v>
      </c>
      <c r="K52" s="511" t="s">
        <v>145</v>
      </c>
      <c r="L52" s="451" t="s">
        <v>190</v>
      </c>
      <c r="M52" s="451">
        <v>3</v>
      </c>
      <c r="N52" s="451">
        <v>3</v>
      </c>
      <c r="O52" s="511">
        <v>3</v>
      </c>
      <c r="P52" s="451">
        <v>3</v>
      </c>
      <c r="Q52" s="451">
        <v>3</v>
      </c>
      <c r="R52" s="451"/>
      <c r="S52" s="451"/>
      <c r="T52" s="451"/>
      <c r="U52" s="451"/>
      <c r="V52" s="451"/>
      <c r="W52" s="451"/>
      <c r="X52" s="451"/>
      <c r="Y52" s="451"/>
      <c r="Z52" s="451"/>
      <c r="AA52" s="451"/>
      <c r="AB52" s="451"/>
      <c r="AC52" s="451"/>
      <c r="AD52" s="451"/>
      <c r="AE52" s="451"/>
      <c r="AF52" s="451"/>
      <c r="AG52" s="451"/>
      <c r="AH52" s="451"/>
      <c r="AI52" s="52"/>
      <c r="AJ52" s="94">
        <f t="shared" si="4"/>
        <v>1</v>
      </c>
      <c r="AK52" s="569"/>
      <c r="AL52" s="1"/>
      <c r="AM52" s="1"/>
      <c r="AN52" s="1"/>
      <c r="AQ52" s="2"/>
      <c r="AS52" s="2"/>
    </row>
    <row r="53" spans="1:45" ht="25.35" customHeight="1">
      <c r="A53" s="567"/>
      <c r="B53" s="567"/>
      <c r="C53" s="48" t="s">
        <v>60</v>
      </c>
      <c r="D53" s="504">
        <f t="shared" si="5"/>
        <v>20</v>
      </c>
      <c r="E53" s="468" t="s">
        <v>146</v>
      </c>
      <c r="F53" s="97"/>
      <c r="G53" s="523" t="s">
        <v>190</v>
      </c>
      <c r="H53" s="451" t="s">
        <v>190</v>
      </c>
      <c r="I53" s="451" t="s">
        <v>190</v>
      </c>
      <c r="J53" s="451" t="s">
        <v>190</v>
      </c>
      <c r="K53" s="511" t="s">
        <v>145</v>
      </c>
      <c r="L53" s="451" t="s">
        <v>190</v>
      </c>
      <c r="M53" s="451" t="s">
        <v>190</v>
      </c>
      <c r="N53" s="451" t="s">
        <v>190</v>
      </c>
      <c r="O53" s="511" t="s">
        <v>190</v>
      </c>
      <c r="P53" s="451" t="s">
        <v>190</v>
      </c>
      <c r="Q53" s="451" t="s">
        <v>190</v>
      </c>
      <c r="R53" s="451"/>
      <c r="S53" s="451"/>
      <c r="T53" s="451"/>
      <c r="U53" s="451"/>
      <c r="V53" s="451"/>
      <c r="W53" s="451"/>
      <c r="X53" s="451"/>
      <c r="Y53" s="451"/>
      <c r="Z53" s="451"/>
      <c r="AA53" s="451"/>
      <c r="AB53" s="451"/>
      <c r="AC53" s="451"/>
      <c r="AD53" s="451"/>
      <c r="AE53" s="451"/>
      <c r="AF53" s="451"/>
      <c r="AG53" s="451"/>
      <c r="AH53" s="451"/>
      <c r="AI53" s="52"/>
      <c r="AJ53" s="94">
        <f t="shared" si="4"/>
        <v>1</v>
      </c>
      <c r="AK53" s="569"/>
      <c r="AL53" s="1"/>
      <c r="AM53" s="1"/>
      <c r="AN53" s="1"/>
      <c r="AQ53" s="2"/>
      <c r="AS53" s="2"/>
    </row>
    <row r="54" spans="1:45" ht="25.35" customHeight="1">
      <c r="A54" s="567"/>
      <c r="B54" s="567"/>
      <c r="C54" s="48" t="s">
        <v>60</v>
      </c>
      <c r="D54" s="504">
        <f t="shared" si="5"/>
        <v>21</v>
      </c>
      <c r="E54" s="185" t="s">
        <v>178</v>
      </c>
      <c r="F54" s="103"/>
      <c r="G54" s="523">
        <v>1</v>
      </c>
      <c r="H54" s="451">
        <v>1</v>
      </c>
      <c r="I54" s="451">
        <v>1</v>
      </c>
      <c r="J54" s="451">
        <v>1</v>
      </c>
      <c r="K54" s="511" t="s">
        <v>145</v>
      </c>
      <c r="L54" s="451" t="s">
        <v>190</v>
      </c>
      <c r="M54" s="451">
        <v>3</v>
      </c>
      <c r="N54" s="451">
        <v>3</v>
      </c>
      <c r="O54" s="511">
        <v>3</v>
      </c>
      <c r="P54" s="451">
        <v>3</v>
      </c>
      <c r="Q54" s="451">
        <v>3</v>
      </c>
      <c r="R54" s="451"/>
      <c r="S54" s="451"/>
      <c r="T54" s="451"/>
      <c r="U54" s="451"/>
      <c r="V54" s="451"/>
      <c r="W54" s="451"/>
      <c r="X54" s="451"/>
      <c r="Y54" s="451"/>
      <c r="Z54" s="451"/>
      <c r="AA54" s="451"/>
      <c r="AB54" s="451"/>
      <c r="AC54" s="451"/>
      <c r="AD54" s="451"/>
      <c r="AE54" s="451"/>
      <c r="AF54" s="451"/>
      <c r="AG54" s="451"/>
      <c r="AH54" s="451"/>
      <c r="AI54" s="52"/>
      <c r="AJ54" s="94">
        <f t="shared" si="4"/>
        <v>1</v>
      </c>
      <c r="AK54" s="569"/>
      <c r="AL54" s="1"/>
      <c r="AM54" s="1"/>
      <c r="AN54" s="1"/>
      <c r="AQ54" s="2"/>
      <c r="AS54" s="2"/>
    </row>
    <row r="55" spans="1:45" ht="25.35" customHeight="1" thickBot="1">
      <c r="A55" s="567"/>
      <c r="B55" s="567"/>
      <c r="C55" s="48"/>
      <c r="D55" s="504">
        <f t="shared" si="5"/>
        <v>22</v>
      </c>
      <c r="E55" s="182"/>
      <c r="F55" s="106"/>
      <c r="G55" s="516"/>
      <c r="H55" s="479"/>
      <c r="I55" s="479"/>
      <c r="J55" s="479"/>
      <c r="K55" s="479"/>
      <c r="L55" s="479"/>
      <c r="M55" s="479"/>
      <c r="N55" s="479"/>
      <c r="O55" s="479"/>
      <c r="P55" s="479"/>
      <c r="Q55" s="479"/>
      <c r="R55" s="479"/>
      <c r="S55" s="479"/>
      <c r="T55" s="479"/>
      <c r="U55" s="479"/>
      <c r="V55" s="479"/>
      <c r="W55" s="479"/>
      <c r="X55" s="479"/>
      <c r="Y55" s="479"/>
      <c r="Z55" s="479"/>
      <c r="AA55" s="479"/>
      <c r="AB55" s="479"/>
      <c r="AC55" s="479"/>
      <c r="AD55" s="479"/>
      <c r="AE55" s="479"/>
      <c r="AF55" s="479"/>
      <c r="AG55" s="479"/>
      <c r="AH55" s="479"/>
      <c r="AI55" s="472"/>
      <c r="AJ55" s="506" t="str">
        <f>IF((COUNTIF(G55:AH55, "x")+COUNTIF(G55:AH55, "1")+COUNTIF(G55:AH55, "2")+COUNTIF(G55:AH55, "3"))=0, "", (COUNTIF(G55:AH55, "1")+COUNTIF(G55:AH55, "2")+COUNTIF(G55:AH55, "3"))/(COUNTIF(G55:AH55, "x")+COUNTIF(G55:AH55, "1")+COUNTIF(G55:AH55, "2")+COUNTIF(G55:AH55, "3")))</f>
        <v/>
      </c>
      <c r="AK55" s="570"/>
      <c r="AL55" s="1"/>
      <c r="AM55" s="1"/>
      <c r="AN55" s="1"/>
      <c r="AQ55" s="2"/>
      <c r="AS55" s="2"/>
    </row>
    <row r="56" spans="1:45" ht="25.35" customHeight="1" thickBot="1">
      <c r="B56" s="2"/>
      <c r="C56" s="50" t="s">
        <v>167</v>
      </c>
      <c r="D56" s="176"/>
      <c r="E56" s="20"/>
      <c r="F56" s="20"/>
      <c r="G56" s="518"/>
      <c r="H56" s="518"/>
      <c r="I56" s="518"/>
      <c r="J56" s="518"/>
      <c r="K56" s="518"/>
      <c r="L56" s="518"/>
      <c r="M56" s="518"/>
      <c r="N56" s="518"/>
      <c r="O56" s="518"/>
      <c r="P56" s="518"/>
      <c r="Q56" s="518"/>
      <c r="R56" s="518"/>
      <c r="S56" s="518"/>
      <c r="T56" s="518"/>
      <c r="U56" s="518"/>
      <c r="V56" s="518"/>
      <c r="W56" s="518"/>
      <c r="X56" s="518"/>
      <c r="Y56" s="518"/>
      <c r="Z56" s="518"/>
      <c r="AA56" s="518"/>
      <c r="AB56" s="518"/>
      <c r="AC56" s="518"/>
      <c r="AD56" s="518"/>
      <c r="AE56" s="518"/>
      <c r="AF56" s="518"/>
      <c r="AG56" s="518"/>
      <c r="AH56" s="518"/>
      <c r="AI56" s="474"/>
      <c r="AJ56" s="28" t="str">
        <f>IF((COUNTIF(G56:AH56, "x")+COUNTIF(G56:AH56, "1")+COUNTIF(G56:AH56, "2")+COUNTIF(G56:AH56, "3"))=0, "", (COUNTIF(G56:AH56, "1")+COUNTIF(G56:AH56, "2")+COUNTIF(G56:AH56, "3"))/(COUNTIF(G56:AH56, "x")+COUNTIF(G56:AH56, "1")+COUNTIF(G56:AH56, "2")+COUNTIF(G56:AH56, "3")))</f>
        <v/>
      </c>
      <c r="AK56" s="177"/>
      <c r="AL56" s="1"/>
      <c r="AM56" s="1"/>
      <c r="AN56" s="1"/>
      <c r="AQ56" s="2"/>
      <c r="AS56" s="2"/>
    </row>
    <row r="57" spans="1:45" ht="25.35" hidden="1" customHeight="1">
      <c r="B57" s="2"/>
      <c r="C57" s="48"/>
      <c r="D57" s="95">
        <v>1</v>
      </c>
      <c r="E57" s="77" t="s">
        <v>0</v>
      </c>
      <c r="F57" s="101" t="s">
        <v>142</v>
      </c>
      <c r="G57" s="511"/>
      <c r="H57" s="511"/>
      <c r="I57" s="511"/>
      <c r="J57" s="511"/>
      <c r="K57" s="511"/>
      <c r="L57" s="511"/>
      <c r="M57" s="511"/>
      <c r="N57" s="511"/>
      <c r="O57" s="511"/>
      <c r="P57" s="511"/>
      <c r="Q57" s="511"/>
      <c r="R57" s="511"/>
      <c r="S57" s="511"/>
      <c r="T57" s="511"/>
      <c r="U57" s="511"/>
      <c r="V57" s="511"/>
      <c r="W57" s="511"/>
      <c r="X57" s="511"/>
      <c r="Y57" s="511"/>
      <c r="Z57" s="511"/>
      <c r="AA57" s="511"/>
      <c r="AB57" s="511"/>
      <c r="AC57" s="511"/>
      <c r="AD57" s="511"/>
      <c r="AE57" s="511"/>
      <c r="AF57" s="511"/>
      <c r="AG57" s="511"/>
      <c r="AH57" s="511"/>
      <c r="AI57" s="470"/>
      <c r="AJ57" s="485"/>
      <c r="AK57" s="166"/>
      <c r="AL57" s="1"/>
      <c r="AM57" s="1"/>
      <c r="AN57" s="1"/>
      <c r="AQ57" s="2"/>
      <c r="AS57" s="2"/>
    </row>
    <row r="58" spans="1:45" ht="25.35" hidden="1" customHeight="1">
      <c r="B58" s="108"/>
      <c r="C58" s="48"/>
      <c r="D58" s="95">
        <v>2</v>
      </c>
      <c r="E58" s="77" t="s">
        <v>18</v>
      </c>
      <c r="F58" s="97" t="s">
        <v>142</v>
      </c>
      <c r="G58" s="451"/>
      <c r="H58" s="451"/>
      <c r="I58" s="451"/>
      <c r="J58" s="451"/>
      <c r="K58" s="451"/>
      <c r="L58" s="451"/>
      <c r="M58" s="451"/>
      <c r="N58" s="451"/>
      <c r="O58" s="451"/>
      <c r="P58" s="451"/>
      <c r="Q58" s="451"/>
      <c r="R58" s="451"/>
      <c r="S58" s="451"/>
      <c r="T58" s="451"/>
      <c r="U58" s="451"/>
      <c r="V58" s="451"/>
      <c r="W58" s="451"/>
      <c r="X58" s="451"/>
      <c r="Y58" s="451"/>
      <c r="Z58" s="451"/>
      <c r="AA58" s="451"/>
      <c r="AB58" s="451"/>
      <c r="AC58" s="451"/>
      <c r="AD58" s="451"/>
      <c r="AE58" s="451"/>
      <c r="AF58" s="451"/>
      <c r="AG58" s="451"/>
      <c r="AH58" s="451"/>
      <c r="AI58" s="52"/>
      <c r="AJ58" s="485"/>
      <c r="AK58" s="166"/>
      <c r="AL58" s="1"/>
      <c r="AM58" s="1"/>
      <c r="AN58" s="1"/>
      <c r="AQ58" s="2"/>
      <c r="AS58" s="2"/>
    </row>
    <row r="59" spans="1:45" ht="25.35" hidden="1" customHeight="1">
      <c r="B59" s="108"/>
      <c r="C59" s="48"/>
      <c r="D59" s="95">
        <v>3</v>
      </c>
      <c r="E59" s="77" t="s">
        <v>1</v>
      </c>
      <c r="F59" s="97" t="s">
        <v>143</v>
      </c>
      <c r="G59" s="526"/>
      <c r="H59" s="526"/>
      <c r="I59" s="526"/>
      <c r="J59" s="526"/>
      <c r="K59" s="526"/>
      <c r="L59" s="526"/>
      <c r="M59" s="526"/>
      <c r="N59" s="526"/>
      <c r="O59" s="526"/>
      <c r="P59" s="526"/>
      <c r="Q59" s="526"/>
      <c r="R59" s="526"/>
      <c r="S59" s="526"/>
      <c r="T59" s="526"/>
      <c r="U59" s="526"/>
      <c r="V59" s="526"/>
      <c r="W59" s="526"/>
      <c r="X59" s="526"/>
      <c r="Y59" s="526"/>
      <c r="Z59" s="526"/>
      <c r="AA59" s="526"/>
      <c r="AB59" s="526"/>
      <c r="AC59" s="526"/>
      <c r="AD59" s="526"/>
      <c r="AE59" s="526"/>
      <c r="AF59" s="526"/>
      <c r="AG59" s="526"/>
      <c r="AH59" s="526"/>
      <c r="AI59" s="135"/>
      <c r="AJ59" s="485"/>
      <c r="AK59" s="166"/>
      <c r="AL59" s="1"/>
      <c r="AM59" s="1"/>
      <c r="AN59" s="1"/>
      <c r="AQ59" s="2"/>
      <c r="AS59" s="2"/>
    </row>
    <row r="60" spans="1:45" ht="25.35" hidden="1" customHeight="1">
      <c r="B60" s="110"/>
      <c r="C60" s="48"/>
      <c r="D60" s="167">
        <v>4</v>
      </c>
      <c r="E60" s="153" t="s">
        <v>10</v>
      </c>
      <c r="F60" s="481" t="s">
        <v>143</v>
      </c>
      <c r="G60" s="515"/>
      <c r="H60" s="515"/>
      <c r="I60" s="515"/>
      <c r="J60" s="515"/>
      <c r="K60" s="515"/>
      <c r="L60" s="515"/>
      <c r="M60" s="515"/>
      <c r="N60" s="515"/>
      <c r="O60" s="515"/>
      <c r="P60" s="515"/>
      <c r="Q60" s="515"/>
      <c r="R60" s="515"/>
      <c r="S60" s="515"/>
      <c r="T60" s="515"/>
      <c r="U60" s="515"/>
      <c r="V60" s="515"/>
      <c r="W60" s="515"/>
      <c r="X60" s="515"/>
      <c r="Y60" s="515"/>
      <c r="Z60" s="515"/>
      <c r="AA60" s="515"/>
      <c r="AB60" s="515"/>
      <c r="AC60" s="515"/>
      <c r="AD60" s="515"/>
      <c r="AE60" s="515"/>
      <c r="AF60" s="515"/>
      <c r="AG60" s="515"/>
      <c r="AH60" s="515"/>
      <c r="AI60" s="471"/>
      <c r="AJ60" s="487"/>
      <c r="AK60" s="168"/>
      <c r="AL60" s="1"/>
      <c r="AM60" s="1"/>
      <c r="AN60" s="1"/>
      <c r="AQ60" s="2"/>
      <c r="AS60" s="2"/>
    </row>
    <row r="61" spans="1:45" ht="30" customHeight="1" thickBot="1">
      <c r="B61" s="110"/>
      <c r="C61" s="47" t="s">
        <v>168</v>
      </c>
      <c r="D61" s="571" t="s">
        <v>141</v>
      </c>
      <c r="E61" s="572"/>
      <c r="F61" s="482"/>
      <c r="G61" s="476" t="s">
        <v>374</v>
      </c>
      <c r="H61" s="477"/>
      <c r="I61" s="477" t="s">
        <v>375</v>
      </c>
      <c r="J61" s="477"/>
      <c r="K61" s="477" t="s">
        <v>372</v>
      </c>
      <c r="L61" s="477" t="s">
        <v>374</v>
      </c>
      <c r="M61" s="477"/>
      <c r="N61" s="477"/>
      <c r="O61" s="477"/>
      <c r="P61" s="477"/>
      <c r="Q61" s="477"/>
      <c r="R61" s="477"/>
      <c r="S61" s="477"/>
      <c r="T61" s="477"/>
      <c r="U61" s="477"/>
      <c r="V61" s="477"/>
      <c r="W61" s="477"/>
      <c r="X61" s="477"/>
      <c r="Y61" s="477"/>
      <c r="Z61" s="477"/>
      <c r="AA61" s="477"/>
      <c r="AB61" s="477"/>
      <c r="AC61" s="477"/>
      <c r="AD61" s="477"/>
      <c r="AE61" s="477"/>
      <c r="AF61" s="477"/>
      <c r="AG61" s="477"/>
      <c r="AH61" s="477"/>
      <c r="AI61" s="477"/>
      <c r="AJ61" s="488"/>
      <c r="AK61" s="162"/>
      <c r="AL61" s="1"/>
      <c r="AM61" s="1"/>
      <c r="AN61" s="1"/>
      <c r="AQ61" s="2"/>
      <c r="AS61" s="2"/>
    </row>
    <row r="62" spans="1:45" ht="25.35" customHeight="1">
      <c r="A62" s="573" t="s">
        <v>186</v>
      </c>
      <c r="B62" s="573"/>
      <c r="C62" s="49" t="s">
        <v>55</v>
      </c>
      <c r="D62" s="95">
        <v>1</v>
      </c>
      <c r="E62" s="185" t="s">
        <v>128</v>
      </c>
      <c r="F62" s="483"/>
      <c r="G62" s="521">
        <v>3</v>
      </c>
      <c r="H62" s="511">
        <v>3</v>
      </c>
      <c r="I62" s="511">
        <v>3</v>
      </c>
      <c r="J62" s="511">
        <v>3</v>
      </c>
      <c r="K62" s="527">
        <v>3</v>
      </c>
      <c r="L62" s="511">
        <v>3</v>
      </c>
      <c r="M62" s="511" t="s">
        <v>145</v>
      </c>
      <c r="N62" s="511" t="s">
        <v>51</v>
      </c>
      <c r="O62" s="511">
        <v>2</v>
      </c>
      <c r="P62" s="511"/>
      <c r="Q62" s="511"/>
      <c r="R62" s="511"/>
      <c r="S62" s="511"/>
      <c r="T62" s="511"/>
      <c r="U62" s="511"/>
      <c r="V62" s="511"/>
      <c r="W62" s="511"/>
      <c r="X62" s="511"/>
      <c r="Y62" s="511"/>
      <c r="Z62" s="511"/>
      <c r="AA62" s="511"/>
      <c r="AB62" s="511"/>
      <c r="AC62" s="511"/>
      <c r="AD62" s="511"/>
      <c r="AE62" s="511"/>
      <c r="AF62" s="511"/>
      <c r="AG62" s="511"/>
      <c r="AH62" s="511"/>
      <c r="AI62" s="470"/>
      <c r="AJ62" s="94">
        <f t="shared" ref="AJ62:AJ81" si="6">IF((COUNTIF(G62:AH62, "x")+COUNTIF(G62:AH62, "1")+COUNTIF(G62:AH62, "2")+COUNTIF(G62:AH62, "3")+COUNTIF(G62:AH62, "L")+COUNTIF(G62:AH62, "VL")+COUNTIF(G62:AH62, "SL")+COUNTIF(G62:AH62, "EL"))=0, "", (COUNTIF(G62:AH62, "1")+COUNTIF(G62:AH62, "2")+COUNTIF(G62:AH62, "3")+COUNTIF(G62:AH62, "L")+COUNTIF(G62:AH62, "VL")+COUNTIF(G62:AH62, "SL")+COUNTIF(G62:AH62, "EL"))/(COUNTIF(G62:AH62, "x")+COUNTIF(G62:AH62, "1")+COUNTIF(G62:AH62, "2")+COUNTIF(G62:AH62, "3")+COUNTIF(G62:AH62, "L")+COUNTIF(G62:AH62, "VL")+COUNTIF(G62:AH62, "SL")+COUNTIF(G62:AH62, "EL")))</f>
        <v>1</v>
      </c>
      <c r="AK62" s="564">
        <f>AVERAGE(AJ62:AJ82)</f>
        <v>0.97410714285714284</v>
      </c>
      <c r="AL62" s="1"/>
      <c r="AM62" s="1"/>
      <c r="AN62" s="1"/>
      <c r="AQ62" s="2"/>
      <c r="AS62" s="2"/>
    </row>
    <row r="63" spans="1:45" ht="25.35" customHeight="1">
      <c r="A63" s="573"/>
      <c r="B63" s="573"/>
      <c r="C63" s="48" t="s">
        <v>55</v>
      </c>
      <c r="D63" s="504">
        <f>D62+1</f>
        <v>2</v>
      </c>
      <c r="E63" s="185" t="s">
        <v>172</v>
      </c>
      <c r="F63" s="101"/>
      <c r="G63" s="523"/>
      <c r="H63" s="451">
        <v>3</v>
      </c>
      <c r="I63" s="451">
        <v>3</v>
      </c>
      <c r="J63" s="451">
        <v>3</v>
      </c>
      <c r="K63" s="528"/>
      <c r="L63" s="451">
        <v>3</v>
      </c>
      <c r="M63" s="511" t="s">
        <v>145</v>
      </c>
      <c r="N63" s="451">
        <v>1</v>
      </c>
      <c r="O63" s="451">
        <v>1</v>
      </c>
      <c r="P63" s="451"/>
      <c r="Q63" s="511"/>
      <c r="R63" s="451"/>
      <c r="S63" s="451"/>
      <c r="T63" s="451"/>
      <c r="U63" s="451"/>
      <c r="V63" s="451"/>
      <c r="W63" s="511"/>
      <c r="X63" s="451"/>
      <c r="Y63" s="451"/>
      <c r="Z63" s="451"/>
      <c r="AA63" s="451"/>
      <c r="AB63" s="451"/>
      <c r="AC63" s="451"/>
      <c r="AD63" s="511"/>
      <c r="AE63" s="451"/>
      <c r="AF63" s="451"/>
      <c r="AG63" s="451"/>
      <c r="AH63" s="451"/>
      <c r="AI63" s="451"/>
      <c r="AJ63" s="94">
        <f t="shared" si="6"/>
        <v>1</v>
      </c>
      <c r="AK63" s="564"/>
      <c r="AL63" s="1"/>
      <c r="AM63" s="1"/>
      <c r="AN63" s="1"/>
      <c r="AQ63" s="2"/>
      <c r="AS63" s="2"/>
    </row>
    <row r="64" spans="1:45" ht="25.15" customHeight="1">
      <c r="A64" s="573"/>
      <c r="B64" s="573"/>
      <c r="C64" s="48" t="s">
        <v>55</v>
      </c>
      <c r="D64" s="504">
        <f t="shared" ref="D64:D81" si="7">D63+1</f>
        <v>3</v>
      </c>
      <c r="E64" s="187" t="s">
        <v>359</v>
      </c>
      <c r="F64" s="101"/>
      <c r="G64" s="523">
        <v>3</v>
      </c>
      <c r="H64" s="451">
        <v>3</v>
      </c>
      <c r="I64" s="451">
        <v>3</v>
      </c>
      <c r="J64" s="451">
        <v>3</v>
      </c>
      <c r="K64" s="528">
        <v>3</v>
      </c>
      <c r="L64" s="451">
        <v>3</v>
      </c>
      <c r="M64" s="511" t="s">
        <v>145</v>
      </c>
      <c r="N64" s="451">
        <v>2</v>
      </c>
      <c r="O64" s="451">
        <v>2</v>
      </c>
      <c r="P64" s="451"/>
      <c r="Q64" s="511"/>
      <c r="R64" s="451"/>
      <c r="S64" s="451"/>
      <c r="T64" s="451"/>
      <c r="U64" s="451"/>
      <c r="V64" s="451"/>
      <c r="W64" s="511"/>
      <c r="X64" s="451"/>
      <c r="Y64" s="451"/>
      <c r="Z64" s="451"/>
      <c r="AA64" s="451"/>
      <c r="AB64" s="451"/>
      <c r="AC64" s="451"/>
      <c r="AD64" s="511"/>
      <c r="AE64" s="451"/>
      <c r="AF64" s="451"/>
      <c r="AG64" s="451"/>
      <c r="AH64" s="451"/>
      <c r="AI64" s="451"/>
      <c r="AJ64" s="94">
        <f t="shared" si="6"/>
        <v>1</v>
      </c>
      <c r="AK64" s="564"/>
      <c r="AL64" s="1"/>
      <c r="AM64" s="1"/>
      <c r="AN64" s="1"/>
      <c r="AQ64" s="2"/>
      <c r="AS64" s="2"/>
    </row>
    <row r="65" spans="1:52" ht="25.15" customHeight="1">
      <c r="A65" s="573"/>
      <c r="B65" s="573"/>
      <c r="C65" s="48" t="s">
        <v>60</v>
      </c>
      <c r="D65" s="504">
        <f t="shared" si="7"/>
        <v>4</v>
      </c>
      <c r="E65" s="187" t="s">
        <v>361</v>
      </c>
      <c r="F65" s="101"/>
      <c r="G65" s="523">
        <v>3</v>
      </c>
      <c r="H65" s="451" t="s">
        <v>190</v>
      </c>
      <c r="I65" s="451">
        <v>3</v>
      </c>
      <c r="J65" s="451">
        <v>3</v>
      </c>
      <c r="K65" s="528">
        <v>3</v>
      </c>
      <c r="L65" s="451">
        <v>3</v>
      </c>
      <c r="M65" s="511" t="s">
        <v>145</v>
      </c>
      <c r="N65" s="451">
        <v>2</v>
      </c>
      <c r="O65" s="451">
        <v>2</v>
      </c>
      <c r="P65" s="451"/>
      <c r="Q65" s="511"/>
      <c r="R65" s="451"/>
      <c r="S65" s="451"/>
      <c r="T65" s="451"/>
      <c r="U65" s="451"/>
      <c r="V65" s="451"/>
      <c r="W65" s="511"/>
      <c r="X65" s="451"/>
      <c r="Y65" s="451"/>
      <c r="Z65" s="451"/>
      <c r="AA65" s="451"/>
      <c r="AB65" s="451"/>
      <c r="AC65" s="451"/>
      <c r="AD65" s="511"/>
      <c r="AE65" s="451"/>
      <c r="AF65" s="451"/>
      <c r="AG65" s="451"/>
      <c r="AH65" s="451"/>
      <c r="AI65" s="451"/>
      <c r="AJ65" s="94">
        <f t="shared" si="6"/>
        <v>1</v>
      </c>
      <c r="AK65" s="564"/>
      <c r="AL65" s="1"/>
      <c r="AM65" s="1"/>
      <c r="AN65" s="1"/>
      <c r="AQ65" s="2"/>
      <c r="AS65" s="2"/>
    </row>
    <row r="66" spans="1:52" ht="25.35" customHeight="1">
      <c r="A66" s="573"/>
      <c r="B66" s="573"/>
      <c r="C66" s="48" t="s">
        <v>60</v>
      </c>
      <c r="D66" s="504">
        <f t="shared" si="7"/>
        <v>5</v>
      </c>
      <c r="E66" s="185" t="s">
        <v>119</v>
      </c>
      <c r="F66" s="101"/>
      <c r="G66" s="523">
        <v>3</v>
      </c>
      <c r="H66" s="451">
        <v>3</v>
      </c>
      <c r="I66" s="451">
        <v>3</v>
      </c>
      <c r="J66" s="451">
        <v>3</v>
      </c>
      <c r="K66" s="528">
        <v>3</v>
      </c>
      <c r="L66" s="451">
        <v>3</v>
      </c>
      <c r="M66" s="511" t="s">
        <v>145</v>
      </c>
      <c r="N66" s="451">
        <v>2</v>
      </c>
      <c r="O66" s="451">
        <v>2</v>
      </c>
      <c r="P66" s="451"/>
      <c r="Q66" s="511"/>
      <c r="R66" s="451"/>
      <c r="S66" s="451"/>
      <c r="T66" s="451"/>
      <c r="U66" s="451"/>
      <c r="V66" s="451"/>
      <c r="W66" s="511"/>
      <c r="X66" s="451"/>
      <c r="Y66" s="451"/>
      <c r="Z66" s="451"/>
      <c r="AA66" s="451"/>
      <c r="AB66" s="451"/>
      <c r="AC66" s="451"/>
      <c r="AD66" s="511"/>
      <c r="AE66" s="451"/>
      <c r="AF66" s="451"/>
      <c r="AG66" s="451"/>
      <c r="AH66" s="451"/>
      <c r="AI66" s="451"/>
      <c r="AJ66" s="94">
        <f t="shared" si="6"/>
        <v>1</v>
      </c>
      <c r="AK66" s="564"/>
      <c r="AL66" s="1"/>
      <c r="AM66" s="1"/>
      <c r="AN66" s="1"/>
      <c r="AQ66" s="2"/>
      <c r="AS66" s="2"/>
    </row>
    <row r="67" spans="1:52" ht="25.35" customHeight="1">
      <c r="A67" s="573"/>
      <c r="B67" s="573"/>
      <c r="C67" s="48" t="s">
        <v>60</v>
      </c>
      <c r="D67" s="504">
        <f t="shared" si="7"/>
        <v>6</v>
      </c>
      <c r="E67" s="184" t="s">
        <v>9</v>
      </c>
      <c r="F67" s="101"/>
      <c r="G67" s="523">
        <v>3</v>
      </c>
      <c r="H67" s="451">
        <v>3</v>
      </c>
      <c r="I67" s="451">
        <v>3</v>
      </c>
      <c r="J67" s="451">
        <v>3</v>
      </c>
      <c r="K67" s="528">
        <v>3</v>
      </c>
      <c r="L67" s="451">
        <v>3</v>
      </c>
      <c r="M67" s="511" t="s">
        <v>145</v>
      </c>
      <c r="N67" s="451">
        <v>2</v>
      </c>
      <c r="O67" s="451">
        <v>2</v>
      </c>
      <c r="P67" s="451"/>
      <c r="Q67" s="511"/>
      <c r="R67" s="451"/>
      <c r="S67" s="451"/>
      <c r="T67" s="451"/>
      <c r="U67" s="451"/>
      <c r="V67" s="451"/>
      <c r="W67" s="511"/>
      <c r="X67" s="451"/>
      <c r="Y67" s="451"/>
      <c r="Z67" s="451"/>
      <c r="AA67" s="451"/>
      <c r="AB67" s="451"/>
      <c r="AC67" s="451"/>
      <c r="AD67" s="511"/>
      <c r="AE67" s="451"/>
      <c r="AF67" s="451"/>
      <c r="AG67" s="451"/>
      <c r="AH67" s="451"/>
      <c r="AI67" s="451"/>
      <c r="AJ67" s="94">
        <f t="shared" si="6"/>
        <v>1</v>
      </c>
      <c r="AK67" s="564"/>
      <c r="AL67" s="1"/>
      <c r="AM67" s="1"/>
      <c r="AN67" s="1"/>
      <c r="AQ67" s="2"/>
      <c r="AS67" s="2"/>
      <c r="AZ67" s="180"/>
    </row>
    <row r="68" spans="1:52" ht="25.35" customHeight="1">
      <c r="A68" s="573"/>
      <c r="B68" s="573"/>
      <c r="C68" s="48" t="s">
        <v>60</v>
      </c>
      <c r="D68" s="504">
        <f t="shared" si="7"/>
        <v>7</v>
      </c>
      <c r="E68" s="184" t="s">
        <v>151</v>
      </c>
      <c r="F68" s="101"/>
      <c r="G68" s="523">
        <v>3</v>
      </c>
      <c r="H68" s="451">
        <v>3</v>
      </c>
      <c r="I68" s="451">
        <v>3</v>
      </c>
      <c r="J68" s="451">
        <v>3</v>
      </c>
      <c r="K68" s="528">
        <v>3</v>
      </c>
      <c r="L68" s="528">
        <v>3</v>
      </c>
      <c r="M68" s="511" t="s">
        <v>145</v>
      </c>
      <c r="N68" s="451">
        <v>2</v>
      </c>
      <c r="O68" s="451">
        <v>2</v>
      </c>
      <c r="P68" s="451"/>
      <c r="Q68" s="511"/>
      <c r="R68" s="451"/>
      <c r="S68" s="451"/>
      <c r="T68" s="451"/>
      <c r="U68" s="451"/>
      <c r="V68" s="451"/>
      <c r="W68" s="511"/>
      <c r="X68" s="451"/>
      <c r="Y68" s="451"/>
      <c r="Z68" s="451"/>
      <c r="AA68" s="451"/>
      <c r="AB68" s="451"/>
      <c r="AC68" s="451"/>
      <c r="AD68" s="511"/>
      <c r="AE68" s="451"/>
      <c r="AF68" s="451"/>
      <c r="AG68" s="451"/>
      <c r="AH68" s="451"/>
      <c r="AI68" s="451"/>
      <c r="AJ68" s="94">
        <f t="shared" si="6"/>
        <v>1</v>
      </c>
      <c r="AK68" s="564"/>
      <c r="AL68" s="1"/>
      <c r="AM68" s="1"/>
      <c r="AN68" s="1"/>
      <c r="AQ68" s="2"/>
      <c r="AS68" s="2"/>
    </row>
    <row r="69" spans="1:52" ht="18.75">
      <c r="A69" s="573"/>
      <c r="B69" s="573"/>
      <c r="C69" s="48" t="s">
        <v>60</v>
      </c>
      <c r="D69" s="504">
        <f t="shared" si="7"/>
        <v>8</v>
      </c>
      <c r="E69" s="184" t="s">
        <v>155</v>
      </c>
      <c r="F69" s="101"/>
      <c r="G69" s="523">
        <v>3</v>
      </c>
      <c r="H69" s="451">
        <v>3</v>
      </c>
      <c r="I69" s="451" t="s">
        <v>179</v>
      </c>
      <c r="J69" s="451">
        <v>3</v>
      </c>
      <c r="K69" s="528">
        <v>3</v>
      </c>
      <c r="L69" s="451">
        <v>3</v>
      </c>
      <c r="M69" s="511" t="s">
        <v>145</v>
      </c>
      <c r="N69" s="451">
        <v>2</v>
      </c>
      <c r="O69" s="451">
        <v>2</v>
      </c>
      <c r="P69" s="451"/>
      <c r="Q69" s="511"/>
      <c r="R69" s="451"/>
      <c r="S69" s="451"/>
      <c r="T69" s="451"/>
      <c r="U69" s="451"/>
      <c r="V69" s="451"/>
      <c r="W69" s="511"/>
      <c r="X69" s="451"/>
      <c r="Y69" s="451"/>
      <c r="Z69" s="451"/>
      <c r="AA69" s="451"/>
      <c r="AB69" s="451"/>
      <c r="AC69" s="451"/>
      <c r="AD69" s="511"/>
      <c r="AE69" s="451"/>
      <c r="AF69" s="451"/>
      <c r="AG69" s="451"/>
      <c r="AH69" s="451"/>
      <c r="AI69" s="451"/>
      <c r="AJ69" s="94">
        <f t="shared" si="6"/>
        <v>1</v>
      </c>
      <c r="AK69" s="564"/>
      <c r="AL69" s="1"/>
      <c r="AM69" s="1"/>
      <c r="AN69" s="1"/>
      <c r="AQ69" s="2"/>
      <c r="AS69" s="2"/>
    </row>
    <row r="70" spans="1:52" ht="25.35" customHeight="1">
      <c r="A70" s="573"/>
      <c r="B70" s="573"/>
      <c r="C70" s="48" t="s">
        <v>55</v>
      </c>
      <c r="D70" s="504">
        <f t="shared" si="7"/>
        <v>9</v>
      </c>
      <c r="E70" s="187" t="s">
        <v>137</v>
      </c>
      <c r="F70" s="101"/>
      <c r="G70" s="523" t="s">
        <v>51</v>
      </c>
      <c r="H70" s="451" t="s">
        <v>179</v>
      </c>
      <c r="I70" s="451" t="s">
        <v>51</v>
      </c>
      <c r="J70" s="451" t="s">
        <v>387</v>
      </c>
      <c r="K70" s="528" t="s">
        <v>51</v>
      </c>
      <c r="L70" s="451" t="s">
        <v>51</v>
      </c>
      <c r="M70" s="511" t="s">
        <v>145</v>
      </c>
      <c r="N70" s="451" t="s">
        <v>51</v>
      </c>
      <c r="O70" s="451" t="s">
        <v>51</v>
      </c>
      <c r="P70" s="451"/>
      <c r="Q70" s="511"/>
      <c r="R70" s="451"/>
      <c r="S70" s="451"/>
      <c r="T70" s="451"/>
      <c r="U70" s="451"/>
      <c r="V70" s="451"/>
      <c r="W70" s="511"/>
      <c r="X70" s="451"/>
      <c r="Y70" s="451"/>
      <c r="Z70" s="451"/>
      <c r="AA70" s="451"/>
      <c r="AB70" s="451"/>
      <c r="AC70" s="451"/>
      <c r="AD70" s="511"/>
      <c r="AE70" s="451"/>
      <c r="AF70" s="451"/>
      <c r="AG70" s="451"/>
      <c r="AH70" s="451"/>
      <c r="AI70" s="52"/>
      <c r="AJ70" s="94">
        <f t="shared" si="6"/>
        <v>1</v>
      </c>
      <c r="AK70" s="564"/>
      <c r="AL70" s="1"/>
      <c r="AM70" s="1"/>
      <c r="AN70" s="1"/>
      <c r="AQ70" s="2"/>
      <c r="AS70" s="2"/>
    </row>
    <row r="71" spans="1:52" ht="25.35" customHeight="1">
      <c r="A71" s="573"/>
      <c r="B71" s="573"/>
      <c r="C71" s="48" t="s">
        <v>55</v>
      </c>
      <c r="D71" s="504">
        <f t="shared" si="7"/>
        <v>10</v>
      </c>
      <c r="E71" s="178" t="s">
        <v>358</v>
      </c>
      <c r="F71" s="101"/>
      <c r="G71" s="523" t="s">
        <v>179</v>
      </c>
      <c r="H71" s="451" t="s">
        <v>179</v>
      </c>
      <c r="I71" s="451">
        <v>3</v>
      </c>
      <c r="J71" s="451">
        <v>3</v>
      </c>
      <c r="K71" s="528">
        <v>3</v>
      </c>
      <c r="L71" s="451">
        <v>3</v>
      </c>
      <c r="M71" s="511" t="s">
        <v>145</v>
      </c>
      <c r="N71" s="451">
        <v>2</v>
      </c>
      <c r="O71" s="451">
        <v>2</v>
      </c>
      <c r="P71" s="451"/>
      <c r="Q71" s="511"/>
      <c r="R71" s="451"/>
      <c r="S71" s="451"/>
      <c r="T71" s="451"/>
      <c r="U71" s="451"/>
      <c r="V71" s="451"/>
      <c r="W71" s="511"/>
      <c r="X71" s="451"/>
      <c r="Y71" s="451"/>
      <c r="Z71" s="451"/>
      <c r="AA71" s="451"/>
      <c r="AB71" s="451"/>
      <c r="AC71" s="451"/>
      <c r="AD71" s="511"/>
      <c r="AE71" s="451"/>
      <c r="AF71" s="451"/>
      <c r="AG71" s="451"/>
      <c r="AH71" s="451"/>
      <c r="AI71" s="451"/>
      <c r="AJ71" s="94">
        <f t="shared" si="6"/>
        <v>1</v>
      </c>
      <c r="AK71" s="564"/>
      <c r="AL71" s="1"/>
      <c r="AM71" s="1"/>
      <c r="AN71" s="1"/>
      <c r="AQ71" s="2"/>
      <c r="AS71" s="2"/>
    </row>
    <row r="72" spans="1:52" ht="25.35" customHeight="1">
      <c r="A72" s="573"/>
      <c r="B72" s="573"/>
      <c r="C72" s="48" t="s">
        <v>60</v>
      </c>
      <c r="D72" s="504">
        <f t="shared" si="7"/>
        <v>11</v>
      </c>
      <c r="E72" s="184" t="s">
        <v>5</v>
      </c>
      <c r="F72" s="101"/>
      <c r="G72" s="523">
        <v>3</v>
      </c>
      <c r="H72" s="451">
        <v>3</v>
      </c>
      <c r="I72" s="451" t="s">
        <v>52</v>
      </c>
      <c r="J72" s="451">
        <v>3</v>
      </c>
      <c r="K72" s="528">
        <v>3</v>
      </c>
      <c r="L72" s="528" t="s">
        <v>193</v>
      </c>
      <c r="M72" s="511" t="s">
        <v>145</v>
      </c>
      <c r="N72" s="451">
        <v>2</v>
      </c>
      <c r="O72" s="451">
        <v>2</v>
      </c>
      <c r="P72" s="451"/>
      <c r="Q72" s="511"/>
      <c r="R72" s="451"/>
      <c r="S72" s="451"/>
      <c r="T72" s="451"/>
      <c r="U72" s="451"/>
      <c r="V72" s="451"/>
      <c r="W72" s="511"/>
      <c r="X72" s="451"/>
      <c r="Y72" s="451"/>
      <c r="Z72" s="451"/>
      <c r="AA72" s="451"/>
      <c r="AB72" s="451"/>
      <c r="AC72" s="451"/>
      <c r="AD72" s="511"/>
      <c r="AE72" s="451"/>
      <c r="AF72" s="451"/>
      <c r="AG72" s="451"/>
      <c r="AH72" s="451"/>
      <c r="AI72" s="451"/>
      <c r="AJ72" s="94">
        <f t="shared" si="6"/>
        <v>0.75</v>
      </c>
      <c r="AK72" s="564"/>
      <c r="AL72" s="1"/>
      <c r="AM72" s="1"/>
      <c r="AN72" s="1"/>
      <c r="AQ72" s="2"/>
      <c r="AS72" s="2"/>
    </row>
    <row r="73" spans="1:52" ht="25.35" customHeight="1">
      <c r="A73" s="573"/>
      <c r="B73" s="573"/>
      <c r="C73" s="48" t="s">
        <v>60</v>
      </c>
      <c r="D73" s="504">
        <f t="shared" si="7"/>
        <v>12</v>
      </c>
      <c r="E73" s="185" t="s">
        <v>8</v>
      </c>
      <c r="F73" s="101"/>
      <c r="G73" s="523">
        <v>3</v>
      </c>
      <c r="H73" s="451">
        <v>3</v>
      </c>
      <c r="I73" s="451">
        <v>3</v>
      </c>
      <c r="J73" s="451">
        <v>3</v>
      </c>
      <c r="K73" s="528">
        <v>3</v>
      </c>
      <c r="L73" s="528" t="s">
        <v>51</v>
      </c>
      <c r="M73" s="511" t="s">
        <v>145</v>
      </c>
      <c r="N73" s="451" t="s">
        <v>193</v>
      </c>
      <c r="O73" s="528">
        <v>2</v>
      </c>
      <c r="P73" s="451"/>
      <c r="Q73" s="511"/>
      <c r="R73" s="451"/>
      <c r="S73" s="451"/>
      <c r="T73" s="451"/>
      <c r="U73" s="451"/>
      <c r="V73" s="451"/>
      <c r="W73" s="511"/>
      <c r="X73" s="451"/>
      <c r="Y73" s="451"/>
      <c r="Z73" s="451"/>
      <c r="AA73" s="451"/>
      <c r="AB73" s="451"/>
      <c r="AC73" s="451"/>
      <c r="AD73" s="511"/>
      <c r="AE73" s="451"/>
      <c r="AF73" s="451"/>
      <c r="AG73" s="451"/>
      <c r="AH73" s="451"/>
      <c r="AI73" s="451"/>
      <c r="AJ73" s="94">
        <f t="shared" si="6"/>
        <v>0.875</v>
      </c>
      <c r="AK73" s="564"/>
      <c r="AL73" s="1"/>
      <c r="AM73" s="1"/>
      <c r="AN73" s="1"/>
      <c r="AQ73" s="2"/>
      <c r="AS73" s="2"/>
    </row>
    <row r="74" spans="1:52" ht="25.35" customHeight="1">
      <c r="A74" s="573"/>
      <c r="B74" s="573"/>
      <c r="C74" s="48" t="s">
        <v>60</v>
      </c>
      <c r="D74" s="504">
        <f t="shared" si="7"/>
        <v>13</v>
      </c>
      <c r="E74" s="185" t="s">
        <v>41</v>
      </c>
      <c r="F74" s="111"/>
      <c r="G74" s="523" t="s">
        <v>145</v>
      </c>
      <c r="H74" s="451">
        <v>1</v>
      </c>
      <c r="I74" s="451">
        <v>1</v>
      </c>
      <c r="J74" s="451">
        <v>1</v>
      </c>
      <c r="K74" s="528">
        <v>3</v>
      </c>
      <c r="L74" s="451">
        <v>3</v>
      </c>
      <c r="M74" s="511" t="s">
        <v>145</v>
      </c>
      <c r="N74" s="451" t="s">
        <v>179</v>
      </c>
      <c r="O74" s="451" t="s">
        <v>179</v>
      </c>
      <c r="P74" s="451"/>
      <c r="Q74" s="511"/>
      <c r="R74" s="451"/>
      <c r="S74" s="451"/>
      <c r="T74" s="451"/>
      <c r="U74" s="451"/>
      <c r="V74" s="451"/>
      <c r="W74" s="511"/>
      <c r="X74" s="451"/>
      <c r="Y74" s="451"/>
      <c r="Z74" s="451"/>
      <c r="AA74" s="451"/>
      <c r="AB74" s="451"/>
      <c r="AC74" s="451"/>
      <c r="AD74" s="511"/>
      <c r="AE74" s="451"/>
      <c r="AF74" s="451"/>
      <c r="AG74" s="451"/>
      <c r="AH74" s="451"/>
      <c r="AI74" s="451"/>
      <c r="AJ74" s="94">
        <f t="shared" si="6"/>
        <v>1</v>
      </c>
      <c r="AK74" s="564"/>
      <c r="AL74" s="1"/>
      <c r="AM74" s="1"/>
      <c r="AN74" s="1"/>
      <c r="AQ74" s="2"/>
      <c r="AS74" s="2"/>
    </row>
    <row r="75" spans="1:52" ht="25.35" customHeight="1">
      <c r="A75" s="573"/>
      <c r="B75" s="573"/>
      <c r="C75" s="48" t="s">
        <v>55</v>
      </c>
      <c r="D75" s="504">
        <f t="shared" si="7"/>
        <v>14</v>
      </c>
      <c r="E75" s="185" t="s">
        <v>215</v>
      </c>
      <c r="F75" s="111"/>
      <c r="G75" s="523">
        <v>3</v>
      </c>
      <c r="H75" s="451">
        <v>3</v>
      </c>
      <c r="I75" s="451">
        <v>3</v>
      </c>
      <c r="J75" s="451">
        <v>3</v>
      </c>
      <c r="K75" s="528">
        <v>3</v>
      </c>
      <c r="L75" s="451">
        <v>3</v>
      </c>
      <c r="M75" s="511" t="s">
        <v>145</v>
      </c>
      <c r="N75" s="451">
        <v>2</v>
      </c>
      <c r="O75" s="451">
        <v>2</v>
      </c>
      <c r="P75" s="451"/>
      <c r="Q75" s="511"/>
      <c r="R75" s="451"/>
      <c r="S75" s="451"/>
      <c r="T75" s="451"/>
      <c r="U75" s="451"/>
      <c r="V75" s="451"/>
      <c r="W75" s="511"/>
      <c r="X75" s="451"/>
      <c r="Y75" s="451"/>
      <c r="Z75" s="451"/>
      <c r="AA75" s="451"/>
      <c r="AB75" s="451"/>
      <c r="AC75" s="451"/>
      <c r="AD75" s="511"/>
      <c r="AE75" s="451"/>
      <c r="AF75" s="451"/>
      <c r="AG75" s="451"/>
      <c r="AH75" s="451"/>
      <c r="AI75" s="451"/>
      <c r="AJ75" s="94">
        <f t="shared" si="6"/>
        <v>1</v>
      </c>
      <c r="AK75" s="564"/>
      <c r="AL75" s="1"/>
      <c r="AM75" s="1"/>
      <c r="AN75" s="1"/>
      <c r="AQ75" s="2"/>
      <c r="AS75" s="2"/>
    </row>
    <row r="76" spans="1:52" ht="25.35" customHeight="1">
      <c r="A76" s="573"/>
      <c r="B76" s="573"/>
      <c r="C76" s="48" t="s">
        <v>60</v>
      </c>
      <c r="D76" s="504">
        <f t="shared" si="7"/>
        <v>15</v>
      </c>
      <c r="E76" s="185" t="s">
        <v>32</v>
      </c>
      <c r="F76" s="111"/>
      <c r="G76" s="523" t="s">
        <v>145</v>
      </c>
      <c r="H76" s="451">
        <v>3</v>
      </c>
      <c r="I76" s="451">
        <v>3</v>
      </c>
      <c r="J76" s="451">
        <v>3</v>
      </c>
      <c r="K76" s="528">
        <v>3</v>
      </c>
      <c r="L76" s="451">
        <v>3</v>
      </c>
      <c r="M76" s="511" t="s">
        <v>145</v>
      </c>
      <c r="N76" s="451" t="s">
        <v>52</v>
      </c>
      <c r="O76" s="451" t="s">
        <v>51</v>
      </c>
      <c r="P76" s="451"/>
      <c r="Q76" s="511"/>
      <c r="R76" s="451"/>
      <c r="S76" s="451"/>
      <c r="T76" s="451"/>
      <c r="U76" s="451"/>
      <c r="V76" s="451"/>
      <c r="W76" s="511"/>
      <c r="X76" s="451"/>
      <c r="Y76" s="451"/>
      <c r="Z76" s="451"/>
      <c r="AA76" s="451"/>
      <c r="AB76" s="451"/>
      <c r="AC76" s="451"/>
      <c r="AD76" s="511"/>
      <c r="AE76" s="451"/>
      <c r="AF76" s="451"/>
      <c r="AG76" s="451"/>
      <c r="AH76" s="451"/>
      <c r="AI76" s="52"/>
      <c r="AJ76" s="94">
        <f t="shared" si="6"/>
        <v>0.8571428571428571</v>
      </c>
      <c r="AK76" s="564"/>
      <c r="AL76" s="1"/>
      <c r="AM76" s="1"/>
      <c r="AN76" s="1"/>
      <c r="AQ76" s="2"/>
      <c r="AS76" s="2"/>
    </row>
    <row r="77" spans="1:52" ht="25.35" customHeight="1">
      <c r="A77" s="573"/>
      <c r="B77" s="573"/>
      <c r="C77" s="48" t="s">
        <v>60</v>
      </c>
      <c r="D77" s="504">
        <f t="shared" si="7"/>
        <v>16</v>
      </c>
      <c r="E77" s="185" t="s">
        <v>152</v>
      </c>
      <c r="F77" s="111"/>
      <c r="G77" s="523">
        <v>3</v>
      </c>
      <c r="H77" s="451">
        <v>3</v>
      </c>
      <c r="I77" s="451">
        <v>3</v>
      </c>
      <c r="J77" s="451">
        <v>3</v>
      </c>
      <c r="K77" s="528">
        <v>3</v>
      </c>
      <c r="L77" s="528">
        <v>3</v>
      </c>
      <c r="M77" s="511" t="s">
        <v>145</v>
      </c>
      <c r="N77" s="451">
        <v>2</v>
      </c>
      <c r="O77" s="451">
        <v>2</v>
      </c>
      <c r="P77" s="451"/>
      <c r="Q77" s="511"/>
      <c r="R77" s="451"/>
      <c r="S77" s="451"/>
      <c r="T77" s="451"/>
      <c r="U77" s="451"/>
      <c r="V77" s="451"/>
      <c r="W77" s="511"/>
      <c r="X77" s="451"/>
      <c r="Y77" s="451"/>
      <c r="Z77" s="451"/>
      <c r="AA77" s="451"/>
      <c r="AB77" s="451"/>
      <c r="AC77" s="451"/>
      <c r="AD77" s="511"/>
      <c r="AE77" s="451"/>
      <c r="AF77" s="451"/>
      <c r="AG77" s="451"/>
      <c r="AH77" s="451"/>
      <c r="AI77" s="451"/>
      <c r="AJ77" s="94">
        <f t="shared" si="6"/>
        <v>1</v>
      </c>
      <c r="AK77" s="564"/>
      <c r="AL77" s="1"/>
      <c r="AM77" s="1"/>
      <c r="AN77" s="1"/>
      <c r="AQ77" s="2"/>
      <c r="AS77" s="2"/>
    </row>
    <row r="78" spans="1:52" ht="25.35" customHeight="1">
      <c r="A78" s="573"/>
      <c r="B78" s="573"/>
      <c r="C78" s="48" t="s">
        <v>55</v>
      </c>
      <c r="D78" s="504">
        <f t="shared" si="7"/>
        <v>17</v>
      </c>
      <c r="E78" s="184" t="s">
        <v>226</v>
      </c>
      <c r="F78" s="102"/>
      <c r="G78" s="523" t="s">
        <v>179</v>
      </c>
      <c r="H78" s="451" t="s">
        <v>51</v>
      </c>
      <c r="I78" s="451" t="s">
        <v>51</v>
      </c>
      <c r="J78" s="451" t="s">
        <v>51</v>
      </c>
      <c r="K78" s="528" t="s">
        <v>51</v>
      </c>
      <c r="L78" s="528">
        <v>3</v>
      </c>
      <c r="M78" s="511" t="s">
        <v>145</v>
      </c>
      <c r="N78" s="451">
        <v>2</v>
      </c>
      <c r="O78" s="451">
        <v>2</v>
      </c>
      <c r="P78" s="451"/>
      <c r="Q78" s="511"/>
      <c r="R78" s="451"/>
      <c r="S78" s="451"/>
      <c r="T78" s="451"/>
      <c r="U78" s="451"/>
      <c r="V78" s="451"/>
      <c r="W78" s="511"/>
      <c r="X78" s="451"/>
      <c r="Y78" s="451"/>
      <c r="Z78" s="451"/>
      <c r="AA78" s="451"/>
      <c r="AB78" s="451"/>
      <c r="AC78" s="451"/>
      <c r="AD78" s="511"/>
      <c r="AE78" s="451"/>
      <c r="AF78" s="451"/>
      <c r="AG78" s="451"/>
      <c r="AH78" s="451"/>
      <c r="AI78" s="451"/>
      <c r="AJ78" s="94">
        <f t="shared" si="6"/>
        <v>1</v>
      </c>
      <c r="AK78" s="564"/>
      <c r="AL78" s="1"/>
      <c r="AM78" s="1"/>
      <c r="AN78" s="1"/>
      <c r="AQ78" s="2"/>
      <c r="AS78" s="2"/>
    </row>
    <row r="79" spans="1:52" ht="25.35" customHeight="1">
      <c r="A79" s="573"/>
      <c r="B79" s="573"/>
      <c r="C79" s="48" t="s">
        <v>60</v>
      </c>
      <c r="D79" s="504">
        <f t="shared" si="7"/>
        <v>18</v>
      </c>
      <c r="E79" s="185" t="s">
        <v>160</v>
      </c>
      <c r="F79" s="101"/>
      <c r="G79" s="523" t="s">
        <v>179</v>
      </c>
      <c r="H79" s="451">
        <v>3</v>
      </c>
      <c r="I79" s="451">
        <v>3</v>
      </c>
      <c r="J79" s="451">
        <v>3</v>
      </c>
      <c r="K79" s="528">
        <v>3</v>
      </c>
      <c r="L79" s="451">
        <v>3</v>
      </c>
      <c r="M79" s="511" t="s">
        <v>145</v>
      </c>
      <c r="N79" s="451">
        <v>2</v>
      </c>
      <c r="O79" s="451">
        <v>2</v>
      </c>
      <c r="P79" s="451"/>
      <c r="Q79" s="511"/>
      <c r="R79" s="451"/>
      <c r="S79" s="451"/>
      <c r="T79" s="451"/>
      <c r="U79" s="451"/>
      <c r="V79" s="451"/>
      <c r="W79" s="511"/>
      <c r="X79" s="451"/>
      <c r="Y79" s="451"/>
      <c r="Z79" s="451"/>
      <c r="AA79" s="451"/>
      <c r="AB79" s="451"/>
      <c r="AC79" s="451"/>
      <c r="AD79" s="511"/>
      <c r="AE79" s="451"/>
      <c r="AF79" s="451"/>
      <c r="AG79" s="451"/>
      <c r="AH79" s="451"/>
      <c r="AI79" s="451"/>
      <c r="AJ79" s="94">
        <f t="shared" si="6"/>
        <v>1</v>
      </c>
      <c r="AK79" s="564"/>
      <c r="AL79" s="1"/>
      <c r="AM79" s="1"/>
      <c r="AN79" s="1"/>
      <c r="AQ79" s="2"/>
      <c r="AS79" s="2"/>
    </row>
    <row r="80" spans="1:52" ht="25.35" customHeight="1">
      <c r="A80" s="573"/>
      <c r="B80" s="573"/>
      <c r="C80" s="48" t="s">
        <v>60</v>
      </c>
      <c r="D80" s="504">
        <f t="shared" si="7"/>
        <v>19</v>
      </c>
      <c r="E80" s="185" t="s">
        <v>31</v>
      </c>
      <c r="F80" s="102"/>
      <c r="G80" s="523">
        <v>3</v>
      </c>
      <c r="H80" s="451">
        <v>3</v>
      </c>
      <c r="I80" s="451">
        <v>3</v>
      </c>
      <c r="J80" s="451">
        <v>3</v>
      </c>
      <c r="K80" s="528">
        <v>3</v>
      </c>
      <c r="L80" s="528">
        <v>3</v>
      </c>
      <c r="M80" s="511" t="s">
        <v>145</v>
      </c>
      <c r="N80" s="451">
        <v>2</v>
      </c>
      <c r="O80" s="451">
        <v>2</v>
      </c>
      <c r="P80" s="451"/>
      <c r="Q80" s="511"/>
      <c r="R80" s="451"/>
      <c r="S80" s="451"/>
      <c r="T80" s="451"/>
      <c r="U80" s="451"/>
      <c r="V80" s="451"/>
      <c r="W80" s="511"/>
      <c r="X80" s="451"/>
      <c r="Y80" s="451"/>
      <c r="Z80" s="451"/>
      <c r="AA80" s="451"/>
      <c r="AB80" s="451"/>
      <c r="AC80" s="451"/>
      <c r="AD80" s="511"/>
      <c r="AE80" s="451"/>
      <c r="AF80" s="451"/>
      <c r="AG80" s="451"/>
      <c r="AH80" s="451"/>
      <c r="AI80" s="451"/>
      <c r="AJ80" s="94">
        <f t="shared" si="6"/>
        <v>1</v>
      </c>
      <c r="AK80" s="564"/>
      <c r="AL80" s="1"/>
      <c r="AM80" s="1"/>
      <c r="AN80" s="1"/>
      <c r="AQ80" s="2"/>
      <c r="AS80" s="2"/>
    </row>
    <row r="81" spans="1:45" ht="25.35" customHeight="1">
      <c r="A81" s="573"/>
      <c r="B81" s="573"/>
      <c r="C81" s="48" t="s">
        <v>60</v>
      </c>
      <c r="D81" s="504">
        <f t="shared" si="7"/>
        <v>20</v>
      </c>
      <c r="E81" s="185" t="s">
        <v>20</v>
      </c>
      <c r="F81" s="97"/>
      <c r="G81" s="523">
        <v>3</v>
      </c>
      <c r="H81" s="451">
        <v>3</v>
      </c>
      <c r="I81" s="451">
        <v>3</v>
      </c>
      <c r="J81" s="451">
        <v>3</v>
      </c>
      <c r="K81" s="528">
        <v>3</v>
      </c>
      <c r="L81" s="451">
        <v>3</v>
      </c>
      <c r="M81" s="511" t="s">
        <v>145</v>
      </c>
      <c r="N81" s="451" t="s">
        <v>179</v>
      </c>
      <c r="O81" s="451" t="s">
        <v>51</v>
      </c>
      <c r="P81" s="451"/>
      <c r="Q81" s="511"/>
      <c r="R81" s="451"/>
      <c r="S81" s="451"/>
      <c r="T81" s="451"/>
      <c r="U81" s="451"/>
      <c r="V81" s="451"/>
      <c r="W81" s="511"/>
      <c r="X81" s="451"/>
      <c r="Y81" s="451"/>
      <c r="Z81" s="451"/>
      <c r="AA81" s="451"/>
      <c r="AB81" s="451"/>
      <c r="AC81" s="451"/>
      <c r="AD81" s="511"/>
      <c r="AE81" s="451"/>
      <c r="AF81" s="451"/>
      <c r="AG81" s="451"/>
      <c r="AH81" s="451"/>
      <c r="AI81" s="451"/>
      <c r="AJ81" s="94">
        <f t="shared" si="6"/>
        <v>1</v>
      </c>
      <c r="AK81" s="564"/>
      <c r="AL81" s="1"/>
      <c r="AM81" s="1"/>
      <c r="AN81" s="1"/>
      <c r="AQ81" s="2"/>
      <c r="AS81" s="2"/>
    </row>
    <row r="82" spans="1:45" ht="25.15" customHeight="1" thickBot="1">
      <c r="A82" s="573"/>
      <c r="B82" s="573"/>
      <c r="C82" s="48"/>
      <c r="D82" s="505">
        <f>D81+1</f>
        <v>21</v>
      </c>
      <c r="E82" s="181"/>
      <c r="F82" s="484"/>
      <c r="G82" s="516"/>
      <c r="H82" s="479"/>
      <c r="I82" s="479"/>
      <c r="J82" s="529"/>
      <c r="K82" s="529"/>
      <c r="L82" s="529"/>
      <c r="M82" s="479"/>
      <c r="N82" s="479"/>
      <c r="O82" s="479"/>
      <c r="P82" s="479"/>
      <c r="Q82" s="479"/>
      <c r="R82" s="479"/>
      <c r="S82" s="479"/>
      <c r="T82" s="479"/>
      <c r="U82" s="479"/>
      <c r="V82" s="479"/>
      <c r="W82" s="479"/>
      <c r="X82" s="479"/>
      <c r="Y82" s="479"/>
      <c r="Z82" s="479"/>
      <c r="AA82" s="479"/>
      <c r="AB82" s="479"/>
      <c r="AC82" s="479"/>
      <c r="AD82" s="479"/>
      <c r="AE82" s="479"/>
      <c r="AF82" s="479"/>
      <c r="AG82" s="479"/>
      <c r="AH82" s="479"/>
      <c r="AI82" s="479"/>
      <c r="AJ82" s="506" t="str">
        <f>IF((COUNTIF(G82:AH82, "x")+COUNTIF(G82:AH82, "1")+COUNTIF(G82:AH82, "2")+COUNTIF(G82:AH82, "3"))=0, "", (COUNTIF(G82:AH82, "1")+COUNTIF(G82:AH82, "2")+COUNTIF(G82:AH82, "3"))/(COUNTIF(G82:AH82, "x")+COUNTIF(G82:AH82, "1")+COUNTIF(G82:AH82, "2")+COUNTIF(G82:AH82, "3")))</f>
        <v/>
      </c>
      <c r="AK82" s="574"/>
      <c r="AL82" s="1"/>
      <c r="AM82" s="1"/>
      <c r="AN82" s="1"/>
      <c r="AQ82" s="2"/>
      <c r="AS82" s="2"/>
    </row>
    <row r="83" spans="1:45" ht="25.5" customHeight="1" thickBot="1">
      <c r="B83" s="110"/>
      <c r="C83" s="48"/>
      <c r="D83" s="495"/>
      <c r="E83" s="491"/>
      <c r="F83" s="492"/>
      <c r="G83" s="517"/>
      <c r="H83" s="517"/>
      <c r="I83" s="517"/>
      <c r="J83" s="517"/>
      <c r="K83" s="517"/>
      <c r="L83" s="517"/>
      <c r="M83" s="517"/>
      <c r="N83" s="517"/>
      <c r="O83" s="517"/>
      <c r="P83" s="517"/>
      <c r="Q83" s="517"/>
      <c r="R83" s="517"/>
      <c r="S83" s="517"/>
      <c r="T83" s="517"/>
      <c r="U83" s="517"/>
      <c r="V83" s="517"/>
      <c r="W83" s="517"/>
      <c r="X83" s="517"/>
      <c r="Y83" s="517"/>
      <c r="Z83" s="517"/>
      <c r="AA83" s="517"/>
      <c r="AB83" s="517"/>
      <c r="AC83" s="517"/>
      <c r="AD83" s="517"/>
      <c r="AE83" s="517"/>
      <c r="AF83" s="517"/>
      <c r="AG83" s="517"/>
      <c r="AH83" s="517"/>
      <c r="AI83" s="473"/>
      <c r="AJ83" s="486"/>
      <c r="AK83" s="168"/>
      <c r="AL83" s="1"/>
      <c r="AM83" s="1"/>
      <c r="AN83" s="1"/>
      <c r="AQ83" s="2"/>
      <c r="AS83" s="2"/>
    </row>
    <row r="84" spans="1:45" ht="30" customHeight="1" thickBot="1">
      <c r="B84" s="110"/>
      <c r="C84" s="47" t="s">
        <v>170</v>
      </c>
      <c r="D84" s="561" t="s">
        <v>141</v>
      </c>
      <c r="E84" s="562"/>
      <c r="F84" s="490"/>
      <c r="G84" s="501" t="s">
        <v>374</v>
      </c>
      <c r="H84" s="502"/>
      <c r="I84" s="502" t="s">
        <v>372</v>
      </c>
      <c r="J84" s="502" t="s">
        <v>380</v>
      </c>
      <c r="K84" s="502" t="s">
        <v>380</v>
      </c>
      <c r="L84" s="502"/>
      <c r="M84" s="502"/>
      <c r="N84" s="502"/>
      <c r="O84" s="502"/>
      <c r="P84" s="502" t="s">
        <v>388</v>
      </c>
      <c r="Q84" s="502" t="s">
        <v>380</v>
      </c>
      <c r="R84" s="502"/>
      <c r="S84" s="502" t="s">
        <v>380</v>
      </c>
      <c r="T84" s="502"/>
      <c r="U84" s="502"/>
      <c r="V84" s="502"/>
      <c r="W84" s="502"/>
      <c r="X84" s="502"/>
      <c r="Y84" s="502"/>
      <c r="Z84" s="502"/>
      <c r="AA84" s="502"/>
      <c r="AB84" s="502"/>
      <c r="AC84" s="502"/>
      <c r="AD84" s="502"/>
      <c r="AE84" s="502"/>
      <c r="AF84" s="502"/>
      <c r="AG84" s="502"/>
      <c r="AH84" s="502"/>
      <c r="AI84" s="494"/>
      <c r="AJ84" s="161"/>
      <c r="AK84" s="162"/>
      <c r="AL84" s="1"/>
      <c r="AM84" s="1"/>
      <c r="AN84" s="1"/>
      <c r="AQ84" s="2"/>
      <c r="AS84" s="2"/>
    </row>
    <row r="85" spans="1:45" ht="25.35" customHeight="1">
      <c r="A85" s="563" t="s">
        <v>187</v>
      </c>
      <c r="B85" s="563"/>
      <c r="C85" s="48" t="s">
        <v>55</v>
      </c>
      <c r="D85" s="95">
        <v>1</v>
      </c>
      <c r="E85" s="136" t="s">
        <v>182</v>
      </c>
      <c r="F85" s="101"/>
      <c r="G85" s="451">
        <v>3</v>
      </c>
      <c r="H85" s="451" t="s">
        <v>145</v>
      </c>
      <c r="I85" s="451" t="s">
        <v>51</v>
      </c>
      <c r="J85" s="451" t="s">
        <v>51</v>
      </c>
      <c r="K85" s="451" t="s">
        <v>51</v>
      </c>
      <c r="L85" s="451" t="s">
        <v>51</v>
      </c>
      <c r="M85" s="451" t="s">
        <v>51</v>
      </c>
      <c r="N85" s="451" t="s">
        <v>51</v>
      </c>
      <c r="O85" s="451"/>
      <c r="P85" s="451" t="s">
        <v>51</v>
      </c>
      <c r="Q85" s="451" t="s">
        <v>51</v>
      </c>
      <c r="R85" s="451" t="s">
        <v>51</v>
      </c>
      <c r="S85" s="451" t="s">
        <v>51</v>
      </c>
      <c r="T85" s="451"/>
      <c r="U85" s="451"/>
      <c r="V85" s="451"/>
      <c r="W85" s="451"/>
      <c r="X85" s="451"/>
      <c r="Y85" s="451"/>
      <c r="Z85" s="451"/>
      <c r="AA85" s="451"/>
      <c r="AB85" s="451"/>
      <c r="AC85" s="451"/>
      <c r="AD85" s="451"/>
      <c r="AE85" s="451"/>
      <c r="AF85" s="451"/>
      <c r="AG85" s="451"/>
      <c r="AH85" s="451"/>
      <c r="AI85" s="469"/>
      <c r="AJ85" s="94">
        <f t="shared" ref="AJ85:AJ105" si="8">IF((COUNTIF(G85:AH85, "x")+COUNTIF(G85:AH85, "1")+COUNTIF(G85:AH85, "2")+COUNTIF(G85:AH85, "3")+COUNTIF(G85:AH85, "L")+COUNTIF(G85:AH85, "VL")+COUNTIF(G85:AH85, "SL")+COUNTIF(G85:AH85, "EL"))=0, "", (COUNTIF(G85:AH85, "1")+COUNTIF(G85:AH85, "2")+COUNTIF(G85:AH85, "3")+COUNTIF(G85:AH85, "L")+COUNTIF(G85:AH85, "VL")+COUNTIF(G85:AH85, "SL")+COUNTIF(G85:AH85, "EL"))/(COUNTIF(G85:AH85, "x")+COUNTIF(G85:AH85, "1")+COUNTIF(G85:AH85, "2")+COUNTIF(G85:AH85, "3")+COUNTIF(G85:AH85, "L")+COUNTIF(G85:AH85, "VL")+COUNTIF(G85:AH85, "SL")+COUNTIF(G85:AH85, "EL")))</f>
        <v>1</v>
      </c>
      <c r="AK85" s="564">
        <f>AVERAGE(AJ85:AJ106)</f>
        <v>0.9821428571428571</v>
      </c>
      <c r="AL85" s="1"/>
      <c r="AM85" s="1"/>
      <c r="AN85" s="1"/>
      <c r="AQ85" s="2"/>
      <c r="AS85" s="2"/>
    </row>
    <row r="86" spans="1:45" ht="25.35" customHeight="1">
      <c r="A86" s="563"/>
      <c r="B86" s="563"/>
      <c r="C86" s="48" t="s">
        <v>55</v>
      </c>
      <c r="D86" s="504">
        <f>D85+1</f>
        <v>2</v>
      </c>
      <c r="E86" s="183" t="s">
        <v>188</v>
      </c>
      <c r="F86" s="97"/>
      <c r="G86" s="451">
        <v>3</v>
      </c>
      <c r="H86" s="451" t="s">
        <v>145</v>
      </c>
      <c r="I86" s="451">
        <v>2</v>
      </c>
      <c r="J86" s="451">
        <v>2</v>
      </c>
      <c r="K86" s="451">
        <v>2</v>
      </c>
      <c r="L86" s="451"/>
      <c r="M86" s="451"/>
      <c r="N86" s="451"/>
      <c r="O86" s="451"/>
      <c r="P86" s="451">
        <v>3</v>
      </c>
      <c r="Q86" s="451">
        <v>3</v>
      </c>
      <c r="R86" s="451">
        <v>3</v>
      </c>
      <c r="S86" s="451"/>
      <c r="T86" s="451"/>
      <c r="U86" s="451"/>
      <c r="V86" s="451"/>
      <c r="W86" s="451"/>
      <c r="X86" s="451"/>
      <c r="Y86" s="451"/>
      <c r="Z86" s="451"/>
      <c r="AA86" s="451"/>
      <c r="AB86" s="451"/>
      <c r="AC86" s="451"/>
      <c r="AD86" s="451"/>
      <c r="AE86" s="451"/>
      <c r="AF86" s="451"/>
      <c r="AG86" s="451"/>
      <c r="AH86" s="451"/>
      <c r="AI86" s="52"/>
      <c r="AJ86" s="94">
        <f t="shared" si="8"/>
        <v>1</v>
      </c>
      <c r="AK86" s="564"/>
      <c r="AL86" s="1"/>
      <c r="AM86" s="1"/>
      <c r="AN86" s="1"/>
      <c r="AQ86" s="2"/>
      <c r="AS86" s="2"/>
    </row>
    <row r="87" spans="1:45" ht="25.35" customHeight="1">
      <c r="A87" s="563"/>
      <c r="B87" s="563"/>
      <c r="C87" s="48" t="s">
        <v>55</v>
      </c>
      <c r="D87" s="504">
        <f>D86+1</f>
        <v>3</v>
      </c>
      <c r="E87" s="186" t="s">
        <v>364</v>
      </c>
      <c r="F87" s="97"/>
      <c r="G87" s="451" t="s">
        <v>52</v>
      </c>
      <c r="H87" s="451" t="s">
        <v>145</v>
      </c>
      <c r="I87" s="451" t="s">
        <v>191</v>
      </c>
      <c r="J87" s="451">
        <v>2</v>
      </c>
      <c r="K87" s="451">
        <v>2</v>
      </c>
      <c r="L87" s="451"/>
      <c r="M87" s="451"/>
      <c r="N87" s="451"/>
      <c r="O87" s="451"/>
      <c r="P87" s="451">
        <v>1</v>
      </c>
      <c r="Q87" s="451">
        <v>1</v>
      </c>
      <c r="R87" s="451">
        <v>1</v>
      </c>
      <c r="S87" s="451">
        <v>1</v>
      </c>
      <c r="T87" s="451"/>
      <c r="U87" s="451"/>
      <c r="V87" s="451"/>
      <c r="W87" s="451"/>
      <c r="X87" s="451"/>
      <c r="Y87" s="451"/>
      <c r="Z87" s="451"/>
      <c r="AA87" s="451"/>
      <c r="AB87" s="451"/>
      <c r="AC87" s="451"/>
      <c r="AD87" s="451"/>
      <c r="AE87" s="451"/>
      <c r="AF87" s="451"/>
      <c r="AG87" s="451"/>
      <c r="AH87" s="451"/>
      <c r="AI87" s="52"/>
      <c r="AJ87" s="94">
        <f t="shared" si="8"/>
        <v>0.875</v>
      </c>
      <c r="AK87" s="564"/>
      <c r="AL87" s="1"/>
      <c r="AM87" s="1"/>
      <c r="AN87" s="1"/>
      <c r="AQ87" s="2"/>
      <c r="AS87" s="2"/>
    </row>
    <row r="88" spans="1:45" ht="25.35" customHeight="1">
      <c r="A88" s="563"/>
      <c r="B88" s="563"/>
      <c r="C88" s="48" t="s">
        <v>55</v>
      </c>
      <c r="D88" s="504">
        <f>D87+1</f>
        <v>4</v>
      </c>
      <c r="E88" s="186" t="s">
        <v>367</v>
      </c>
      <c r="F88" s="97"/>
      <c r="G88" s="451">
        <v>3</v>
      </c>
      <c r="H88" s="451" t="s">
        <v>145</v>
      </c>
      <c r="I88" s="451">
        <v>2</v>
      </c>
      <c r="J88" s="451">
        <v>2</v>
      </c>
      <c r="K88" s="451">
        <v>2</v>
      </c>
      <c r="L88" s="451"/>
      <c r="M88" s="451"/>
      <c r="N88" s="451"/>
      <c r="O88" s="451"/>
      <c r="P88" s="451">
        <v>1</v>
      </c>
      <c r="Q88" s="451">
        <v>1</v>
      </c>
      <c r="R88" s="451">
        <v>1</v>
      </c>
      <c r="S88" s="451">
        <v>1</v>
      </c>
      <c r="T88" s="451"/>
      <c r="U88" s="451"/>
      <c r="V88" s="451"/>
      <c r="W88" s="451"/>
      <c r="X88" s="451"/>
      <c r="Y88" s="451"/>
      <c r="Z88" s="451"/>
      <c r="AA88" s="451"/>
      <c r="AB88" s="451"/>
      <c r="AC88" s="451"/>
      <c r="AD88" s="451"/>
      <c r="AE88" s="451"/>
      <c r="AF88" s="451"/>
      <c r="AG88" s="451"/>
      <c r="AH88" s="451"/>
      <c r="AI88" s="52"/>
      <c r="AJ88" s="94">
        <f t="shared" si="8"/>
        <v>1</v>
      </c>
      <c r="AK88" s="564"/>
      <c r="AL88" s="1"/>
      <c r="AM88" s="1"/>
      <c r="AN88" s="1"/>
      <c r="AQ88" s="2"/>
      <c r="AS88" s="2"/>
    </row>
    <row r="89" spans="1:45" ht="25.35" customHeight="1">
      <c r="A89" s="563"/>
      <c r="B89" s="563"/>
      <c r="C89" s="48" t="s">
        <v>60</v>
      </c>
      <c r="D89" s="504">
        <f t="shared" ref="D89:D106" si="9">D88+1</f>
        <v>5</v>
      </c>
      <c r="E89" s="186" t="s">
        <v>27</v>
      </c>
      <c r="F89" s="102"/>
      <c r="G89" s="451">
        <v>3</v>
      </c>
      <c r="H89" s="451" t="s">
        <v>145</v>
      </c>
      <c r="I89" s="451">
        <v>2</v>
      </c>
      <c r="J89" s="451">
        <v>2</v>
      </c>
      <c r="K89" s="451">
        <v>2</v>
      </c>
      <c r="L89" s="451"/>
      <c r="M89" s="451"/>
      <c r="N89" s="451"/>
      <c r="O89" s="451"/>
      <c r="P89" s="451" t="s">
        <v>191</v>
      </c>
      <c r="Q89" s="451">
        <v>1</v>
      </c>
      <c r="R89" s="451">
        <v>1</v>
      </c>
      <c r="S89" s="451">
        <v>1</v>
      </c>
      <c r="T89" s="451"/>
      <c r="U89" s="451"/>
      <c r="V89" s="451"/>
      <c r="W89" s="451"/>
      <c r="X89" s="451"/>
      <c r="Y89" s="451"/>
      <c r="Z89" s="451"/>
      <c r="AA89" s="451"/>
      <c r="AB89" s="451"/>
      <c r="AC89" s="451"/>
      <c r="AD89" s="451"/>
      <c r="AE89" s="451"/>
      <c r="AF89" s="451"/>
      <c r="AG89" s="451"/>
      <c r="AH89" s="451"/>
      <c r="AI89" s="52"/>
      <c r="AJ89" s="94">
        <f t="shared" si="8"/>
        <v>1</v>
      </c>
      <c r="AK89" s="564"/>
      <c r="AL89" s="1"/>
      <c r="AM89" s="1"/>
      <c r="AN89" s="1"/>
      <c r="AQ89" s="2"/>
      <c r="AS89" s="2"/>
    </row>
    <row r="90" spans="1:45" ht="25.35" customHeight="1">
      <c r="A90" s="563"/>
      <c r="B90" s="563"/>
      <c r="C90" s="48" t="s">
        <v>60</v>
      </c>
      <c r="D90" s="504">
        <f t="shared" si="9"/>
        <v>6</v>
      </c>
      <c r="E90" s="186" t="s">
        <v>175</v>
      </c>
      <c r="F90" s="102"/>
      <c r="G90" s="451">
        <v>3</v>
      </c>
      <c r="H90" s="451" t="s">
        <v>145</v>
      </c>
      <c r="I90" s="451" t="s">
        <v>193</v>
      </c>
      <c r="J90" s="451">
        <v>2</v>
      </c>
      <c r="K90" s="451">
        <v>2</v>
      </c>
      <c r="L90" s="451"/>
      <c r="M90" s="451"/>
      <c r="N90" s="451"/>
      <c r="O90" s="451"/>
      <c r="P90" s="451">
        <v>1</v>
      </c>
      <c r="Q90" s="451">
        <v>1</v>
      </c>
      <c r="R90" s="451">
        <v>1</v>
      </c>
      <c r="S90" s="451">
        <v>1</v>
      </c>
      <c r="T90" s="451"/>
      <c r="U90" s="451"/>
      <c r="V90" s="451"/>
      <c r="W90" s="451"/>
      <c r="X90" s="451"/>
      <c r="Y90" s="451"/>
      <c r="Z90" s="451"/>
      <c r="AA90" s="451"/>
      <c r="AB90" s="451"/>
      <c r="AC90" s="451"/>
      <c r="AD90" s="451"/>
      <c r="AE90" s="451"/>
      <c r="AF90" s="451"/>
      <c r="AG90" s="451"/>
      <c r="AH90" s="451"/>
      <c r="AI90" s="52"/>
      <c r="AJ90" s="94">
        <f t="shared" si="8"/>
        <v>0.875</v>
      </c>
      <c r="AK90" s="564"/>
      <c r="AL90" s="1"/>
      <c r="AM90" s="1"/>
      <c r="AN90" s="1"/>
      <c r="AQ90" s="2"/>
      <c r="AS90" s="2"/>
    </row>
    <row r="91" spans="1:45" ht="25.35" customHeight="1">
      <c r="A91" s="563"/>
      <c r="B91" s="563"/>
      <c r="C91" s="48" t="s">
        <v>60</v>
      </c>
      <c r="D91" s="504">
        <f t="shared" si="9"/>
        <v>7</v>
      </c>
      <c r="E91" s="186" t="s">
        <v>125</v>
      </c>
      <c r="F91" s="103"/>
      <c r="G91" s="451" t="s">
        <v>179</v>
      </c>
      <c r="H91" s="451" t="s">
        <v>145</v>
      </c>
      <c r="I91" s="451">
        <v>2</v>
      </c>
      <c r="J91" s="451">
        <v>2</v>
      </c>
      <c r="K91" s="451">
        <v>2</v>
      </c>
      <c r="L91" s="451"/>
      <c r="M91" s="451"/>
      <c r="N91" s="451"/>
      <c r="O91" s="451"/>
      <c r="P91" s="451">
        <v>1</v>
      </c>
      <c r="Q91" s="451">
        <v>1</v>
      </c>
      <c r="R91" s="451">
        <v>1</v>
      </c>
      <c r="S91" s="451">
        <v>1</v>
      </c>
      <c r="T91" s="451"/>
      <c r="U91" s="451"/>
      <c r="V91" s="451"/>
      <c r="W91" s="451"/>
      <c r="X91" s="451"/>
      <c r="Y91" s="451"/>
      <c r="Z91" s="451"/>
      <c r="AA91" s="451"/>
      <c r="AB91" s="451"/>
      <c r="AC91" s="451"/>
      <c r="AD91" s="451"/>
      <c r="AE91" s="451"/>
      <c r="AF91" s="451"/>
      <c r="AG91" s="451"/>
      <c r="AH91" s="451"/>
      <c r="AI91" s="52"/>
      <c r="AJ91" s="94">
        <f t="shared" si="8"/>
        <v>1</v>
      </c>
      <c r="AK91" s="564"/>
      <c r="AL91" s="1"/>
      <c r="AM91" s="1"/>
      <c r="AN91" s="1"/>
      <c r="AQ91" s="2"/>
      <c r="AS91" s="2"/>
    </row>
    <row r="92" spans="1:45" ht="25.35" customHeight="1">
      <c r="A92" s="563"/>
      <c r="B92" s="563"/>
      <c r="C92" s="48" t="s">
        <v>60</v>
      </c>
      <c r="D92" s="504">
        <f t="shared" si="9"/>
        <v>8</v>
      </c>
      <c r="E92" s="186" t="s">
        <v>181</v>
      </c>
      <c r="F92" s="103"/>
      <c r="G92" s="451">
        <v>3</v>
      </c>
      <c r="H92" s="451" t="s">
        <v>145</v>
      </c>
      <c r="I92" s="451" t="s">
        <v>191</v>
      </c>
      <c r="J92" s="451">
        <v>2</v>
      </c>
      <c r="K92" s="451">
        <v>2</v>
      </c>
      <c r="L92" s="451"/>
      <c r="M92" s="451"/>
      <c r="N92" s="451"/>
      <c r="O92" s="451"/>
      <c r="P92" s="451" t="s">
        <v>191</v>
      </c>
      <c r="Q92" s="451">
        <v>1</v>
      </c>
      <c r="R92" s="451">
        <v>1</v>
      </c>
      <c r="S92" s="451">
        <v>1</v>
      </c>
      <c r="T92" s="451"/>
      <c r="U92" s="451"/>
      <c r="V92" s="451"/>
      <c r="W92" s="451"/>
      <c r="X92" s="451"/>
      <c r="Y92" s="451"/>
      <c r="Z92" s="451"/>
      <c r="AA92" s="451"/>
      <c r="AB92" s="451"/>
      <c r="AC92" s="451"/>
      <c r="AD92" s="451"/>
      <c r="AE92" s="451"/>
      <c r="AF92" s="451"/>
      <c r="AG92" s="451"/>
      <c r="AH92" s="451"/>
      <c r="AI92" s="52"/>
      <c r="AJ92" s="94">
        <f t="shared" si="8"/>
        <v>1</v>
      </c>
      <c r="AK92" s="564"/>
      <c r="AL92" s="1"/>
      <c r="AM92" s="1"/>
      <c r="AN92" s="1"/>
      <c r="AQ92" s="2"/>
      <c r="AS92" s="2"/>
    </row>
    <row r="93" spans="1:45" ht="25.35" customHeight="1">
      <c r="A93" s="563"/>
      <c r="B93" s="563"/>
      <c r="C93" s="48" t="s">
        <v>60</v>
      </c>
      <c r="D93" s="504">
        <f t="shared" si="9"/>
        <v>9</v>
      </c>
      <c r="E93" s="186" t="s">
        <v>161</v>
      </c>
      <c r="F93" s="111"/>
      <c r="G93" s="451">
        <v>3</v>
      </c>
      <c r="H93" s="451" t="s">
        <v>145</v>
      </c>
      <c r="I93" s="451">
        <v>2</v>
      </c>
      <c r="J93" s="451">
        <v>2</v>
      </c>
      <c r="K93" s="451">
        <v>2</v>
      </c>
      <c r="L93" s="451"/>
      <c r="M93" s="451"/>
      <c r="N93" s="451"/>
      <c r="O93" s="451"/>
      <c r="P93" s="451">
        <v>1</v>
      </c>
      <c r="Q93" s="451">
        <v>1</v>
      </c>
      <c r="R93" s="451">
        <v>1</v>
      </c>
      <c r="S93" s="451">
        <v>1</v>
      </c>
      <c r="T93" s="451"/>
      <c r="U93" s="451"/>
      <c r="V93" s="451"/>
      <c r="W93" s="451"/>
      <c r="X93" s="451"/>
      <c r="Y93" s="451"/>
      <c r="Z93" s="451"/>
      <c r="AA93" s="451"/>
      <c r="AB93" s="451"/>
      <c r="AC93" s="451"/>
      <c r="AD93" s="451"/>
      <c r="AE93" s="451"/>
      <c r="AF93" s="451"/>
      <c r="AG93" s="451"/>
      <c r="AH93" s="451"/>
      <c r="AI93" s="52"/>
      <c r="AJ93" s="94">
        <f t="shared" si="8"/>
        <v>1</v>
      </c>
      <c r="AK93" s="564"/>
      <c r="AL93" s="1"/>
      <c r="AM93" s="1"/>
      <c r="AN93" s="1"/>
      <c r="AQ93" s="2"/>
      <c r="AS93" s="2"/>
    </row>
    <row r="94" spans="1:45" ht="25.35" customHeight="1">
      <c r="A94" s="563"/>
      <c r="B94" s="563"/>
      <c r="C94" s="48" t="s">
        <v>55</v>
      </c>
      <c r="D94" s="504">
        <f t="shared" si="9"/>
        <v>10</v>
      </c>
      <c r="E94" s="183" t="s">
        <v>227</v>
      </c>
      <c r="F94" s="102"/>
      <c r="G94" s="451">
        <v>3</v>
      </c>
      <c r="H94" s="451" t="s">
        <v>145</v>
      </c>
      <c r="I94" s="451">
        <v>2</v>
      </c>
      <c r="J94" s="451">
        <v>2</v>
      </c>
      <c r="K94" s="451">
        <v>2</v>
      </c>
      <c r="L94" s="451"/>
      <c r="M94" s="451"/>
      <c r="N94" s="451"/>
      <c r="O94" s="451"/>
      <c r="P94" s="451">
        <v>1</v>
      </c>
      <c r="Q94" s="451">
        <v>1</v>
      </c>
      <c r="R94" s="451">
        <v>1</v>
      </c>
      <c r="S94" s="451">
        <v>1</v>
      </c>
      <c r="T94" s="451"/>
      <c r="U94" s="451"/>
      <c r="V94" s="451"/>
      <c r="W94" s="451"/>
      <c r="X94" s="451"/>
      <c r="Y94" s="451"/>
      <c r="Z94" s="451"/>
      <c r="AA94" s="451"/>
      <c r="AB94" s="451"/>
      <c r="AC94" s="451"/>
      <c r="AD94" s="451"/>
      <c r="AE94" s="451"/>
      <c r="AF94" s="451"/>
      <c r="AG94" s="451"/>
      <c r="AH94" s="451"/>
      <c r="AI94" s="52"/>
      <c r="AJ94" s="94">
        <f t="shared" si="8"/>
        <v>1</v>
      </c>
      <c r="AK94" s="564"/>
      <c r="AL94" s="1"/>
      <c r="AM94" s="1"/>
      <c r="AN94" s="1"/>
      <c r="AQ94" s="2"/>
      <c r="AS94" s="2"/>
    </row>
    <row r="95" spans="1:45" ht="25.35" customHeight="1">
      <c r="A95" s="563"/>
      <c r="B95" s="563"/>
      <c r="C95" s="48" t="s">
        <v>55</v>
      </c>
      <c r="D95" s="504">
        <f t="shared" si="9"/>
        <v>11</v>
      </c>
      <c r="E95" s="183" t="s">
        <v>360</v>
      </c>
      <c r="F95" s="101"/>
      <c r="G95" s="451" t="s">
        <v>179</v>
      </c>
      <c r="H95" s="451" t="s">
        <v>145</v>
      </c>
      <c r="I95" s="524">
        <v>2</v>
      </c>
      <c r="J95" s="451">
        <v>2</v>
      </c>
      <c r="K95" s="451">
        <v>2</v>
      </c>
      <c r="L95" s="451"/>
      <c r="M95" s="451"/>
      <c r="N95" s="451"/>
      <c r="O95" s="451"/>
      <c r="P95" s="451">
        <v>1</v>
      </c>
      <c r="Q95" s="451">
        <v>1</v>
      </c>
      <c r="R95" s="451">
        <v>1</v>
      </c>
      <c r="S95" s="451">
        <v>1</v>
      </c>
      <c r="T95" s="451"/>
      <c r="U95" s="451"/>
      <c r="V95" s="451"/>
      <c r="W95" s="451"/>
      <c r="X95" s="451"/>
      <c r="Y95" s="451"/>
      <c r="Z95" s="451"/>
      <c r="AA95" s="451"/>
      <c r="AB95" s="451"/>
      <c r="AC95" s="451"/>
      <c r="AD95" s="451"/>
      <c r="AE95" s="528"/>
      <c r="AF95" s="451"/>
      <c r="AG95" s="451"/>
      <c r="AH95" s="451"/>
      <c r="AI95" s="52"/>
      <c r="AJ95" s="94">
        <f t="shared" si="8"/>
        <v>1</v>
      </c>
      <c r="AK95" s="564"/>
      <c r="AL95" s="1"/>
      <c r="AM95" s="1"/>
      <c r="AN95" s="1"/>
      <c r="AQ95" s="2"/>
      <c r="AS95" s="2"/>
    </row>
    <row r="96" spans="1:45" ht="25.35" customHeight="1">
      <c r="A96" s="563"/>
      <c r="B96" s="563"/>
      <c r="C96" s="48" t="s">
        <v>60</v>
      </c>
      <c r="D96" s="504">
        <f t="shared" si="9"/>
        <v>12</v>
      </c>
      <c r="E96" s="186" t="s">
        <v>154</v>
      </c>
      <c r="F96" s="97"/>
      <c r="G96" s="451">
        <v>3</v>
      </c>
      <c r="H96" s="451" t="s">
        <v>145</v>
      </c>
      <c r="I96" s="451">
        <v>2</v>
      </c>
      <c r="J96" s="451">
        <v>2</v>
      </c>
      <c r="K96" s="451">
        <v>2</v>
      </c>
      <c r="L96" s="451"/>
      <c r="M96" s="451"/>
      <c r="N96" s="451"/>
      <c r="O96" s="451"/>
      <c r="P96" s="451">
        <v>1</v>
      </c>
      <c r="Q96" s="451">
        <v>1</v>
      </c>
      <c r="R96" s="451">
        <v>1</v>
      </c>
      <c r="S96" s="451">
        <v>1</v>
      </c>
      <c r="T96" s="451"/>
      <c r="U96" s="451"/>
      <c r="V96" s="451"/>
      <c r="W96" s="451"/>
      <c r="X96" s="451"/>
      <c r="Y96" s="451"/>
      <c r="Z96" s="451"/>
      <c r="AA96" s="451"/>
      <c r="AB96" s="451"/>
      <c r="AC96" s="451"/>
      <c r="AD96" s="451"/>
      <c r="AE96" s="528"/>
      <c r="AF96" s="451"/>
      <c r="AG96" s="451"/>
      <c r="AH96" s="451"/>
      <c r="AI96" s="478"/>
      <c r="AJ96" s="94">
        <f t="shared" si="8"/>
        <v>1</v>
      </c>
      <c r="AK96" s="564"/>
      <c r="AL96" s="1"/>
      <c r="AM96" s="1"/>
      <c r="AN96" s="1"/>
      <c r="AQ96" s="2"/>
      <c r="AS96" s="2"/>
    </row>
    <row r="97" spans="1:46" ht="25.35" customHeight="1">
      <c r="A97" s="563"/>
      <c r="B97" s="563"/>
      <c r="C97" s="48" t="s">
        <v>60</v>
      </c>
      <c r="D97" s="504">
        <f t="shared" si="9"/>
        <v>13</v>
      </c>
      <c r="E97" s="186" t="s">
        <v>23</v>
      </c>
      <c r="F97" s="102"/>
      <c r="G97" s="451">
        <v>3</v>
      </c>
      <c r="H97" s="451" t="s">
        <v>145</v>
      </c>
      <c r="I97" s="451" t="s">
        <v>191</v>
      </c>
      <c r="J97" s="451" t="s">
        <v>179</v>
      </c>
      <c r="K97" s="451" t="s">
        <v>179</v>
      </c>
      <c r="L97" s="451"/>
      <c r="M97" s="451"/>
      <c r="N97" s="451"/>
      <c r="O97" s="451"/>
      <c r="P97" s="451">
        <v>1</v>
      </c>
      <c r="Q97" s="451">
        <v>1</v>
      </c>
      <c r="R97" s="451">
        <v>1</v>
      </c>
      <c r="S97" s="451">
        <v>1</v>
      </c>
      <c r="T97" s="451"/>
      <c r="U97" s="451"/>
      <c r="V97" s="451"/>
      <c r="W97" s="451"/>
      <c r="X97" s="451"/>
      <c r="Y97" s="451"/>
      <c r="Z97" s="451"/>
      <c r="AA97" s="451"/>
      <c r="AB97" s="451"/>
      <c r="AC97" s="451"/>
      <c r="AD97" s="451"/>
      <c r="AE97" s="451"/>
      <c r="AF97" s="451"/>
      <c r="AG97" s="451"/>
      <c r="AH97" s="451"/>
      <c r="AI97" s="52"/>
      <c r="AJ97" s="94">
        <f t="shared" si="8"/>
        <v>1</v>
      </c>
      <c r="AK97" s="564"/>
      <c r="AL97" s="1"/>
      <c r="AM97" s="1"/>
      <c r="AN97" s="1"/>
      <c r="AQ97" s="2"/>
      <c r="AS97" s="2"/>
    </row>
    <row r="98" spans="1:46" ht="25.35" customHeight="1">
      <c r="A98" s="563"/>
      <c r="B98" s="563"/>
      <c r="C98" s="48" t="s">
        <v>60</v>
      </c>
      <c r="D98" s="504">
        <f t="shared" si="9"/>
        <v>14</v>
      </c>
      <c r="E98" s="186" t="s">
        <v>363</v>
      </c>
      <c r="F98" s="102"/>
      <c r="G98" s="451">
        <v>3</v>
      </c>
      <c r="H98" s="451" t="s">
        <v>145</v>
      </c>
      <c r="I98" s="451">
        <v>2</v>
      </c>
      <c r="J98" s="451">
        <v>2</v>
      </c>
      <c r="K98" s="451">
        <v>2</v>
      </c>
      <c r="L98" s="451"/>
      <c r="M98" s="451"/>
      <c r="N98" s="451"/>
      <c r="O98" s="451"/>
      <c r="P98" s="451">
        <v>1</v>
      </c>
      <c r="Q98" s="451">
        <v>1</v>
      </c>
      <c r="R98" s="451">
        <v>1</v>
      </c>
      <c r="S98" s="451">
        <v>1</v>
      </c>
      <c r="T98" s="451"/>
      <c r="U98" s="451"/>
      <c r="V98" s="451"/>
      <c r="W98" s="451"/>
      <c r="X98" s="451"/>
      <c r="Y98" s="451"/>
      <c r="Z98" s="451"/>
      <c r="AA98" s="451"/>
      <c r="AB98" s="451"/>
      <c r="AC98" s="451"/>
      <c r="AD98" s="451"/>
      <c r="AE98" s="451"/>
      <c r="AF98" s="451"/>
      <c r="AG98" s="451"/>
      <c r="AH98" s="451"/>
      <c r="AI98" s="52"/>
      <c r="AJ98" s="94">
        <f t="shared" si="8"/>
        <v>1</v>
      </c>
      <c r="AK98" s="564"/>
      <c r="AL98" s="1"/>
      <c r="AM98" s="1"/>
      <c r="AN98" s="1"/>
      <c r="AQ98" s="2"/>
      <c r="AS98" s="2"/>
    </row>
    <row r="99" spans="1:46" ht="25.35" customHeight="1">
      <c r="A99" s="563"/>
      <c r="B99" s="563"/>
      <c r="C99" s="48" t="s">
        <v>55</v>
      </c>
      <c r="D99" s="504">
        <f t="shared" si="9"/>
        <v>15</v>
      </c>
      <c r="E99" s="179" t="s">
        <v>216</v>
      </c>
      <c r="F99" s="101"/>
      <c r="G99" s="451">
        <v>3</v>
      </c>
      <c r="H99" s="451" t="s">
        <v>145</v>
      </c>
      <c r="I99" s="451">
        <v>2</v>
      </c>
      <c r="J99" s="451">
        <v>2</v>
      </c>
      <c r="K99" s="451">
        <v>2</v>
      </c>
      <c r="L99" s="451"/>
      <c r="M99" s="451"/>
      <c r="N99" s="451"/>
      <c r="O99" s="451"/>
      <c r="P99" s="451">
        <v>1</v>
      </c>
      <c r="Q99" s="451">
        <v>1</v>
      </c>
      <c r="R99" s="451">
        <v>1</v>
      </c>
      <c r="S99" s="451">
        <v>1</v>
      </c>
      <c r="T99" s="451"/>
      <c r="U99" s="451"/>
      <c r="V99" s="451"/>
      <c r="W99" s="451"/>
      <c r="X99" s="451"/>
      <c r="Y99" s="451"/>
      <c r="Z99" s="451"/>
      <c r="AA99" s="451"/>
      <c r="AB99" s="451"/>
      <c r="AC99" s="451"/>
      <c r="AD99" s="451"/>
      <c r="AE99" s="451"/>
      <c r="AF99" s="451"/>
      <c r="AG99" s="451"/>
      <c r="AH99" s="451"/>
      <c r="AI99" s="52"/>
      <c r="AJ99" s="94">
        <f t="shared" si="8"/>
        <v>1</v>
      </c>
      <c r="AK99" s="564"/>
      <c r="AL99" s="1"/>
      <c r="AM99" s="1"/>
      <c r="AN99" s="1"/>
      <c r="AQ99" s="2"/>
      <c r="AS99" s="2"/>
    </row>
    <row r="100" spans="1:46" ht="25.35" customHeight="1">
      <c r="A100" s="563"/>
      <c r="B100" s="563"/>
      <c r="C100" s="48" t="s">
        <v>60</v>
      </c>
      <c r="D100" s="504">
        <f t="shared" si="9"/>
        <v>16</v>
      </c>
      <c r="E100" s="183" t="s">
        <v>3</v>
      </c>
      <c r="F100" s="97"/>
      <c r="G100" s="451">
        <v>1</v>
      </c>
      <c r="H100" s="451" t="s">
        <v>145</v>
      </c>
      <c r="I100" s="451" t="s">
        <v>193</v>
      </c>
      <c r="J100" s="451">
        <v>2</v>
      </c>
      <c r="K100" s="524">
        <v>2</v>
      </c>
      <c r="L100" s="451"/>
      <c r="M100" s="451"/>
      <c r="N100" s="451"/>
      <c r="O100" s="451"/>
      <c r="P100" s="451">
        <v>1</v>
      </c>
      <c r="Q100" s="451">
        <v>1</v>
      </c>
      <c r="R100" s="451">
        <v>1</v>
      </c>
      <c r="S100" s="451">
        <v>1</v>
      </c>
      <c r="T100" s="451"/>
      <c r="U100" s="451"/>
      <c r="V100" s="451"/>
      <c r="W100" s="451"/>
      <c r="X100" s="451"/>
      <c r="Y100" s="451"/>
      <c r="Z100" s="451"/>
      <c r="AA100" s="451"/>
      <c r="AB100" s="451"/>
      <c r="AC100" s="451"/>
      <c r="AD100" s="451"/>
      <c r="AE100" s="451"/>
      <c r="AF100" s="451"/>
      <c r="AG100" s="451"/>
      <c r="AH100" s="451"/>
      <c r="AI100" s="52"/>
      <c r="AJ100" s="94">
        <f t="shared" si="8"/>
        <v>0.875</v>
      </c>
      <c r="AK100" s="564"/>
      <c r="AL100" s="1"/>
      <c r="AM100" s="1"/>
      <c r="AN100" s="1"/>
      <c r="AQ100" s="2"/>
      <c r="AS100" s="2"/>
    </row>
    <row r="101" spans="1:46" ht="25.35" customHeight="1">
      <c r="A101" s="563"/>
      <c r="B101" s="563"/>
      <c r="C101" s="48" t="s">
        <v>60</v>
      </c>
      <c r="D101" s="504">
        <f t="shared" si="9"/>
        <v>17</v>
      </c>
      <c r="E101" s="183" t="s">
        <v>222</v>
      </c>
      <c r="F101" s="103"/>
      <c r="G101" s="451">
        <v>3</v>
      </c>
      <c r="H101" s="451" t="s">
        <v>145</v>
      </c>
      <c r="I101" s="451">
        <v>2</v>
      </c>
      <c r="J101" s="451">
        <v>2</v>
      </c>
      <c r="K101" s="524">
        <v>2</v>
      </c>
      <c r="L101" s="451"/>
      <c r="M101" s="451"/>
      <c r="N101" s="451"/>
      <c r="O101" s="451"/>
      <c r="P101" s="451">
        <v>1</v>
      </c>
      <c r="Q101" s="451">
        <v>1</v>
      </c>
      <c r="R101" s="451">
        <v>1</v>
      </c>
      <c r="S101" s="451">
        <v>1</v>
      </c>
      <c r="T101" s="451"/>
      <c r="U101" s="451"/>
      <c r="V101" s="451"/>
      <c r="W101" s="451"/>
      <c r="X101" s="451"/>
      <c r="Y101" s="451"/>
      <c r="Z101" s="451"/>
      <c r="AA101" s="451"/>
      <c r="AB101" s="451"/>
      <c r="AC101" s="451"/>
      <c r="AD101" s="451"/>
      <c r="AE101" s="451"/>
      <c r="AF101" s="451"/>
      <c r="AG101" s="451"/>
      <c r="AH101" s="451"/>
      <c r="AI101" s="52"/>
      <c r="AJ101" s="94">
        <f t="shared" si="8"/>
        <v>1</v>
      </c>
      <c r="AK101" s="564"/>
      <c r="AL101" s="1"/>
      <c r="AM101" s="1"/>
      <c r="AN101" s="1"/>
      <c r="AQ101" s="2"/>
      <c r="AS101" s="2"/>
    </row>
    <row r="102" spans="1:46" ht="25.35" customHeight="1">
      <c r="A102" s="563"/>
      <c r="B102" s="563"/>
      <c r="C102" s="48" t="s">
        <v>55</v>
      </c>
      <c r="D102" s="504">
        <f t="shared" si="9"/>
        <v>18</v>
      </c>
      <c r="E102" s="183" t="s">
        <v>357</v>
      </c>
      <c r="F102" s="103"/>
      <c r="G102" s="451">
        <v>3</v>
      </c>
      <c r="H102" s="451" t="s">
        <v>145</v>
      </c>
      <c r="I102" s="451">
        <v>2</v>
      </c>
      <c r="J102" s="451">
        <v>2</v>
      </c>
      <c r="K102" s="524">
        <v>2</v>
      </c>
      <c r="L102" s="451"/>
      <c r="M102" s="451"/>
      <c r="N102" s="451"/>
      <c r="O102" s="451"/>
      <c r="P102" s="451">
        <v>1</v>
      </c>
      <c r="Q102" s="451">
        <v>1</v>
      </c>
      <c r="R102" s="451">
        <v>1</v>
      </c>
      <c r="S102" s="451">
        <v>1</v>
      </c>
      <c r="T102" s="451"/>
      <c r="U102" s="451"/>
      <c r="V102" s="451"/>
      <c r="W102" s="451"/>
      <c r="X102" s="451"/>
      <c r="Y102" s="451"/>
      <c r="Z102" s="451"/>
      <c r="AA102" s="451"/>
      <c r="AB102" s="451"/>
      <c r="AC102" s="451"/>
      <c r="AD102" s="451"/>
      <c r="AE102" s="451"/>
      <c r="AF102" s="451"/>
      <c r="AG102" s="451"/>
      <c r="AH102" s="451"/>
      <c r="AI102" s="52"/>
      <c r="AJ102" s="94">
        <f t="shared" si="8"/>
        <v>1</v>
      </c>
      <c r="AK102" s="564"/>
      <c r="AL102" s="1"/>
      <c r="AM102" s="1"/>
      <c r="AN102" s="1"/>
      <c r="AQ102" s="2"/>
      <c r="AS102" s="2"/>
    </row>
    <row r="103" spans="1:46" ht="25.35" customHeight="1">
      <c r="A103" s="563"/>
      <c r="B103" s="563"/>
      <c r="C103" s="48" t="s">
        <v>60</v>
      </c>
      <c r="D103" s="504">
        <f t="shared" si="9"/>
        <v>19</v>
      </c>
      <c r="E103" s="183" t="s">
        <v>48</v>
      </c>
      <c r="F103" s="103"/>
      <c r="G103" s="451">
        <v>3</v>
      </c>
      <c r="H103" s="451" t="s">
        <v>145</v>
      </c>
      <c r="I103" s="451">
        <v>2</v>
      </c>
      <c r="J103" s="451">
        <v>2</v>
      </c>
      <c r="K103" s="524">
        <v>2</v>
      </c>
      <c r="L103" s="451"/>
      <c r="M103" s="451"/>
      <c r="N103" s="451"/>
      <c r="O103" s="451"/>
      <c r="P103" s="451">
        <v>1</v>
      </c>
      <c r="Q103" s="451">
        <v>1</v>
      </c>
      <c r="R103" s="451">
        <v>1</v>
      </c>
      <c r="S103" s="451">
        <v>1</v>
      </c>
      <c r="T103" s="451"/>
      <c r="U103" s="451"/>
      <c r="V103" s="451"/>
      <c r="W103" s="451"/>
      <c r="X103" s="451"/>
      <c r="Y103" s="451"/>
      <c r="Z103" s="528"/>
      <c r="AA103" s="451"/>
      <c r="AB103" s="451"/>
      <c r="AC103" s="451"/>
      <c r="AD103" s="451"/>
      <c r="AE103" s="451"/>
      <c r="AF103" s="451"/>
      <c r="AG103" s="451"/>
      <c r="AH103" s="451"/>
      <c r="AI103" s="52"/>
      <c r="AJ103" s="94">
        <f t="shared" si="8"/>
        <v>1</v>
      </c>
      <c r="AK103" s="564"/>
      <c r="AL103" s="1"/>
      <c r="AM103" s="1"/>
      <c r="AN103" s="1"/>
      <c r="AQ103" s="2"/>
      <c r="AS103" s="2"/>
    </row>
    <row r="104" spans="1:46" ht="25.35" customHeight="1">
      <c r="A104" s="563"/>
      <c r="B104" s="563"/>
      <c r="C104" s="48" t="s">
        <v>60</v>
      </c>
      <c r="D104" s="504">
        <f t="shared" si="9"/>
        <v>20</v>
      </c>
      <c r="E104" s="183" t="s">
        <v>183</v>
      </c>
      <c r="F104" s="103"/>
      <c r="G104" s="451">
        <v>1</v>
      </c>
      <c r="H104" s="451">
        <v>1</v>
      </c>
      <c r="I104" s="451">
        <v>1</v>
      </c>
      <c r="J104" s="451">
        <v>1</v>
      </c>
      <c r="K104" s="524" t="s">
        <v>145</v>
      </c>
      <c r="L104" s="451" t="s">
        <v>145</v>
      </c>
      <c r="M104" s="451"/>
      <c r="N104" s="451"/>
      <c r="O104" s="451"/>
      <c r="P104" s="451">
        <v>1</v>
      </c>
      <c r="Q104" s="451">
        <v>1</v>
      </c>
      <c r="R104" s="451">
        <v>1</v>
      </c>
      <c r="S104" s="451">
        <v>1</v>
      </c>
      <c r="T104" s="451"/>
      <c r="U104" s="451"/>
      <c r="V104" s="451"/>
      <c r="W104" s="451"/>
      <c r="X104" s="451"/>
      <c r="Y104" s="451"/>
      <c r="Z104" s="451"/>
      <c r="AA104" s="451"/>
      <c r="AB104" s="451"/>
      <c r="AC104" s="451"/>
      <c r="AD104" s="451"/>
      <c r="AE104" s="451"/>
      <c r="AF104" s="451"/>
      <c r="AG104" s="451"/>
      <c r="AH104" s="451"/>
      <c r="AI104" s="52"/>
      <c r="AJ104" s="94">
        <f t="shared" si="8"/>
        <v>1</v>
      </c>
      <c r="AK104" s="564"/>
      <c r="AL104" s="1"/>
      <c r="AM104" s="1"/>
      <c r="AN104" s="1"/>
      <c r="AQ104" s="2"/>
      <c r="AS104" s="2"/>
    </row>
    <row r="105" spans="1:46" ht="25.35" customHeight="1">
      <c r="A105" s="563"/>
      <c r="B105" s="563"/>
      <c r="C105" s="48" t="s">
        <v>60</v>
      </c>
      <c r="D105" s="504">
        <f t="shared" si="9"/>
        <v>21</v>
      </c>
      <c r="E105" s="497" t="s">
        <v>129</v>
      </c>
      <c r="F105" s="103"/>
      <c r="G105" s="451" t="s">
        <v>191</v>
      </c>
      <c r="H105" s="451" t="s">
        <v>191</v>
      </c>
      <c r="I105" s="451" t="s">
        <v>191</v>
      </c>
      <c r="J105" s="451" t="s">
        <v>191</v>
      </c>
      <c r="K105" s="524" t="s">
        <v>191</v>
      </c>
      <c r="L105" s="451"/>
      <c r="M105" s="451"/>
      <c r="N105" s="451"/>
      <c r="O105" s="451"/>
      <c r="P105" s="451" t="s">
        <v>191</v>
      </c>
      <c r="Q105" s="451" t="s">
        <v>191</v>
      </c>
      <c r="R105" s="451" t="s">
        <v>191</v>
      </c>
      <c r="S105" s="451" t="s">
        <v>191</v>
      </c>
      <c r="T105" s="451"/>
      <c r="U105" s="451"/>
      <c r="V105" s="451"/>
      <c r="W105" s="451"/>
      <c r="X105" s="451"/>
      <c r="Y105" s="451"/>
      <c r="Z105" s="451"/>
      <c r="AA105" s="451"/>
      <c r="AB105" s="451"/>
      <c r="AC105" s="451"/>
      <c r="AD105" s="451"/>
      <c r="AE105" s="451"/>
      <c r="AF105" s="451"/>
      <c r="AG105" s="451"/>
      <c r="AH105" s="451"/>
      <c r="AI105" s="52"/>
      <c r="AJ105" s="94">
        <f t="shared" si="8"/>
        <v>1</v>
      </c>
      <c r="AK105" s="564"/>
      <c r="AQ105" s="2"/>
      <c r="AS105" s="2"/>
    </row>
    <row r="106" spans="1:46" ht="25.35" customHeight="1" thickBot="1">
      <c r="A106" s="563"/>
      <c r="B106" s="563"/>
      <c r="C106" s="48"/>
      <c r="D106" s="509">
        <f t="shared" si="9"/>
        <v>22</v>
      </c>
      <c r="E106" s="181"/>
      <c r="F106" s="500"/>
      <c r="G106" s="530"/>
      <c r="H106" s="530"/>
      <c r="I106" s="530"/>
      <c r="J106" s="531"/>
      <c r="K106" s="531"/>
      <c r="L106" s="530"/>
      <c r="M106" s="530"/>
      <c r="N106" s="530"/>
      <c r="O106" s="530"/>
      <c r="P106" s="530"/>
      <c r="Q106" s="530"/>
      <c r="R106" s="530"/>
      <c r="S106" s="530"/>
      <c r="T106" s="530"/>
      <c r="U106" s="530"/>
      <c r="V106" s="530"/>
      <c r="W106" s="530"/>
      <c r="X106" s="530"/>
      <c r="Y106" s="532"/>
      <c r="Z106" s="530"/>
      <c r="AA106" s="530"/>
      <c r="AB106" s="530"/>
      <c r="AC106" s="530"/>
      <c r="AD106" s="530"/>
      <c r="AE106" s="530"/>
      <c r="AF106" s="530"/>
      <c r="AG106" s="530"/>
      <c r="AH106" s="530"/>
      <c r="AI106" s="171"/>
      <c r="AJ106" s="503" t="str">
        <f>IF((COUNTIF(G106:AH106, "x")+COUNTIF(G106:AH106, "1")+COUNTIF(G106:AH106, "2")+COUNTIF(G106:AH106, "3"))=0, "", (COUNTIF(G106:AH106, "1")+COUNTIF(G106:AH106, "2")+COUNTIF(G106:AH106, "3"))/(COUNTIF(G106:AH106, "x")+COUNTIF(G106:AH106, "1")+COUNTIF(G106:AH106, "2")+COUNTIF(G106:AH106, "3")))</f>
        <v/>
      </c>
      <c r="AK106" s="564"/>
      <c r="AQ106" s="2"/>
      <c r="AS106" s="2"/>
    </row>
    <row r="107" spans="1:46" ht="25.35" customHeight="1">
      <c r="B107" s="2"/>
      <c r="C107" s="2"/>
      <c r="D107" s="496"/>
      <c r="AQ107" s="2"/>
      <c r="AS107" s="2"/>
    </row>
    <row r="108" spans="1:46" ht="25.35" customHeight="1">
      <c r="B108" s="2"/>
      <c r="C108" s="2"/>
      <c r="AQ108" s="2"/>
      <c r="AS108" s="2"/>
    </row>
    <row r="109" spans="1:46" ht="25.35" customHeight="1">
      <c r="B109" s="2"/>
      <c r="C109" s="2"/>
      <c r="AQ109" s="2"/>
      <c r="AS109" s="2"/>
    </row>
    <row r="110" spans="1:46" s="18" customFormat="1" ht="25.35" customHeight="1"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P110" s="2"/>
      <c r="AQ110" s="2"/>
      <c r="AR110" s="2"/>
      <c r="AS110" s="2"/>
      <c r="AT110" s="2"/>
    </row>
    <row r="111" spans="1:46" ht="25.35" customHeight="1">
      <c r="B111" s="2"/>
      <c r="C111" s="2"/>
      <c r="AQ111" s="2"/>
      <c r="AS111" s="2"/>
    </row>
    <row r="112" spans="1:46" ht="25.35" customHeight="1">
      <c r="B112" s="2"/>
      <c r="C112" s="2"/>
      <c r="AQ112" s="2"/>
      <c r="AS112" s="2"/>
    </row>
    <row r="113" spans="43:45" ht="25.35" customHeight="1">
      <c r="AQ113" s="2"/>
      <c r="AS113" s="2"/>
    </row>
    <row r="114" spans="43:45" ht="25.35" customHeight="1">
      <c r="AQ114" s="2"/>
      <c r="AS114" s="2"/>
    </row>
    <row r="115" spans="43:45" ht="25.35" customHeight="1">
      <c r="AQ115" s="2"/>
      <c r="AS115" s="2"/>
    </row>
    <row r="116" spans="43:45" ht="25.35" customHeight="1">
      <c r="AQ116" s="2"/>
      <c r="AS116" s="2"/>
    </row>
    <row r="117" spans="43:45" ht="25.35" customHeight="1">
      <c r="AQ117" s="2"/>
      <c r="AS117" s="2"/>
    </row>
    <row r="118" spans="43:45" ht="25.35" customHeight="1">
      <c r="AQ118" s="2"/>
      <c r="AS118" s="2"/>
    </row>
    <row r="119" spans="43:45" ht="25.35" customHeight="1">
      <c r="AQ119" s="2"/>
      <c r="AS119" s="2"/>
    </row>
    <row r="120" spans="43:45" ht="25.35" customHeight="1">
      <c r="AQ120" s="2"/>
      <c r="AS120" s="2"/>
    </row>
    <row r="121" spans="43:45" ht="25.35" customHeight="1">
      <c r="AQ121" s="2"/>
      <c r="AS121" s="2"/>
    </row>
  </sheetData>
  <mergeCells count="15">
    <mergeCell ref="D2:E4"/>
    <mergeCell ref="G2:AI2"/>
    <mergeCell ref="AK3:AK4"/>
    <mergeCell ref="D5:E5"/>
    <mergeCell ref="A6:B27"/>
    <mergeCell ref="AK6:AK27"/>
    <mergeCell ref="D84:E84"/>
    <mergeCell ref="A85:B106"/>
    <mergeCell ref="AK85:AK106"/>
    <mergeCell ref="D33:E33"/>
    <mergeCell ref="A34:B55"/>
    <mergeCell ref="AK34:AK55"/>
    <mergeCell ref="D61:E61"/>
    <mergeCell ref="A62:B82"/>
    <mergeCell ref="AK62:AK82"/>
  </mergeCells>
  <conditionalFormatting sqref="G106:AI106">
    <cfRule type="cellIs" dxfId="10072" priority="34" operator="equal">
      <formula>"HTL"</formula>
    </cfRule>
    <cfRule type="cellIs" dxfId="10071" priority="35" operator="equal">
      <formula>"1OT"</formula>
    </cfRule>
    <cfRule type="cellIs" dxfId="10070" priority="36" operator="equal">
      <formula>"3ET"</formula>
    </cfRule>
    <cfRule type="cellIs" dxfId="10069" priority="37" operator="equal">
      <formula>"1ET"</formula>
    </cfRule>
    <cfRule type="cellIs" dxfId="10068" priority="38" operator="equal">
      <formula>"2OT"</formula>
    </cfRule>
    <cfRule type="cellIs" dxfId="10067" priority="39" operator="equal">
      <formula>"VL"</formula>
    </cfRule>
    <cfRule type="cellIs" dxfId="10066" priority="40" operator="equal">
      <formula>X</formula>
    </cfRule>
    <cfRule type="cellIs" dxfId="10065" priority="41" operator="between">
      <formula>"SL"</formula>
      <formula>"EL"</formula>
    </cfRule>
  </conditionalFormatting>
  <conditionalFormatting sqref="G106:AI106 AI82">
    <cfRule type="colorScale" priority="42">
      <colorScale>
        <cfvo type="num" val="1"/>
        <cfvo type="num" val="3"/>
        <color rgb="FFFFFF00"/>
        <color rgb="FFFFFF00"/>
      </colorScale>
    </cfRule>
  </conditionalFormatting>
  <conditionalFormatting sqref="W106">
    <cfRule type="colorScale" priority="33">
      <colorScale>
        <cfvo type="num" val="1"/>
        <cfvo type="num" val="3"/>
        <color rgb="FFFFFF00"/>
        <color rgb="FFFFFF00"/>
      </colorScale>
    </cfRule>
  </conditionalFormatting>
  <conditionalFormatting sqref="AI6:AI27">
    <cfRule type="colorScale" priority="32">
      <colorScale>
        <cfvo type="num" val="1"/>
        <cfvo type="num" val="3"/>
        <color rgb="FFFFFF00"/>
        <color rgb="FFFFFF00"/>
      </colorScale>
    </cfRule>
  </conditionalFormatting>
  <conditionalFormatting sqref="AI6:AI16 AI20:AI27">
    <cfRule type="colorScale" priority="31">
      <colorScale>
        <cfvo type="num" val="1"/>
        <cfvo type="num" val="3"/>
        <color rgb="FFFFFF00"/>
        <color rgb="FFFFFF00"/>
      </colorScale>
    </cfRule>
  </conditionalFormatting>
  <conditionalFormatting sqref="AI6:AI27">
    <cfRule type="containsText" dxfId="10064" priority="29" operator="containsText" text="RD">
      <formula>NOT(ISERROR(SEARCH("RD",AI6)))</formula>
    </cfRule>
    <cfRule type="containsText" dxfId="10063" priority="30" operator="containsText" text="x">
      <formula>NOT(ISERROR(SEARCH("x",AI6)))</formula>
    </cfRule>
  </conditionalFormatting>
  <conditionalFormatting sqref="AI34:AI55">
    <cfRule type="colorScale" priority="28">
      <colorScale>
        <cfvo type="num" val="1"/>
        <cfvo type="num" val="3"/>
        <color rgb="FFFFFF00"/>
        <color rgb="FFFFFF00"/>
      </colorScale>
    </cfRule>
  </conditionalFormatting>
  <conditionalFormatting sqref="AI43:AI55">
    <cfRule type="colorScale" priority="27">
      <colorScale>
        <cfvo type="num" val="1"/>
        <cfvo type="num" val="3"/>
        <color rgb="FFFFFF00"/>
        <color rgb="FFFFFF00"/>
      </colorScale>
    </cfRule>
  </conditionalFormatting>
  <conditionalFormatting sqref="AI85:AI105">
    <cfRule type="cellIs" dxfId="10062" priority="18" operator="equal">
      <formula>"HTL"</formula>
    </cfRule>
    <cfRule type="cellIs" dxfId="10061" priority="19" operator="equal">
      <formula>"1OT"</formula>
    </cfRule>
    <cfRule type="cellIs" dxfId="10060" priority="20" operator="equal">
      <formula>"3ET"</formula>
    </cfRule>
    <cfRule type="cellIs" dxfId="10059" priority="21" operator="equal">
      <formula>"1ET"</formula>
    </cfRule>
    <cfRule type="cellIs" dxfId="10058" priority="22" operator="equal">
      <formula>"2OT"</formula>
    </cfRule>
    <cfRule type="cellIs" dxfId="10057" priority="23" operator="equal">
      <formula>"VL"</formula>
    </cfRule>
    <cfRule type="cellIs" dxfId="10056" priority="24" operator="equal">
      <formula>X</formula>
    </cfRule>
    <cfRule type="cellIs" dxfId="10055" priority="25" operator="between">
      <formula>"SL"</formula>
      <formula>"EL"</formula>
    </cfRule>
  </conditionalFormatting>
  <conditionalFormatting sqref="AI85:AI105">
    <cfRule type="colorScale" priority="26">
      <colorScale>
        <cfvo type="num" val="1"/>
        <cfvo type="num" val="3"/>
        <color rgb="FFFFFF00"/>
        <color rgb="FFFFFF00"/>
      </colorScale>
    </cfRule>
  </conditionalFormatting>
  <conditionalFormatting sqref="AI62:AI81">
    <cfRule type="colorScale" priority="17">
      <colorScale>
        <cfvo type="num" val="1"/>
        <cfvo type="num" val="3"/>
        <color rgb="FFFFFF00"/>
        <color rgb="FFFFFF00"/>
      </colorScale>
    </cfRule>
  </conditionalFormatting>
  <conditionalFormatting sqref="AI62">
    <cfRule type="colorScale" priority="16">
      <colorScale>
        <cfvo type="num" val="1"/>
        <cfvo type="num" val="3"/>
        <color rgb="FFFFFF00"/>
        <color rgb="FFFFFF00"/>
      </colorScale>
    </cfRule>
  </conditionalFormatting>
  <conditionalFormatting sqref="AI62:AI81">
    <cfRule type="containsText" dxfId="10054" priority="13" operator="containsText" text="SL">
      <formula>NOT(ISERROR(SEARCH("SL",AI62)))</formula>
    </cfRule>
    <cfRule type="containsText" dxfId="10053" priority="14" operator="containsText" text="RD">
      <formula>NOT(ISERROR(SEARCH("RD",AI62)))</formula>
    </cfRule>
    <cfRule type="containsText" dxfId="10052" priority="15" operator="containsText" text="x">
      <formula>NOT(ISERROR(SEARCH("x",AI62)))</formula>
    </cfRule>
  </conditionalFormatting>
  <conditionalFormatting sqref="AI34:AI54">
    <cfRule type="containsText" dxfId="10051" priority="7" operator="containsText" text="SL">
      <formula>NOT(ISERROR(SEARCH("SL",AI34)))</formula>
    </cfRule>
    <cfRule type="containsText" dxfId="10050" priority="8" operator="containsText" text="EL">
      <formula>NOT(ISERROR(SEARCH("EL",AI34)))</formula>
    </cfRule>
    <cfRule type="containsText" dxfId="10049" priority="9" operator="containsText" text="RD">
      <formula>NOT(ISERROR(SEARCH("RD",AI34)))</formula>
    </cfRule>
    <cfRule type="containsText" dxfId="10048" priority="10" operator="containsText" text="EL">
      <formula>NOT(ISERROR(SEARCH("EL",AI34)))</formula>
    </cfRule>
    <cfRule type="containsText" dxfId="10047" priority="11" operator="containsText" text="HTL">
      <formula>NOT(ISERROR(SEARCH("HTL",AI34)))</formula>
    </cfRule>
    <cfRule type="containsText" dxfId="10046" priority="12" operator="containsText" text="VL">
      <formula>NOT(ISERROR(SEARCH("VL",AI34)))</formula>
    </cfRule>
  </conditionalFormatting>
  <conditionalFormatting sqref="G6:AH106">
    <cfRule type="containsText" dxfId="10045" priority="1" operator="containsText" text="RD">
      <formula>NOT(ISERROR(SEARCH("RD",G6)))</formula>
    </cfRule>
    <cfRule type="containsText" dxfId="10044" priority="2" operator="containsText" text="X">
      <formula>NOT(ISERROR(SEARCH("X",G6)))</formula>
    </cfRule>
    <cfRule type="cellIs" dxfId="10043" priority="3" operator="between">
      <formula>1</formula>
      <formula>3</formula>
    </cfRule>
  </conditionalFormatting>
  <pageMargins left="0.7" right="0.7" top="0.75" bottom="0.75" header="0.3" footer="0.3"/>
  <pageSetup paperSize="9" scale="27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B1:AP57"/>
  <sheetViews>
    <sheetView zoomScale="55" zoomScaleNormal="55" workbookViewId="0">
      <selection activeCell="AB10" sqref="AB10"/>
    </sheetView>
  </sheetViews>
  <sheetFormatPr defaultColWidth="6.28515625" defaultRowHeight="14.25" customHeight="1"/>
  <cols>
    <col min="1" max="1" width="6.28515625" style="3"/>
    <col min="2" max="14" width="11.28515625" style="3" customWidth="1"/>
    <col min="15" max="15" width="6.28515625" style="3"/>
    <col min="16" max="28" width="9.7109375" style="3" customWidth="1"/>
    <col min="29" max="29" width="17.28515625" style="3" customWidth="1"/>
    <col min="30" max="39" width="6.28515625" style="3"/>
    <col min="40" max="42" width="7.28515625" style="3" bestFit="1" customWidth="1"/>
    <col min="43" max="16384" width="6.28515625" style="3"/>
  </cols>
  <sheetData>
    <row r="1" spans="2:42" ht="14.25" customHeight="1" thickBot="1">
      <c r="B1" s="555" t="s">
        <v>278</v>
      </c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556"/>
      <c r="T1" s="556"/>
      <c r="U1" s="556"/>
      <c r="V1" s="556"/>
      <c r="W1" s="556"/>
      <c r="X1" s="556"/>
      <c r="Y1" s="556"/>
      <c r="Z1" s="556"/>
      <c r="AA1" s="556"/>
      <c r="AB1" s="556"/>
      <c r="AC1" s="556"/>
      <c r="AD1" s="556"/>
      <c r="AE1" s="556"/>
      <c r="AF1" s="556"/>
      <c r="AG1" s="556"/>
      <c r="AH1" s="556"/>
      <c r="AI1" s="556"/>
      <c r="AJ1" s="556"/>
      <c r="AK1" s="556"/>
      <c r="AL1" s="556"/>
      <c r="AM1" s="556"/>
      <c r="AN1" s="556"/>
      <c r="AO1" s="556"/>
      <c r="AP1" s="557"/>
    </row>
    <row r="3" spans="2:42" ht="14.25" customHeight="1" thickBot="1">
      <c r="B3" s="3" t="s">
        <v>277</v>
      </c>
      <c r="P3" s="3" t="s">
        <v>276</v>
      </c>
      <c r="AD3" s="3" t="s">
        <v>275</v>
      </c>
    </row>
    <row r="4" spans="2:42" ht="14.25" customHeight="1">
      <c r="B4" s="551" t="s">
        <v>274</v>
      </c>
      <c r="C4" s="558" t="s">
        <v>268</v>
      </c>
      <c r="D4" s="559"/>
      <c r="E4" s="559"/>
      <c r="F4" s="559"/>
      <c r="G4" s="559"/>
      <c r="H4" s="559"/>
      <c r="I4" s="559"/>
      <c r="J4" s="559"/>
      <c r="K4" s="559"/>
      <c r="L4" s="559"/>
      <c r="M4" s="559"/>
      <c r="N4" s="560"/>
      <c r="P4" s="551" t="s">
        <v>274</v>
      </c>
      <c r="Q4" s="558" t="s">
        <v>352</v>
      </c>
      <c r="R4" s="559"/>
      <c r="S4" s="559"/>
      <c r="T4" s="559"/>
      <c r="U4" s="559"/>
      <c r="V4" s="559"/>
      <c r="W4" s="559"/>
      <c r="X4" s="559"/>
      <c r="Y4" s="559"/>
      <c r="Z4" s="559"/>
      <c r="AA4" s="559"/>
      <c r="AB4" s="560"/>
      <c r="AD4" s="551" t="s">
        <v>263</v>
      </c>
      <c r="AE4" s="553" t="s">
        <v>351</v>
      </c>
      <c r="AF4" s="553"/>
      <c r="AG4" s="553"/>
      <c r="AH4" s="553"/>
      <c r="AI4" s="553"/>
      <c r="AJ4" s="553"/>
      <c r="AK4" s="553"/>
      <c r="AL4" s="553"/>
      <c r="AM4" s="553"/>
      <c r="AN4" s="553"/>
      <c r="AO4" s="553"/>
      <c r="AP4" s="554"/>
    </row>
    <row r="5" spans="2:42" ht="14.25" customHeight="1" thickBot="1">
      <c r="B5" s="552"/>
      <c r="C5" s="210" t="s">
        <v>261</v>
      </c>
      <c r="D5" s="209" t="s">
        <v>260</v>
      </c>
      <c r="E5" s="209" t="s">
        <v>259</v>
      </c>
      <c r="F5" s="209" t="s">
        <v>258</v>
      </c>
      <c r="G5" s="209" t="s">
        <v>54</v>
      </c>
      <c r="H5" s="209" t="s">
        <v>257</v>
      </c>
      <c r="I5" s="209" t="s">
        <v>256</v>
      </c>
      <c r="J5" s="209" t="s">
        <v>255</v>
      </c>
      <c r="K5" s="209" t="s">
        <v>254</v>
      </c>
      <c r="L5" s="209" t="s">
        <v>253</v>
      </c>
      <c r="M5" s="209" t="s">
        <v>252</v>
      </c>
      <c r="N5" s="208" t="s">
        <v>251</v>
      </c>
      <c r="P5" s="552"/>
      <c r="Q5" s="210" t="s">
        <v>261</v>
      </c>
      <c r="R5" s="209" t="s">
        <v>260</v>
      </c>
      <c r="S5" s="209" t="s">
        <v>259</v>
      </c>
      <c r="T5" s="209" t="s">
        <v>258</v>
      </c>
      <c r="U5" s="209" t="s">
        <v>54</v>
      </c>
      <c r="V5" s="209" t="s">
        <v>257</v>
      </c>
      <c r="W5" s="209" t="s">
        <v>256</v>
      </c>
      <c r="X5" s="209" t="s">
        <v>255</v>
      </c>
      <c r="Y5" s="209" t="s">
        <v>254</v>
      </c>
      <c r="Z5" s="209" t="s">
        <v>253</v>
      </c>
      <c r="AA5" s="209" t="s">
        <v>252</v>
      </c>
      <c r="AB5" s="208" t="s">
        <v>251</v>
      </c>
      <c r="AD5" s="552"/>
      <c r="AE5" s="210" t="s">
        <v>261</v>
      </c>
      <c r="AF5" s="209" t="s">
        <v>260</v>
      </c>
      <c r="AG5" s="209" t="s">
        <v>259</v>
      </c>
      <c r="AH5" s="209" t="s">
        <v>258</v>
      </c>
      <c r="AI5" s="209" t="s">
        <v>54</v>
      </c>
      <c r="AJ5" s="209" t="s">
        <v>257</v>
      </c>
      <c r="AK5" s="209" t="s">
        <v>256</v>
      </c>
      <c r="AL5" s="209" t="s">
        <v>255</v>
      </c>
      <c r="AM5" s="209" t="s">
        <v>254</v>
      </c>
      <c r="AN5" s="209" t="s">
        <v>253</v>
      </c>
      <c r="AO5" s="209" t="s">
        <v>252</v>
      </c>
      <c r="AP5" s="208" t="s">
        <v>251</v>
      </c>
    </row>
    <row r="6" spans="2:42" ht="14.25" customHeight="1">
      <c r="B6" s="258" t="s">
        <v>347</v>
      </c>
      <c r="C6" s="455"/>
      <c r="D6" s="452"/>
      <c r="E6" s="452"/>
      <c r="F6" s="252"/>
      <c r="G6" s="465"/>
      <c r="H6" s="452"/>
      <c r="I6" s="259"/>
      <c r="J6" s="252"/>
      <c r="K6" s="252"/>
      <c r="L6" s="252"/>
      <c r="M6" s="252"/>
      <c r="N6" s="254"/>
      <c r="O6" s="230"/>
      <c r="P6" s="258" t="str">
        <f>B6</f>
        <v>CLC</v>
      </c>
      <c r="Q6" s="257"/>
      <c r="R6" s="256"/>
      <c r="S6" s="256"/>
      <c r="T6" s="256"/>
      <c r="U6" s="252"/>
      <c r="V6" s="256"/>
      <c r="W6" s="252"/>
      <c r="X6" s="252"/>
      <c r="Y6" s="252"/>
      <c r="Z6" s="252"/>
      <c r="AA6" s="255"/>
      <c r="AB6" s="254"/>
      <c r="AC6" s="230"/>
      <c r="AD6" s="207" t="s">
        <v>272</v>
      </c>
      <c r="AE6" s="253"/>
      <c r="AF6" s="252"/>
      <c r="AG6" s="252"/>
      <c r="AH6" s="252"/>
      <c r="AI6" s="252"/>
      <c r="AJ6" s="252"/>
      <c r="AK6" s="252"/>
      <c r="AL6" s="252"/>
      <c r="AM6" s="252"/>
      <c r="AN6" s="189"/>
      <c r="AO6" s="251"/>
      <c r="AP6" s="189"/>
    </row>
    <row r="7" spans="2:42" ht="14.25" customHeight="1" thickBot="1">
      <c r="B7" s="244" t="s">
        <v>348</v>
      </c>
      <c r="C7" s="456"/>
      <c r="D7" s="453"/>
      <c r="E7" s="453"/>
      <c r="F7" s="242"/>
      <c r="G7" s="242"/>
      <c r="H7" s="453"/>
      <c r="I7" s="250"/>
      <c r="J7" s="241"/>
      <c r="K7" s="241"/>
      <c r="L7" s="241"/>
      <c r="M7" s="241"/>
      <c r="N7" s="240"/>
      <c r="O7" s="230"/>
      <c r="P7" s="244" t="str">
        <f>B7</f>
        <v>JED</v>
      </c>
      <c r="Q7" s="243"/>
      <c r="R7" s="241"/>
      <c r="S7" s="241"/>
      <c r="T7" s="241"/>
      <c r="U7" s="242"/>
      <c r="V7" s="241"/>
      <c r="W7" s="241"/>
      <c r="X7" s="241"/>
      <c r="Y7" s="241"/>
      <c r="Z7" s="241"/>
      <c r="AA7" s="241"/>
      <c r="AB7" s="240"/>
      <c r="AC7" s="230"/>
      <c r="AD7" s="249" t="s">
        <v>271</v>
      </c>
      <c r="AE7" s="237"/>
      <c r="AF7" s="236"/>
      <c r="AG7" s="236"/>
      <c r="AH7" s="236"/>
      <c r="AI7" s="236"/>
      <c r="AJ7" s="236"/>
      <c r="AK7" s="236"/>
      <c r="AL7" s="236"/>
      <c r="AM7" s="236"/>
      <c r="AN7" s="248"/>
      <c r="AO7" s="248"/>
      <c r="AP7" s="247"/>
    </row>
    <row r="8" spans="2:42" ht="14.25" customHeight="1" thickBot="1">
      <c r="B8" s="244" t="s">
        <v>349</v>
      </c>
      <c r="C8" s="457"/>
      <c r="D8" s="453"/>
      <c r="E8" s="453"/>
      <c r="F8" s="241"/>
      <c r="G8" s="453"/>
      <c r="H8" s="453"/>
      <c r="I8" s="245"/>
      <c r="J8" s="242"/>
      <c r="K8" s="241"/>
      <c r="L8" s="241"/>
      <c r="M8" s="241"/>
      <c r="N8" s="240"/>
      <c r="O8" s="230"/>
      <c r="P8" s="244" t="str">
        <f>B8</f>
        <v>VPL</v>
      </c>
      <c r="Q8" s="243"/>
      <c r="R8" s="241"/>
      <c r="S8" s="241"/>
      <c r="T8" s="241"/>
      <c r="U8" s="241"/>
      <c r="V8" s="241"/>
      <c r="W8" s="242"/>
      <c r="X8" s="242"/>
      <c r="Y8" s="241"/>
      <c r="Z8" s="241"/>
      <c r="AA8" s="241"/>
      <c r="AB8" s="240"/>
      <c r="AC8" s="230"/>
      <c r="AD8" s="234" t="s">
        <v>270</v>
      </c>
      <c r="AE8" s="233">
        <f>AE6*28/79+AE7*51/79</f>
        <v>0</v>
      </c>
      <c r="AF8" s="232">
        <f>AF6*31/82+AF7*51/82</f>
        <v>0</v>
      </c>
      <c r="AG8" s="232">
        <f>AG6*30/81+AG7*51/81</f>
        <v>0</v>
      </c>
      <c r="AH8" s="232">
        <f>AH6*29/(29+51)+AH7*51/(29+51)</f>
        <v>0</v>
      </c>
      <c r="AI8" s="232">
        <f>AI6*27/78+AI7*51/78</f>
        <v>0</v>
      </c>
      <c r="AJ8" s="232">
        <f>AJ6*25/77+AJ7*52/77</f>
        <v>0</v>
      </c>
      <c r="AK8" s="232">
        <f>AK6*25/77+'Performance trend- Summary'!AK7*51/77</f>
        <v>0</v>
      </c>
      <c r="AL8" s="232">
        <f>AL6*23/75+'Performance trend- Summary'!AL7*52/75</f>
        <v>0</v>
      </c>
      <c r="AM8" s="232">
        <v>1</v>
      </c>
      <c r="AN8" s="232">
        <f>AN6*27/82+AN7*55/82</f>
        <v>0</v>
      </c>
      <c r="AO8" s="232">
        <f>AO6*29/82+'Performance trend- Summary'!AO7*53/82</f>
        <v>0</v>
      </c>
      <c r="AP8" s="231">
        <f>AP6*29/85+'Performance trend- Summary'!AP7*56/85</f>
        <v>0</v>
      </c>
    </row>
    <row r="9" spans="2:42" ht="14.25" customHeight="1" thickBot="1">
      <c r="B9" s="238" t="s">
        <v>350</v>
      </c>
      <c r="C9" s="458"/>
      <c r="D9" s="454"/>
      <c r="E9" s="454"/>
      <c r="F9" s="236"/>
      <c r="G9" s="454"/>
      <c r="H9" s="454"/>
      <c r="I9" s="239"/>
      <c r="J9" s="236"/>
      <c r="K9" s="236"/>
      <c r="L9" s="236"/>
      <c r="M9" s="236"/>
      <c r="N9" s="235"/>
      <c r="O9" s="230"/>
      <c r="P9" s="238" t="str">
        <f>B9</f>
        <v>NJL</v>
      </c>
      <c r="Q9" s="237"/>
      <c r="R9" s="236"/>
      <c r="S9" s="241"/>
      <c r="T9" s="241"/>
      <c r="U9" s="236"/>
      <c r="V9" s="236"/>
      <c r="W9" s="236"/>
      <c r="X9" s="236"/>
      <c r="Y9" s="236"/>
      <c r="Z9" s="236"/>
      <c r="AA9" s="236"/>
      <c r="AB9" s="235"/>
      <c r="AC9" s="230"/>
      <c r="AH9" s="230"/>
    </row>
    <row r="10" spans="2:42" ht="14.25" customHeight="1" thickBot="1">
      <c r="B10" s="234" t="s">
        <v>270</v>
      </c>
      <c r="C10" s="467" t="e">
        <f t="shared" ref="C10:N10" si="0">AVERAGE(C6:C9)</f>
        <v>#DIV/0!</v>
      </c>
      <c r="D10" s="466" t="e">
        <f t="shared" si="0"/>
        <v>#DIV/0!</v>
      </c>
      <c r="E10" s="466" t="e">
        <f t="shared" si="0"/>
        <v>#DIV/0!</v>
      </c>
      <c r="F10" s="466" t="e">
        <f t="shared" si="0"/>
        <v>#DIV/0!</v>
      </c>
      <c r="G10" s="466" t="e">
        <f t="shared" si="0"/>
        <v>#DIV/0!</v>
      </c>
      <c r="H10" s="466" t="e">
        <f t="shared" si="0"/>
        <v>#DIV/0!</v>
      </c>
      <c r="I10" s="232" t="e">
        <f t="shared" si="0"/>
        <v>#DIV/0!</v>
      </c>
      <c r="J10" s="232" t="e">
        <f t="shared" si="0"/>
        <v>#DIV/0!</v>
      </c>
      <c r="K10" s="232" t="e">
        <f t="shared" si="0"/>
        <v>#DIV/0!</v>
      </c>
      <c r="L10" s="232" t="e">
        <f t="shared" si="0"/>
        <v>#DIV/0!</v>
      </c>
      <c r="M10" s="232" t="e">
        <f t="shared" si="0"/>
        <v>#DIV/0!</v>
      </c>
      <c r="N10" s="231" t="e">
        <f t="shared" si="0"/>
        <v>#DIV/0!</v>
      </c>
      <c r="P10" s="234" t="s">
        <v>270</v>
      </c>
      <c r="Q10" s="233" t="e">
        <f t="shared" ref="Q10:AB10" si="1">AVERAGE(Q6:Q9)</f>
        <v>#DIV/0!</v>
      </c>
      <c r="R10" s="232" t="e">
        <f t="shared" si="1"/>
        <v>#DIV/0!</v>
      </c>
      <c r="S10" s="232" t="e">
        <f t="shared" si="1"/>
        <v>#DIV/0!</v>
      </c>
      <c r="T10" s="232" t="e">
        <f t="shared" si="1"/>
        <v>#DIV/0!</v>
      </c>
      <c r="U10" s="232" t="e">
        <f t="shared" si="1"/>
        <v>#DIV/0!</v>
      </c>
      <c r="V10" s="232" t="e">
        <f t="shared" si="1"/>
        <v>#DIV/0!</v>
      </c>
      <c r="W10" s="232" t="e">
        <f t="shared" si="1"/>
        <v>#DIV/0!</v>
      </c>
      <c r="X10" s="232" t="e">
        <f t="shared" si="1"/>
        <v>#DIV/0!</v>
      </c>
      <c r="Y10" s="232" t="e">
        <f t="shared" si="1"/>
        <v>#DIV/0!</v>
      </c>
      <c r="Z10" s="232" t="e">
        <f t="shared" si="1"/>
        <v>#DIV/0!</v>
      </c>
      <c r="AA10" s="232" t="e">
        <f t="shared" si="1"/>
        <v>#DIV/0!</v>
      </c>
      <c r="AB10" s="231" t="e">
        <f t="shared" si="1"/>
        <v>#DIV/0!</v>
      </c>
      <c r="AH10" s="230"/>
    </row>
    <row r="29" spans="29:42" ht="14.25" customHeight="1" thickBot="1">
      <c r="AD29" s="3" t="s">
        <v>269</v>
      </c>
    </row>
    <row r="30" spans="29:42" ht="14.25" customHeight="1">
      <c r="AD30" s="551" t="s">
        <v>263</v>
      </c>
      <c r="AE30" s="553" t="s">
        <v>353</v>
      </c>
      <c r="AF30" s="553"/>
      <c r="AG30" s="553"/>
      <c r="AH30" s="553"/>
      <c r="AI30" s="553"/>
      <c r="AJ30" s="553"/>
      <c r="AK30" s="553"/>
      <c r="AL30" s="553"/>
      <c r="AM30" s="553"/>
      <c r="AN30" s="553"/>
      <c r="AO30" s="553"/>
      <c r="AP30" s="554"/>
    </row>
    <row r="31" spans="29:42" ht="14.25" customHeight="1" thickBot="1">
      <c r="AD31" s="552"/>
      <c r="AE31" s="210" t="s">
        <v>261</v>
      </c>
      <c r="AF31" s="209" t="s">
        <v>260</v>
      </c>
      <c r="AG31" s="209" t="s">
        <v>259</v>
      </c>
      <c r="AH31" s="209" t="s">
        <v>258</v>
      </c>
      <c r="AI31" s="209" t="s">
        <v>54</v>
      </c>
      <c r="AJ31" s="209" t="s">
        <v>257</v>
      </c>
      <c r="AK31" s="209" t="s">
        <v>256</v>
      </c>
      <c r="AL31" s="209" t="s">
        <v>255</v>
      </c>
      <c r="AM31" s="209" t="s">
        <v>254</v>
      </c>
      <c r="AN31" s="209" t="s">
        <v>253</v>
      </c>
      <c r="AO31" s="209" t="s">
        <v>252</v>
      </c>
      <c r="AP31" s="208" t="s">
        <v>251</v>
      </c>
    </row>
    <row r="32" spans="29:42" ht="14.25" customHeight="1">
      <c r="AC32" s="8"/>
      <c r="AD32" s="229" t="s">
        <v>250</v>
      </c>
      <c r="AE32" s="228"/>
      <c r="AF32" s="227"/>
      <c r="AG32" s="227"/>
      <c r="AH32" s="227"/>
      <c r="AI32" s="227"/>
      <c r="AJ32" s="227"/>
      <c r="AK32" s="226"/>
      <c r="AL32" s="227"/>
      <c r="AM32" s="226"/>
      <c r="AN32" s="227"/>
      <c r="AO32" s="226"/>
      <c r="AP32" s="225"/>
    </row>
    <row r="33" spans="29:42" ht="14.25" customHeight="1">
      <c r="AC33" s="8"/>
      <c r="AD33" s="206" t="s">
        <v>249</v>
      </c>
      <c r="AE33" s="224"/>
      <c r="AF33" s="223"/>
      <c r="AG33" s="223"/>
      <c r="AH33" s="223"/>
      <c r="AI33" s="223"/>
      <c r="AJ33" s="223"/>
      <c r="AK33" s="222"/>
      <c r="AL33" s="223"/>
      <c r="AM33" s="222"/>
      <c r="AN33" s="223"/>
      <c r="AO33" s="222"/>
      <c r="AP33" s="221"/>
    </row>
    <row r="34" spans="29:42" ht="14.25" customHeight="1">
      <c r="AD34" s="220" t="s">
        <v>267</v>
      </c>
      <c r="AE34" s="219">
        <f t="shared" ref="AE34:AP34" si="2">SUM(AE32:AE33)</f>
        <v>0</v>
      </c>
      <c r="AF34" s="218">
        <f t="shared" si="2"/>
        <v>0</v>
      </c>
      <c r="AG34" s="218">
        <f t="shared" si="2"/>
        <v>0</v>
      </c>
      <c r="AH34" s="218">
        <f t="shared" si="2"/>
        <v>0</v>
      </c>
      <c r="AI34" s="218">
        <f t="shared" si="2"/>
        <v>0</v>
      </c>
      <c r="AJ34" s="218">
        <f t="shared" si="2"/>
        <v>0</v>
      </c>
      <c r="AK34" s="218">
        <f t="shared" si="2"/>
        <v>0</v>
      </c>
      <c r="AL34" s="218">
        <f t="shared" si="2"/>
        <v>0</v>
      </c>
      <c r="AM34" s="218">
        <f t="shared" si="2"/>
        <v>0</v>
      </c>
      <c r="AN34" s="218">
        <f t="shared" si="2"/>
        <v>0</v>
      </c>
      <c r="AO34" s="218">
        <f t="shared" si="2"/>
        <v>0</v>
      </c>
      <c r="AP34" s="218">
        <f t="shared" si="2"/>
        <v>0</v>
      </c>
    </row>
    <row r="35" spans="29:42" ht="14.25" customHeight="1">
      <c r="AD35" s="217" t="s">
        <v>266</v>
      </c>
      <c r="AE35" s="216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4"/>
    </row>
    <row r="36" spans="29:42" ht="14.25" customHeight="1" thickBot="1">
      <c r="AD36" s="213" t="s">
        <v>265</v>
      </c>
      <c r="AE36" s="212">
        <f t="shared" ref="AE36:AP36" si="3">AE35-AE34</f>
        <v>0</v>
      </c>
      <c r="AF36" s="211">
        <f t="shared" si="3"/>
        <v>0</v>
      </c>
      <c r="AG36" s="211">
        <f t="shared" si="3"/>
        <v>0</v>
      </c>
      <c r="AH36" s="211">
        <f t="shared" si="3"/>
        <v>0</v>
      </c>
      <c r="AI36" s="211">
        <f t="shared" si="3"/>
        <v>0</v>
      </c>
      <c r="AJ36" s="211">
        <f t="shared" si="3"/>
        <v>0</v>
      </c>
      <c r="AK36" s="211">
        <f t="shared" si="3"/>
        <v>0</v>
      </c>
      <c r="AL36" s="211">
        <f t="shared" si="3"/>
        <v>0</v>
      </c>
      <c r="AM36" s="211">
        <f t="shared" si="3"/>
        <v>0</v>
      </c>
      <c r="AN36" s="211">
        <f t="shared" si="3"/>
        <v>0</v>
      </c>
      <c r="AO36" s="211">
        <f t="shared" si="3"/>
        <v>0</v>
      </c>
      <c r="AP36" s="211">
        <f t="shared" si="3"/>
        <v>0</v>
      </c>
    </row>
    <row r="50" spans="2:14" ht="14.25" customHeight="1" thickBot="1">
      <c r="B50" s="3" t="s">
        <v>355</v>
      </c>
    </row>
    <row r="51" spans="2:14" ht="14.25" customHeight="1">
      <c r="B51" s="551" t="s">
        <v>263</v>
      </c>
      <c r="C51" s="553" t="s">
        <v>354</v>
      </c>
      <c r="D51" s="553"/>
      <c r="E51" s="553"/>
      <c r="F51" s="553"/>
      <c r="G51" s="553"/>
      <c r="H51" s="553"/>
      <c r="I51" s="553"/>
      <c r="J51" s="553"/>
      <c r="K51" s="553"/>
      <c r="L51" s="553"/>
      <c r="M51" s="553"/>
      <c r="N51" s="554"/>
    </row>
    <row r="52" spans="2:14" ht="14.25" customHeight="1" thickBot="1">
      <c r="B52" s="552"/>
      <c r="C52" s="210" t="s">
        <v>261</v>
      </c>
      <c r="D52" s="209" t="s">
        <v>260</v>
      </c>
      <c r="E52" s="209" t="s">
        <v>259</v>
      </c>
      <c r="F52" s="209" t="s">
        <v>258</v>
      </c>
      <c r="G52" s="209" t="s">
        <v>54</v>
      </c>
      <c r="H52" s="209" t="s">
        <v>257</v>
      </c>
      <c r="I52" s="209" t="s">
        <v>256</v>
      </c>
      <c r="J52" s="209" t="s">
        <v>255</v>
      </c>
      <c r="K52" s="209" t="s">
        <v>254</v>
      </c>
      <c r="L52" s="209" t="s">
        <v>253</v>
      </c>
      <c r="M52" s="209" t="s">
        <v>252</v>
      </c>
      <c r="N52" s="208" t="s">
        <v>251</v>
      </c>
    </row>
    <row r="53" spans="2:14" ht="14.25" customHeight="1">
      <c r="B53" s="207" t="s">
        <v>250</v>
      </c>
      <c r="C53" s="205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203"/>
    </row>
    <row r="54" spans="2:14" ht="14.25" customHeight="1" thickBot="1">
      <c r="B54" s="206" t="s">
        <v>249</v>
      </c>
      <c r="C54" s="205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3"/>
    </row>
    <row r="55" spans="2:14" ht="14.25" customHeight="1" thickBot="1">
      <c r="B55" s="202" t="s">
        <v>248</v>
      </c>
      <c r="C55" s="201">
        <f t="shared" ref="C55:N55" si="4">SUM(C53:C54)</f>
        <v>0</v>
      </c>
      <c r="D55" s="200">
        <f t="shared" si="4"/>
        <v>0</v>
      </c>
      <c r="E55" s="200">
        <f t="shared" si="4"/>
        <v>0</v>
      </c>
      <c r="F55" s="200">
        <f t="shared" si="4"/>
        <v>0</v>
      </c>
      <c r="G55" s="200">
        <f t="shared" si="4"/>
        <v>0</v>
      </c>
      <c r="H55" s="200">
        <f t="shared" si="4"/>
        <v>0</v>
      </c>
      <c r="I55" s="200">
        <f t="shared" si="4"/>
        <v>0</v>
      </c>
      <c r="J55" s="200">
        <f t="shared" si="4"/>
        <v>0</v>
      </c>
      <c r="K55" s="200">
        <f t="shared" si="4"/>
        <v>0</v>
      </c>
      <c r="L55" s="200">
        <f t="shared" si="4"/>
        <v>0</v>
      </c>
      <c r="M55" s="200">
        <f t="shared" si="4"/>
        <v>0</v>
      </c>
      <c r="N55" s="199">
        <f t="shared" si="4"/>
        <v>0</v>
      </c>
    </row>
    <row r="56" spans="2:14" ht="14.25" customHeight="1" thickBot="1">
      <c r="B56" s="198" t="s">
        <v>247</v>
      </c>
      <c r="C56" s="197"/>
      <c r="D56" s="196"/>
      <c r="E56" s="196"/>
      <c r="F56" s="196"/>
      <c r="G56" s="196"/>
      <c r="H56" s="196"/>
      <c r="I56" s="196"/>
      <c r="J56" s="196"/>
      <c r="K56" s="195"/>
      <c r="L56" s="195"/>
      <c r="M56" s="195"/>
      <c r="N56" s="194"/>
    </row>
    <row r="57" spans="2:14" ht="14.25" customHeight="1" thickBot="1">
      <c r="B57" s="193" t="s">
        <v>246</v>
      </c>
      <c r="C57" s="192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191"/>
    </row>
  </sheetData>
  <sheetProtection formatCells="0" formatColumns="0" formatRows="0" insertColumns="0" insertRows="0" insertHyperlinks="0" deleteColumns="0" deleteRows="0" sort="0" autoFilter="0"/>
  <mergeCells count="11">
    <mergeCell ref="AD30:AD31"/>
    <mergeCell ref="AE30:AP30"/>
    <mergeCell ref="B51:B52"/>
    <mergeCell ref="C51:N51"/>
    <mergeCell ref="B1:AP1"/>
    <mergeCell ref="B4:B5"/>
    <mergeCell ref="C4:N4"/>
    <mergeCell ref="P4:P5"/>
    <mergeCell ref="Q4:AB4"/>
    <mergeCell ref="AD4:AD5"/>
    <mergeCell ref="AE4:AP4"/>
  </mergeCells>
  <pageMargins left="0.2" right="0.2" top="0.2" bottom="0.2" header="0" footer="0"/>
  <pageSetup paperSize="9" orientation="landscape" r:id="rId1"/>
  <ignoredErrors>
    <ignoredError sqref="C10:N10 Q10:AB10" evalError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N7"/>
  <sheetViews>
    <sheetView topLeftCell="I1" workbookViewId="0">
      <selection activeCell="N4" sqref="N4"/>
    </sheetView>
  </sheetViews>
  <sheetFormatPr defaultRowHeight="15"/>
  <cols>
    <col min="1" max="1" width="13.28515625" bestFit="1" customWidth="1"/>
  </cols>
  <sheetData>
    <row r="3" spans="1:14">
      <c r="A3" t="s">
        <v>228</v>
      </c>
      <c r="B3" s="188" t="s">
        <v>233</v>
      </c>
      <c r="C3" s="188" t="s">
        <v>234</v>
      </c>
      <c r="D3" s="188" t="s">
        <v>235</v>
      </c>
      <c r="E3" s="188" t="s">
        <v>236</v>
      </c>
      <c r="F3" s="188" t="s">
        <v>237</v>
      </c>
      <c r="G3" s="188" t="s">
        <v>238</v>
      </c>
      <c r="H3" s="188" t="s">
        <v>239</v>
      </c>
      <c r="I3" s="188" t="s">
        <v>240</v>
      </c>
      <c r="J3" s="188" t="s">
        <v>241</v>
      </c>
      <c r="K3" s="188" t="s">
        <v>242</v>
      </c>
      <c r="L3" s="188" t="s">
        <v>243</v>
      </c>
      <c r="M3" s="188" t="s">
        <v>244</v>
      </c>
      <c r="N3" s="188" t="s">
        <v>245</v>
      </c>
    </row>
    <row r="4" spans="1:14">
      <c r="A4" t="s">
        <v>229</v>
      </c>
      <c r="B4" s="189">
        <f>Jan!AN6</f>
        <v>0.99076923076923051</v>
      </c>
      <c r="C4" s="189" t="e">
        <f>#REF!</f>
        <v>#REF!</v>
      </c>
      <c r="D4" s="189" t="e">
        <f>#REF!</f>
        <v>#REF!</v>
      </c>
      <c r="E4" s="189" t="e">
        <f>#REF!</f>
        <v>#REF!</v>
      </c>
      <c r="N4" s="189">
        <v>0.95</v>
      </c>
    </row>
    <row r="5" spans="1:14">
      <c r="A5" t="s">
        <v>230</v>
      </c>
      <c r="B5" s="189">
        <f>Jan!AN34</f>
        <v>1</v>
      </c>
      <c r="C5" s="189" t="e">
        <f>#REF!</f>
        <v>#REF!</v>
      </c>
      <c r="D5" s="189" t="e">
        <f>#REF!</f>
        <v>#REF!</v>
      </c>
      <c r="E5" s="189" t="e">
        <f>#REF!</f>
        <v>#REF!</v>
      </c>
      <c r="N5" s="189">
        <v>0.95</v>
      </c>
    </row>
    <row r="6" spans="1:14">
      <c r="A6" t="s">
        <v>231</v>
      </c>
      <c r="B6" s="189">
        <f>Jan!AN62</f>
        <v>0.99153146853146856</v>
      </c>
      <c r="C6" s="189" t="e">
        <f>#REF!</f>
        <v>#REF!</v>
      </c>
      <c r="D6" s="189" t="e">
        <f>#REF!</f>
        <v>#REF!</v>
      </c>
      <c r="E6" s="189" t="e">
        <f>#REF!</f>
        <v>#REF!</v>
      </c>
      <c r="N6" s="189">
        <v>0.95</v>
      </c>
    </row>
    <row r="7" spans="1:14">
      <c r="A7" t="s">
        <v>232</v>
      </c>
      <c r="B7" s="189">
        <f>Jan!AN85</f>
        <v>0.98209198209198201</v>
      </c>
      <c r="C7" s="189" t="e">
        <f>#REF!</f>
        <v>#REF!</v>
      </c>
      <c r="D7" s="189" t="e">
        <f>#REF!</f>
        <v>#REF!</v>
      </c>
      <c r="E7" s="189" t="e">
        <f>#REF!</f>
        <v>#REF!</v>
      </c>
      <c r="N7" s="189">
        <v>0.95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O18"/>
  <sheetViews>
    <sheetView view="pageLayout" zoomScaleNormal="100" workbookViewId="0">
      <selection activeCell="C7" sqref="C7:E7"/>
    </sheetView>
  </sheetViews>
  <sheetFormatPr defaultColWidth="6.28515625" defaultRowHeight="14.25" customHeight="1"/>
  <cols>
    <col min="1" max="16384" width="6.28515625" style="260"/>
  </cols>
  <sheetData>
    <row r="1" spans="1:15" ht="14.25" customHeight="1">
      <c r="A1" s="589" t="s">
        <v>291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  <c r="L1" s="590"/>
      <c r="M1" s="590"/>
      <c r="N1" s="590"/>
      <c r="O1" s="591"/>
    </row>
    <row r="2" spans="1:15" ht="14.25" customHeight="1">
      <c r="A2" s="592"/>
      <c r="B2" s="593"/>
      <c r="C2" s="593"/>
      <c r="D2" s="593"/>
      <c r="E2" s="593"/>
      <c r="F2" s="593"/>
      <c r="G2" s="593"/>
      <c r="H2" s="593"/>
      <c r="I2" s="593"/>
      <c r="J2" s="593"/>
      <c r="K2" s="593"/>
      <c r="L2" s="593"/>
      <c r="M2" s="593"/>
      <c r="N2" s="593"/>
      <c r="O2" s="594"/>
    </row>
    <row r="3" spans="1:15" ht="14.25" customHeight="1" thickBot="1">
      <c r="A3" s="595"/>
      <c r="B3" s="596"/>
      <c r="C3" s="596"/>
      <c r="D3" s="596"/>
      <c r="E3" s="596"/>
      <c r="F3" s="596"/>
      <c r="G3" s="596"/>
      <c r="H3" s="596"/>
      <c r="I3" s="596"/>
      <c r="J3" s="596"/>
      <c r="K3" s="596"/>
      <c r="L3" s="596"/>
      <c r="M3" s="596"/>
      <c r="N3" s="596"/>
      <c r="O3" s="597"/>
    </row>
    <row r="6" spans="1:15" ht="14.25" customHeight="1">
      <c r="A6" s="598" t="s">
        <v>290</v>
      </c>
      <c r="B6" s="598"/>
      <c r="C6" s="599" t="s">
        <v>289</v>
      </c>
      <c r="D6" s="599"/>
      <c r="E6" s="599"/>
      <c r="F6" s="599" t="s">
        <v>55</v>
      </c>
      <c r="G6" s="599"/>
      <c r="H6" s="599"/>
      <c r="I6" s="599" t="s">
        <v>60</v>
      </c>
      <c r="J6" s="599"/>
      <c r="K6" s="599"/>
      <c r="M6" s="600" t="s">
        <v>103</v>
      </c>
      <c r="N6" s="600"/>
      <c r="O6" s="600"/>
    </row>
    <row r="7" spans="1:15" ht="14.25" customHeight="1">
      <c r="A7" s="587" t="s">
        <v>288</v>
      </c>
      <c r="B7" s="587"/>
      <c r="C7" s="588"/>
      <c r="D7" s="588"/>
      <c r="E7" s="588"/>
      <c r="F7" s="588"/>
      <c r="G7" s="588"/>
      <c r="H7" s="588"/>
      <c r="I7" s="588"/>
      <c r="J7" s="588"/>
      <c r="K7" s="588"/>
      <c r="L7" s="261"/>
      <c r="M7" s="588"/>
      <c r="N7" s="588"/>
      <c r="O7" s="588"/>
    </row>
    <row r="8" spans="1:15" ht="14.25" customHeight="1">
      <c r="A8" s="587" t="s">
        <v>287</v>
      </c>
      <c r="B8" s="587"/>
      <c r="C8" s="588"/>
      <c r="D8" s="588"/>
      <c r="E8" s="588"/>
      <c r="F8" s="588"/>
      <c r="G8" s="588"/>
      <c r="H8" s="588"/>
      <c r="I8" s="588"/>
      <c r="J8" s="588"/>
      <c r="K8" s="588"/>
      <c r="L8" s="261"/>
      <c r="M8" s="588"/>
      <c r="N8" s="588"/>
      <c r="O8" s="588"/>
    </row>
    <row r="9" spans="1:15" ht="14.25" customHeight="1">
      <c r="A9" s="587" t="s">
        <v>209</v>
      </c>
      <c r="B9" s="587"/>
      <c r="C9" s="588"/>
      <c r="D9" s="588"/>
      <c r="E9" s="588"/>
      <c r="F9" s="588"/>
      <c r="G9" s="588"/>
      <c r="H9" s="588"/>
      <c r="I9" s="588"/>
      <c r="J9" s="588"/>
      <c r="K9" s="588"/>
      <c r="L9" s="261"/>
      <c r="M9" s="588"/>
      <c r="N9" s="588"/>
      <c r="O9" s="588"/>
    </row>
    <row r="10" spans="1:15" ht="14.25" customHeight="1">
      <c r="A10" s="587" t="s">
        <v>286</v>
      </c>
      <c r="B10" s="587"/>
      <c r="C10" s="588"/>
      <c r="D10" s="588"/>
      <c r="E10" s="588"/>
      <c r="F10" s="588"/>
      <c r="G10" s="588"/>
      <c r="H10" s="588"/>
      <c r="I10" s="588"/>
      <c r="J10" s="588"/>
      <c r="K10" s="588"/>
      <c r="L10" s="261"/>
      <c r="M10" s="588"/>
      <c r="N10" s="588"/>
      <c r="O10" s="588"/>
    </row>
    <row r="11" spans="1:15" ht="14.25" customHeight="1">
      <c r="A11" s="587" t="s">
        <v>54</v>
      </c>
      <c r="B11" s="587"/>
      <c r="C11" s="588"/>
      <c r="D11" s="588"/>
      <c r="E11" s="588"/>
      <c r="F11" s="588"/>
      <c r="G11" s="588"/>
      <c r="H11" s="588"/>
      <c r="I11" s="588"/>
      <c r="J11" s="588"/>
      <c r="K11" s="588"/>
      <c r="L11" s="261"/>
      <c r="M11" s="588"/>
      <c r="N11" s="588"/>
      <c r="O11" s="588"/>
    </row>
    <row r="12" spans="1:15" ht="14.25" customHeight="1">
      <c r="A12" s="587" t="s">
        <v>285</v>
      </c>
      <c r="B12" s="587"/>
      <c r="C12" s="588"/>
      <c r="D12" s="588"/>
      <c r="E12" s="588"/>
      <c r="F12" s="588"/>
      <c r="G12" s="588"/>
      <c r="H12" s="588"/>
      <c r="I12" s="588"/>
      <c r="J12" s="588"/>
      <c r="K12" s="588"/>
      <c r="L12" s="261"/>
      <c r="M12" s="588"/>
      <c r="N12" s="588"/>
      <c r="O12" s="588"/>
    </row>
    <row r="13" spans="1:15" ht="14.25" customHeight="1">
      <c r="A13" s="587" t="s">
        <v>284</v>
      </c>
      <c r="B13" s="587"/>
      <c r="C13" s="588"/>
      <c r="D13" s="588"/>
      <c r="E13" s="588"/>
      <c r="F13" s="588"/>
      <c r="G13" s="588"/>
      <c r="H13" s="588"/>
      <c r="I13" s="588"/>
      <c r="J13" s="588"/>
      <c r="K13" s="588"/>
      <c r="L13" s="261"/>
      <c r="M13" s="588"/>
      <c r="N13" s="588"/>
      <c r="O13" s="588"/>
    </row>
    <row r="14" spans="1:15" ht="14.25" customHeight="1">
      <c r="A14" s="587" t="s">
        <v>283</v>
      </c>
      <c r="B14" s="587"/>
      <c r="C14" s="588"/>
      <c r="D14" s="588"/>
      <c r="E14" s="588"/>
      <c r="F14" s="588"/>
      <c r="G14" s="588"/>
      <c r="H14" s="588"/>
      <c r="I14" s="588"/>
      <c r="J14" s="588"/>
      <c r="K14" s="588"/>
      <c r="L14" s="261"/>
      <c r="M14" s="588"/>
      <c r="N14" s="588"/>
      <c r="O14" s="588"/>
    </row>
    <row r="15" spans="1:15" ht="14.25" customHeight="1">
      <c r="A15" s="587" t="s">
        <v>282</v>
      </c>
      <c r="B15" s="587"/>
      <c r="C15" s="588"/>
      <c r="D15" s="588"/>
      <c r="E15" s="588"/>
      <c r="F15" s="588"/>
      <c r="G15" s="588"/>
      <c r="H15" s="588"/>
      <c r="I15" s="588"/>
      <c r="J15" s="588"/>
      <c r="K15" s="588"/>
      <c r="L15" s="261"/>
      <c r="M15" s="588"/>
      <c r="N15" s="588"/>
      <c r="O15" s="588"/>
    </row>
    <row r="16" spans="1:15" ht="14.25" customHeight="1">
      <c r="A16" s="587" t="s">
        <v>281</v>
      </c>
      <c r="B16" s="587"/>
      <c r="C16" s="588"/>
      <c r="D16" s="588"/>
      <c r="E16" s="588"/>
      <c r="F16" s="588"/>
      <c r="G16" s="588"/>
      <c r="H16" s="588"/>
      <c r="I16" s="588"/>
      <c r="J16" s="588"/>
      <c r="K16" s="588"/>
      <c r="L16" s="261"/>
      <c r="M16" s="588"/>
      <c r="N16" s="588"/>
      <c r="O16" s="588"/>
    </row>
    <row r="17" spans="1:15" ht="14.25" customHeight="1">
      <c r="A17" s="587" t="s">
        <v>280</v>
      </c>
      <c r="B17" s="587"/>
      <c r="C17" s="588"/>
      <c r="D17" s="588"/>
      <c r="E17" s="588"/>
      <c r="F17" s="588"/>
      <c r="G17" s="588"/>
      <c r="H17" s="588"/>
      <c r="I17" s="588"/>
      <c r="J17" s="588"/>
      <c r="K17" s="588"/>
      <c r="L17" s="261"/>
      <c r="M17" s="588"/>
      <c r="N17" s="588"/>
      <c r="O17" s="588"/>
    </row>
    <row r="18" spans="1:15" ht="14.25" customHeight="1">
      <c r="A18" s="587" t="s">
        <v>279</v>
      </c>
      <c r="B18" s="587"/>
      <c r="C18" s="588"/>
      <c r="D18" s="588"/>
      <c r="E18" s="588"/>
      <c r="F18" s="588"/>
      <c r="G18" s="588"/>
      <c r="H18" s="588"/>
      <c r="I18" s="588"/>
      <c r="J18" s="588"/>
      <c r="K18" s="588"/>
      <c r="L18" s="261"/>
      <c r="M18" s="588"/>
      <c r="N18" s="588"/>
      <c r="O18" s="588"/>
    </row>
  </sheetData>
  <mergeCells count="66">
    <mergeCell ref="A1:O3"/>
    <mergeCell ref="A6:B6"/>
    <mergeCell ref="C6:E6"/>
    <mergeCell ref="F6:H6"/>
    <mergeCell ref="I6:K6"/>
    <mergeCell ref="M6:O6"/>
    <mergeCell ref="M7:O7"/>
    <mergeCell ref="A8:B8"/>
    <mergeCell ref="C8:E8"/>
    <mergeCell ref="F8:H8"/>
    <mergeCell ref="I8:K8"/>
    <mergeCell ref="M8:O8"/>
    <mergeCell ref="A7:B7"/>
    <mergeCell ref="C7:E7"/>
    <mergeCell ref="F7:H7"/>
    <mergeCell ref="I7:K7"/>
    <mergeCell ref="A9:B9"/>
    <mergeCell ref="C9:E9"/>
    <mergeCell ref="F9:H9"/>
    <mergeCell ref="I9:K9"/>
    <mergeCell ref="M9:O9"/>
    <mergeCell ref="A10:B10"/>
    <mergeCell ref="C10:E10"/>
    <mergeCell ref="F10:H10"/>
    <mergeCell ref="I10:K10"/>
    <mergeCell ref="M10:O10"/>
    <mergeCell ref="A11:B11"/>
    <mergeCell ref="C11:E11"/>
    <mergeCell ref="F11:H11"/>
    <mergeCell ref="I11:K11"/>
    <mergeCell ref="M11:O11"/>
    <mergeCell ref="A12:B12"/>
    <mergeCell ref="C12:E12"/>
    <mergeCell ref="F12:H12"/>
    <mergeCell ref="I12:K12"/>
    <mergeCell ref="M12:O12"/>
    <mergeCell ref="A13:B13"/>
    <mergeCell ref="C13:E13"/>
    <mergeCell ref="F13:H13"/>
    <mergeCell ref="I13:K13"/>
    <mergeCell ref="M13:O13"/>
    <mergeCell ref="A14:B14"/>
    <mergeCell ref="C14:E14"/>
    <mergeCell ref="F14:H14"/>
    <mergeCell ref="I14:K14"/>
    <mergeCell ref="M14:O14"/>
    <mergeCell ref="A15:B15"/>
    <mergeCell ref="C15:E15"/>
    <mergeCell ref="F15:H15"/>
    <mergeCell ref="I15:K15"/>
    <mergeCell ref="M15:O15"/>
    <mergeCell ref="A16:B16"/>
    <mergeCell ref="C16:E16"/>
    <mergeCell ref="F16:H16"/>
    <mergeCell ref="I16:K16"/>
    <mergeCell ref="M16:O16"/>
    <mergeCell ref="A17:B17"/>
    <mergeCell ref="C17:E17"/>
    <mergeCell ref="F17:H17"/>
    <mergeCell ref="I17:K17"/>
    <mergeCell ref="M17:O17"/>
    <mergeCell ref="A18:B18"/>
    <mergeCell ref="C18:E18"/>
    <mergeCell ref="F18:H18"/>
    <mergeCell ref="I18:K18"/>
    <mergeCell ref="M18:O18"/>
  </mergeCells>
  <pageMargins left="0.2" right="0.2" top="0.2" bottom="0.2" header="0" footer="0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B1:AP49"/>
  <sheetViews>
    <sheetView zoomScaleNormal="100" workbookViewId="0">
      <selection activeCell="A42" sqref="A42:XFD49"/>
    </sheetView>
  </sheetViews>
  <sheetFormatPr defaultColWidth="6.28515625" defaultRowHeight="14.25" customHeight="1"/>
  <cols>
    <col min="1" max="26" width="6.28515625" style="3"/>
    <col min="27" max="27" width="7.28515625" style="3" bestFit="1" customWidth="1"/>
    <col min="28" max="39" width="6.28515625" style="3"/>
    <col min="40" max="42" width="7.28515625" style="3" bestFit="1" customWidth="1"/>
    <col min="43" max="16384" width="6.28515625" style="3"/>
  </cols>
  <sheetData>
    <row r="1" spans="2:42" ht="14.25" customHeight="1" thickBot="1">
      <c r="B1" s="555" t="s">
        <v>278</v>
      </c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556"/>
      <c r="T1" s="556"/>
      <c r="U1" s="556"/>
      <c r="V1" s="556"/>
      <c r="W1" s="556"/>
      <c r="X1" s="556"/>
      <c r="Y1" s="556"/>
      <c r="Z1" s="556"/>
      <c r="AA1" s="556"/>
      <c r="AB1" s="556"/>
      <c r="AC1" s="556"/>
      <c r="AD1" s="556"/>
      <c r="AE1" s="556"/>
      <c r="AF1" s="556"/>
      <c r="AG1" s="556"/>
      <c r="AH1" s="556"/>
      <c r="AI1" s="556"/>
      <c r="AJ1" s="556"/>
      <c r="AK1" s="556"/>
      <c r="AL1" s="556"/>
      <c r="AM1" s="556"/>
      <c r="AN1" s="556"/>
      <c r="AO1" s="556"/>
      <c r="AP1" s="557"/>
    </row>
    <row r="3" spans="2:42" ht="14.25" customHeight="1" thickBot="1">
      <c r="B3" s="3" t="s">
        <v>277</v>
      </c>
      <c r="P3" s="3" t="s">
        <v>276</v>
      </c>
      <c r="AD3" s="3" t="s">
        <v>275</v>
      </c>
    </row>
    <row r="4" spans="2:42" ht="14.25" customHeight="1">
      <c r="B4" s="551" t="s">
        <v>274</v>
      </c>
      <c r="C4" s="558" t="s">
        <v>268</v>
      </c>
      <c r="D4" s="559"/>
      <c r="E4" s="559"/>
      <c r="F4" s="559"/>
      <c r="G4" s="559"/>
      <c r="H4" s="559"/>
      <c r="I4" s="559"/>
      <c r="J4" s="559"/>
      <c r="K4" s="559"/>
      <c r="L4" s="559"/>
      <c r="M4" s="559"/>
      <c r="N4" s="560"/>
      <c r="P4" s="551" t="s">
        <v>274</v>
      </c>
      <c r="Q4" s="558" t="s">
        <v>273</v>
      </c>
      <c r="R4" s="559"/>
      <c r="S4" s="559"/>
      <c r="T4" s="559"/>
      <c r="U4" s="559"/>
      <c r="V4" s="559"/>
      <c r="W4" s="559"/>
      <c r="X4" s="559"/>
      <c r="Y4" s="559"/>
      <c r="Z4" s="559"/>
      <c r="AA4" s="559"/>
      <c r="AB4" s="560"/>
      <c r="AD4" s="551" t="s">
        <v>263</v>
      </c>
      <c r="AE4" s="553" t="s">
        <v>273</v>
      </c>
      <c r="AF4" s="553"/>
      <c r="AG4" s="553"/>
      <c r="AH4" s="553"/>
      <c r="AI4" s="553"/>
      <c r="AJ4" s="553"/>
      <c r="AK4" s="553"/>
      <c r="AL4" s="553"/>
      <c r="AM4" s="553"/>
      <c r="AN4" s="553"/>
      <c r="AO4" s="553"/>
      <c r="AP4" s="554"/>
    </row>
    <row r="5" spans="2:42" ht="14.25" customHeight="1" thickBot="1">
      <c r="B5" s="552"/>
      <c r="C5" s="210" t="s">
        <v>261</v>
      </c>
      <c r="D5" s="209" t="s">
        <v>260</v>
      </c>
      <c r="E5" s="209" t="s">
        <v>259</v>
      </c>
      <c r="F5" s="209" t="s">
        <v>258</v>
      </c>
      <c r="G5" s="209" t="s">
        <v>54</v>
      </c>
      <c r="H5" s="209" t="s">
        <v>257</v>
      </c>
      <c r="I5" s="209" t="s">
        <v>256</v>
      </c>
      <c r="J5" s="209" t="s">
        <v>255</v>
      </c>
      <c r="K5" s="209" t="s">
        <v>254</v>
      </c>
      <c r="L5" s="209" t="s">
        <v>253</v>
      </c>
      <c r="M5" s="209" t="s">
        <v>252</v>
      </c>
      <c r="N5" s="208" t="s">
        <v>251</v>
      </c>
      <c r="P5" s="552"/>
      <c r="Q5" s="210" t="s">
        <v>261</v>
      </c>
      <c r="R5" s="209" t="s">
        <v>260</v>
      </c>
      <c r="S5" s="209" t="s">
        <v>259</v>
      </c>
      <c r="T5" s="209" t="s">
        <v>258</v>
      </c>
      <c r="U5" s="209" t="s">
        <v>54</v>
      </c>
      <c r="V5" s="209" t="s">
        <v>257</v>
      </c>
      <c r="W5" s="209" t="s">
        <v>256</v>
      </c>
      <c r="X5" s="209" t="s">
        <v>255</v>
      </c>
      <c r="Y5" s="209" t="s">
        <v>254</v>
      </c>
      <c r="Z5" s="209" t="s">
        <v>253</v>
      </c>
      <c r="AA5" s="209" t="s">
        <v>252</v>
      </c>
      <c r="AB5" s="208" t="s">
        <v>251</v>
      </c>
      <c r="AD5" s="552"/>
      <c r="AE5" s="210" t="s">
        <v>261</v>
      </c>
      <c r="AF5" s="209" t="s">
        <v>260</v>
      </c>
      <c r="AG5" s="209" t="s">
        <v>259</v>
      </c>
      <c r="AH5" s="209" t="s">
        <v>258</v>
      </c>
      <c r="AI5" s="209" t="s">
        <v>54</v>
      </c>
      <c r="AJ5" s="209" t="s">
        <v>257</v>
      </c>
      <c r="AK5" s="209" t="s">
        <v>256</v>
      </c>
      <c r="AL5" s="209" t="s">
        <v>255</v>
      </c>
      <c r="AM5" s="209" t="s">
        <v>254</v>
      </c>
      <c r="AN5" s="209" t="s">
        <v>253</v>
      </c>
      <c r="AO5" s="209" t="s">
        <v>252</v>
      </c>
      <c r="AP5" s="208" t="s">
        <v>251</v>
      </c>
    </row>
    <row r="6" spans="2:42" ht="14.25" customHeight="1">
      <c r="B6" s="258" t="s">
        <v>347</v>
      </c>
      <c r="C6" s="253"/>
      <c r="D6" s="256"/>
      <c r="E6" s="256"/>
      <c r="F6" s="252"/>
      <c r="G6" s="252"/>
      <c r="H6" s="256"/>
      <c r="I6" s="259"/>
      <c r="J6" s="252"/>
      <c r="K6" s="252"/>
      <c r="L6" s="252"/>
      <c r="M6" s="252"/>
      <c r="N6" s="254"/>
      <c r="O6" s="230"/>
      <c r="P6" s="258" t="str">
        <f>B6</f>
        <v>CLC</v>
      </c>
      <c r="Q6" s="257"/>
      <c r="R6" s="256"/>
      <c r="S6" s="256"/>
      <c r="T6" s="256"/>
      <c r="U6" s="252"/>
      <c r="V6" s="256"/>
      <c r="W6" s="252"/>
      <c r="X6" s="252"/>
      <c r="Y6" s="252"/>
      <c r="Z6" s="252"/>
      <c r="AA6" s="255"/>
      <c r="AB6" s="254"/>
      <c r="AC6" s="230"/>
      <c r="AD6" s="207" t="s">
        <v>272</v>
      </c>
      <c r="AE6" s="253"/>
      <c r="AF6" s="252"/>
      <c r="AG6" s="252"/>
      <c r="AH6" s="252"/>
      <c r="AI6" s="252"/>
      <c r="AJ6" s="252"/>
      <c r="AK6" s="252"/>
      <c r="AL6" s="252"/>
      <c r="AM6" s="252"/>
      <c r="AN6" s="189"/>
      <c r="AO6" s="251"/>
      <c r="AP6" s="189"/>
    </row>
    <row r="7" spans="2:42" ht="14.25" customHeight="1" thickBot="1">
      <c r="B7" s="244" t="s">
        <v>348</v>
      </c>
      <c r="C7" s="243"/>
      <c r="D7" s="241"/>
      <c r="E7" s="241"/>
      <c r="F7" s="242"/>
      <c r="G7" s="242"/>
      <c r="H7" s="241"/>
      <c r="I7" s="250"/>
      <c r="J7" s="241"/>
      <c r="K7" s="241"/>
      <c r="L7" s="241"/>
      <c r="M7" s="241"/>
      <c r="N7" s="240"/>
      <c r="O7" s="230"/>
      <c r="P7" s="244" t="str">
        <f>B7</f>
        <v>JED</v>
      </c>
      <c r="Q7" s="243"/>
      <c r="R7" s="241"/>
      <c r="S7" s="241"/>
      <c r="T7" s="241"/>
      <c r="U7" s="242"/>
      <c r="V7" s="241"/>
      <c r="W7" s="241"/>
      <c r="X7" s="241"/>
      <c r="Y7" s="241"/>
      <c r="Z7" s="241"/>
      <c r="AA7" s="241"/>
      <c r="AB7" s="240"/>
      <c r="AC7" s="230"/>
      <c r="AD7" s="249" t="s">
        <v>271</v>
      </c>
      <c r="AE7" s="237"/>
      <c r="AF7" s="236"/>
      <c r="AG7" s="236"/>
      <c r="AH7" s="236"/>
      <c r="AI7" s="236"/>
      <c r="AJ7" s="236"/>
      <c r="AK7" s="236"/>
      <c r="AL7" s="236"/>
      <c r="AM7" s="236"/>
      <c r="AN7" s="248"/>
      <c r="AO7" s="248"/>
      <c r="AP7" s="247"/>
    </row>
    <row r="8" spans="2:42" ht="14.25" customHeight="1" thickBot="1">
      <c r="B8" s="244" t="s">
        <v>349</v>
      </c>
      <c r="C8" s="246"/>
      <c r="D8" s="241"/>
      <c r="E8" s="241"/>
      <c r="F8" s="241"/>
      <c r="G8" s="241"/>
      <c r="H8" s="241"/>
      <c r="I8" s="245"/>
      <c r="J8" s="242"/>
      <c r="K8" s="241"/>
      <c r="L8" s="241"/>
      <c r="M8" s="241"/>
      <c r="N8" s="240"/>
      <c r="O8" s="230"/>
      <c r="P8" s="244" t="str">
        <f>B8</f>
        <v>VPL</v>
      </c>
      <c r="Q8" s="243"/>
      <c r="R8" s="241"/>
      <c r="S8" s="241"/>
      <c r="T8" s="241"/>
      <c r="U8" s="241"/>
      <c r="V8" s="241"/>
      <c r="W8" s="242"/>
      <c r="X8" s="242"/>
      <c r="Y8" s="241"/>
      <c r="Z8" s="241"/>
      <c r="AA8" s="241"/>
      <c r="AB8" s="240"/>
      <c r="AC8" s="230"/>
      <c r="AD8" s="234" t="s">
        <v>270</v>
      </c>
      <c r="AE8" s="233">
        <f>AE6*28/79+AE7*51/79</f>
        <v>0</v>
      </c>
      <c r="AF8" s="232">
        <f>AF6*31/82+AF7*51/82</f>
        <v>0</v>
      </c>
      <c r="AG8" s="232">
        <f>AG6*30/81+AG7*51/81</f>
        <v>0</v>
      </c>
      <c r="AH8" s="232">
        <f>AH6*29/(29+51)+AH7*51/(29+51)</f>
        <v>0</v>
      </c>
      <c r="AI8" s="232">
        <f>AI6*27/78+AI7*51/78</f>
        <v>0</v>
      </c>
      <c r="AJ8" s="232">
        <f>AJ6*25/77+AJ7*52/77</f>
        <v>0</v>
      </c>
      <c r="AK8" s="232">
        <f>AK6*25/77+'Performance trend'!AK7*51/77</f>
        <v>0</v>
      </c>
      <c r="AL8" s="232">
        <f>AL6*23/75+'Performance trend'!AL7*52/75</f>
        <v>0</v>
      </c>
      <c r="AM8" s="232">
        <v>1</v>
      </c>
      <c r="AN8" s="232">
        <f>AN6*27/82+AN7*55/82</f>
        <v>0</v>
      </c>
      <c r="AO8" s="232">
        <f>AO6*29/82+'Performance trend'!AO7*53/82</f>
        <v>0</v>
      </c>
      <c r="AP8" s="231">
        <f>AP6*29/85+'Performance trend'!AP7*56/85</f>
        <v>0</v>
      </c>
    </row>
    <row r="9" spans="2:42" ht="14.25" customHeight="1" thickBot="1">
      <c r="B9" s="238" t="s">
        <v>350</v>
      </c>
      <c r="C9" s="237"/>
      <c r="D9" s="236"/>
      <c r="E9" s="236"/>
      <c r="F9" s="236"/>
      <c r="G9" s="236"/>
      <c r="H9" s="236"/>
      <c r="I9" s="239"/>
      <c r="J9" s="236"/>
      <c r="K9" s="236"/>
      <c r="L9" s="236"/>
      <c r="M9" s="236"/>
      <c r="N9" s="235"/>
      <c r="O9" s="230"/>
      <c r="P9" s="238" t="str">
        <f>B9</f>
        <v>NJL</v>
      </c>
      <c r="Q9" s="237"/>
      <c r="R9" s="236"/>
      <c r="S9" s="236"/>
      <c r="T9" s="236"/>
      <c r="U9" s="236"/>
      <c r="V9" s="236"/>
      <c r="W9" s="236"/>
      <c r="X9" s="236"/>
      <c r="Y9" s="236"/>
      <c r="Z9" s="236"/>
      <c r="AA9" s="236"/>
      <c r="AB9" s="235"/>
      <c r="AC9" s="230"/>
      <c r="AH9" s="230"/>
    </row>
    <row r="10" spans="2:42" ht="14.25" customHeight="1" thickBot="1">
      <c r="B10" s="234" t="s">
        <v>270</v>
      </c>
      <c r="C10" s="233" t="e">
        <f t="shared" ref="C10:N10" si="0">AVERAGE(C6:C9)</f>
        <v>#DIV/0!</v>
      </c>
      <c r="D10" s="232" t="e">
        <f t="shared" si="0"/>
        <v>#DIV/0!</v>
      </c>
      <c r="E10" s="232" t="e">
        <f t="shared" si="0"/>
        <v>#DIV/0!</v>
      </c>
      <c r="F10" s="232" t="e">
        <f t="shared" si="0"/>
        <v>#DIV/0!</v>
      </c>
      <c r="G10" s="232" t="e">
        <f t="shared" si="0"/>
        <v>#DIV/0!</v>
      </c>
      <c r="H10" s="232" t="e">
        <f t="shared" si="0"/>
        <v>#DIV/0!</v>
      </c>
      <c r="I10" s="232" t="e">
        <f t="shared" si="0"/>
        <v>#DIV/0!</v>
      </c>
      <c r="J10" s="232" t="e">
        <f t="shared" si="0"/>
        <v>#DIV/0!</v>
      </c>
      <c r="K10" s="232" t="e">
        <f t="shared" si="0"/>
        <v>#DIV/0!</v>
      </c>
      <c r="L10" s="232" t="e">
        <f t="shared" si="0"/>
        <v>#DIV/0!</v>
      </c>
      <c r="M10" s="232" t="e">
        <f t="shared" si="0"/>
        <v>#DIV/0!</v>
      </c>
      <c r="N10" s="231" t="e">
        <f t="shared" si="0"/>
        <v>#DIV/0!</v>
      </c>
      <c r="P10" s="234" t="s">
        <v>270</v>
      </c>
      <c r="Q10" s="233" t="e">
        <f t="shared" ref="Q10:AB10" si="1">AVERAGE(Q6:Q9)</f>
        <v>#DIV/0!</v>
      </c>
      <c r="R10" s="232" t="e">
        <f t="shared" si="1"/>
        <v>#DIV/0!</v>
      </c>
      <c r="S10" s="232" t="e">
        <f t="shared" si="1"/>
        <v>#DIV/0!</v>
      </c>
      <c r="T10" s="232" t="e">
        <f t="shared" si="1"/>
        <v>#DIV/0!</v>
      </c>
      <c r="U10" s="232" t="e">
        <f t="shared" si="1"/>
        <v>#DIV/0!</v>
      </c>
      <c r="V10" s="232" t="e">
        <f t="shared" si="1"/>
        <v>#DIV/0!</v>
      </c>
      <c r="W10" s="232" t="e">
        <f t="shared" si="1"/>
        <v>#DIV/0!</v>
      </c>
      <c r="X10" s="232" t="e">
        <f t="shared" si="1"/>
        <v>#DIV/0!</v>
      </c>
      <c r="Y10" s="232" t="e">
        <f t="shared" si="1"/>
        <v>#DIV/0!</v>
      </c>
      <c r="Z10" s="232" t="e">
        <f t="shared" si="1"/>
        <v>#DIV/0!</v>
      </c>
      <c r="AA10" s="232" t="e">
        <f t="shared" si="1"/>
        <v>#DIV/0!</v>
      </c>
      <c r="AB10" s="231" t="e">
        <f t="shared" si="1"/>
        <v>#DIV/0!</v>
      </c>
      <c r="AH10" s="230"/>
    </row>
    <row r="29" spans="29:42" ht="14.25" customHeight="1" thickBot="1">
      <c r="AD29" s="3" t="s">
        <v>269</v>
      </c>
    </row>
    <row r="30" spans="29:42" ht="14.25" customHeight="1">
      <c r="AD30" s="551" t="s">
        <v>263</v>
      </c>
      <c r="AE30" s="553" t="s">
        <v>268</v>
      </c>
      <c r="AF30" s="553"/>
      <c r="AG30" s="553"/>
      <c r="AH30" s="553"/>
      <c r="AI30" s="553"/>
      <c r="AJ30" s="553"/>
      <c r="AK30" s="553"/>
      <c r="AL30" s="553"/>
      <c r="AM30" s="553"/>
      <c r="AN30" s="553"/>
      <c r="AO30" s="553"/>
      <c r="AP30" s="554"/>
    </row>
    <row r="31" spans="29:42" ht="14.25" customHeight="1" thickBot="1">
      <c r="AD31" s="552"/>
      <c r="AE31" s="210" t="s">
        <v>261</v>
      </c>
      <c r="AF31" s="209" t="s">
        <v>260</v>
      </c>
      <c r="AG31" s="209" t="s">
        <v>259</v>
      </c>
      <c r="AH31" s="209" t="s">
        <v>258</v>
      </c>
      <c r="AI31" s="209" t="s">
        <v>54</v>
      </c>
      <c r="AJ31" s="209" t="s">
        <v>257</v>
      </c>
      <c r="AK31" s="209" t="s">
        <v>256</v>
      </c>
      <c r="AL31" s="209" t="s">
        <v>255</v>
      </c>
      <c r="AM31" s="209" t="s">
        <v>254</v>
      </c>
      <c r="AN31" s="209" t="s">
        <v>253</v>
      </c>
      <c r="AO31" s="209" t="s">
        <v>252</v>
      </c>
      <c r="AP31" s="208" t="s">
        <v>251</v>
      </c>
    </row>
    <row r="32" spans="29:42" ht="14.25" customHeight="1">
      <c r="AC32" s="8"/>
      <c r="AD32" s="229" t="s">
        <v>250</v>
      </c>
      <c r="AE32" s="228"/>
      <c r="AF32" s="227"/>
      <c r="AG32" s="227"/>
      <c r="AH32" s="227"/>
      <c r="AI32" s="227"/>
      <c r="AJ32" s="227"/>
      <c r="AK32" s="226"/>
      <c r="AL32" s="227"/>
      <c r="AM32" s="226"/>
      <c r="AN32" s="227"/>
      <c r="AO32" s="226"/>
      <c r="AP32" s="225"/>
    </row>
    <row r="33" spans="2:42" ht="14.25" customHeight="1">
      <c r="AC33" s="8"/>
      <c r="AD33" s="206" t="s">
        <v>249</v>
      </c>
      <c r="AE33" s="224"/>
      <c r="AF33" s="223"/>
      <c r="AG33" s="223"/>
      <c r="AH33" s="223"/>
      <c r="AI33" s="223"/>
      <c r="AJ33" s="223"/>
      <c r="AK33" s="222"/>
      <c r="AL33" s="223"/>
      <c r="AM33" s="222"/>
      <c r="AN33" s="223"/>
      <c r="AO33" s="222"/>
      <c r="AP33" s="221"/>
    </row>
    <row r="34" spans="2:42" ht="14.25" customHeight="1">
      <c r="AD34" s="220" t="s">
        <v>267</v>
      </c>
      <c r="AE34" s="219">
        <f t="shared" ref="AE34:AP34" si="2">SUM(AE32:AE33)</f>
        <v>0</v>
      </c>
      <c r="AF34" s="218">
        <f t="shared" si="2"/>
        <v>0</v>
      </c>
      <c r="AG34" s="218">
        <f t="shared" si="2"/>
        <v>0</v>
      </c>
      <c r="AH34" s="218">
        <f t="shared" si="2"/>
        <v>0</v>
      </c>
      <c r="AI34" s="218">
        <f t="shared" si="2"/>
        <v>0</v>
      </c>
      <c r="AJ34" s="218">
        <f t="shared" si="2"/>
        <v>0</v>
      </c>
      <c r="AK34" s="218">
        <f t="shared" si="2"/>
        <v>0</v>
      </c>
      <c r="AL34" s="218">
        <f t="shared" si="2"/>
        <v>0</v>
      </c>
      <c r="AM34" s="218">
        <f t="shared" si="2"/>
        <v>0</v>
      </c>
      <c r="AN34" s="218">
        <f t="shared" si="2"/>
        <v>0</v>
      </c>
      <c r="AO34" s="218">
        <f t="shared" si="2"/>
        <v>0</v>
      </c>
      <c r="AP34" s="218">
        <f t="shared" si="2"/>
        <v>0</v>
      </c>
    </row>
    <row r="35" spans="2:42" ht="14.25" customHeight="1">
      <c r="AD35" s="217" t="s">
        <v>266</v>
      </c>
      <c r="AE35" s="216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4"/>
    </row>
    <row r="36" spans="2:42" ht="14.25" customHeight="1" thickBot="1">
      <c r="AD36" s="213" t="s">
        <v>265</v>
      </c>
      <c r="AE36" s="212">
        <f t="shared" ref="AE36:AP36" si="3">AE35-AE34</f>
        <v>0</v>
      </c>
      <c r="AF36" s="211">
        <f t="shared" si="3"/>
        <v>0</v>
      </c>
      <c r="AG36" s="211">
        <f t="shared" si="3"/>
        <v>0</v>
      </c>
      <c r="AH36" s="211">
        <f t="shared" si="3"/>
        <v>0</v>
      </c>
      <c r="AI36" s="211">
        <f t="shared" si="3"/>
        <v>0</v>
      </c>
      <c r="AJ36" s="211">
        <f t="shared" si="3"/>
        <v>0</v>
      </c>
      <c r="AK36" s="211">
        <f t="shared" si="3"/>
        <v>0</v>
      </c>
      <c r="AL36" s="211">
        <f t="shared" si="3"/>
        <v>0</v>
      </c>
      <c r="AM36" s="211">
        <f t="shared" si="3"/>
        <v>0</v>
      </c>
      <c r="AN36" s="211">
        <f t="shared" si="3"/>
        <v>0</v>
      </c>
      <c r="AO36" s="211">
        <f t="shared" si="3"/>
        <v>0</v>
      </c>
      <c r="AP36" s="211">
        <f t="shared" si="3"/>
        <v>0</v>
      </c>
    </row>
    <row r="42" spans="2:42" ht="14.25" customHeight="1" thickBot="1">
      <c r="B42" s="3" t="s">
        <v>264</v>
      </c>
    </row>
    <row r="43" spans="2:42" ht="14.25" customHeight="1">
      <c r="B43" s="551" t="s">
        <v>263</v>
      </c>
      <c r="C43" s="553" t="s">
        <v>262</v>
      </c>
      <c r="D43" s="553"/>
      <c r="E43" s="553"/>
      <c r="F43" s="553"/>
      <c r="G43" s="553"/>
      <c r="H43" s="553"/>
      <c r="I43" s="553"/>
      <c r="J43" s="553"/>
      <c r="K43" s="553"/>
      <c r="L43" s="553"/>
      <c r="M43" s="553"/>
      <c r="N43" s="554"/>
    </row>
    <row r="44" spans="2:42" ht="14.25" customHeight="1" thickBot="1">
      <c r="B44" s="552"/>
      <c r="C44" s="210" t="s">
        <v>261</v>
      </c>
      <c r="D44" s="209" t="s">
        <v>260</v>
      </c>
      <c r="E44" s="209" t="s">
        <v>259</v>
      </c>
      <c r="F44" s="209" t="s">
        <v>258</v>
      </c>
      <c r="G44" s="209" t="s">
        <v>54</v>
      </c>
      <c r="H44" s="209" t="s">
        <v>257</v>
      </c>
      <c r="I44" s="209" t="s">
        <v>256</v>
      </c>
      <c r="J44" s="209" t="s">
        <v>255</v>
      </c>
      <c r="K44" s="209" t="s">
        <v>254</v>
      </c>
      <c r="L44" s="209" t="s">
        <v>253</v>
      </c>
      <c r="M44" s="209" t="s">
        <v>252</v>
      </c>
      <c r="N44" s="208" t="s">
        <v>251</v>
      </c>
    </row>
    <row r="45" spans="2:42" ht="14.25" customHeight="1">
      <c r="B45" s="207" t="s">
        <v>250</v>
      </c>
      <c r="C45" s="205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203"/>
    </row>
    <row r="46" spans="2:42" ht="14.25" customHeight="1" thickBot="1">
      <c r="B46" s="206" t="s">
        <v>249</v>
      </c>
      <c r="C46" s="205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3"/>
    </row>
    <row r="47" spans="2:42" ht="14.25" customHeight="1" thickBot="1">
      <c r="B47" s="202" t="s">
        <v>248</v>
      </c>
      <c r="C47" s="201">
        <f t="shared" ref="C47:N47" si="4">SUM(C45:C46)</f>
        <v>0</v>
      </c>
      <c r="D47" s="200">
        <f t="shared" si="4"/>
        <v>0</v>
      </c>
      <c r="E47" s="200">
        <f t="shared" si="4"/>
        <v>0</v>
      </c>
      <c r="F47" s="200">
        <f t="shared" si="4"/>
        <v>0</v>
      </c>
      <c r="G47" s="200">
        <f t="shared" si="4"/>
        <v>0</v>
      </c>
      <c r="H47" s="200">
        <f t="shared" si="4"/>
        <v>0</v>
      </c>
      <c r="I47" s="200">
        <f t="shared" si="4"/>
        <v>0</v>
      </c>
      <c r="J47" s="200">
        <f t="shared" si="4"/>
        <v>0</v>
      </c>
      <c r="K47" s="200">
        <f t="shared" si="4"/>
        <v>0</v>
      </c>
      <c r="L47" s="200">
        <f t="shared" si="4"/>
        <v>0</v>
      </c>
      <c r="M47" s="200">
        <f t="shared" si="4"/>
        <v>0</v>
      </c>
      <c r="N47" s="199">
        <f t="shared" si="4"/>
        <v>0</v>
      </c>
    </row>
    <row r="48" spans="2:42" ht="14.25" customHeight="1" thickBot="1">
      <c r="B48" s="198" t="s">
        <v>247</v>
      </c>
      <c r="C48" s="197">
        <v>1063</v>
      </c>
      <c r="D48" s="196">
        <v>2492</v>
      </c>
      <c r="E48" s="196">
        <v>3005</v>
      </c>
      <c r="F48" s="196">
        <v>4508</v>
      </c>
      <c r="G48" s="196">
        <f>[2]May!AQ102+F48</f>
        <v>6208</v>
      </c>
      <c r="H48" s="196">
        <f>[2]June!AQ102+'Performance trend'!G48</f>
        <v>7727</v>
      </c>
      <c r="I48" s="196">
        <f>H48+[2]July!AQ101</f>
        <v>9093</v>
      </c>
      <c r="J48" s="196">
        <f>I48+[2]Aug!AQ97</f>
        <v>10450</v>
      </c>
      <c r="K48" s="195">
        <f>J48+K47-J47</f>
        <v>10450</v>
      </c>
      <c r="L48" s="195">
        <f>K48+[2]Oct!AS106</f>
        <v>12012</v>
      </c>
      <c r="M48" s="195">
        <f>L48+[2]Nov!AR109</f>
        <v>14118</v>
      </c>
      <c r="N48" s="194">
        <f>M48+[2]Dec!AS110</f>
        <v>15856</v>
      </c>
    </row>
    <row r="49" spans="2:14" ht="14.25" customHeight="1" thickBot="1">
      <c r="B49" s="193" t="s">
        <v>246</v>
      </c>
      <c r="C49" s="192">
        <f t="shared" ref="C49:N49" si="5">C47-C48</f>
        <v>-1063</v>
      </c>
      <c r="D49" s="192">
        <f t="shared" si="5"/>
        <v>-2492</v>
      </c>
      <c r="E49" s="192">
        <f t="shared" si="5"/>
        <v>-3005</v>
      </c>
      <c r="F49" s="192">
        <f t="shared" si="5"/>
        <v>-4508</v>
      </c>
      <c r="G49" s="192">
        <f t="shared" si="5"/>
        <v>-6208</v>
      </c>
      <c r="H49" s="192">
        <f t="shared" si="5"/>
        <v>-7727</v>
      </c>
      <c r="I49" s="192">
        <f t="shared" si="5"/>
        <v>-9093</v>
      </c>
      <c r="J49" s="192">
        <f t="shared" si="5"/>
        <v>-10450</v>
      </c>
      <c r="K49" s="192">
        <f t="shared" si="5"/>
        <v>-10450</v>
      </c>
      <c r="L49" s="192">
        <f t="shared" si="5"/>
        <v>-12012</v>
      </c>
      <c r="M49" s="192">
        <f t="shared" si="5"/>
        <v>-14118</v>
      </c>
      <c r="N49" s="191">
        <f t="shared" si="5"/>
        <v>-15856</v>
      </c>
    </row>
  </sheetData>
  <sheetProtection formatCells="0" formatColumns="0" formatRows="0" insertColumns="0" insertRows="0" insertHyperlinks="0" deleteColumns="0" deleteRows="0" sort="0" autoFilter="0"/>
  <mergeCells count="11">
    <mergeCell ref="B43:B44"/>
    <mergeCell ref="C43:N43"/>
    <mergeCell ref="Q4:AB4"/>
    <mergeCell ref="B4:B5"/>
    <mergeCell ref="C4:N4"/>
    <mergeCell ref="P4:P5"/>
    <mergeCell ref="B1:AP1"/>
    <mergeCell ref="AD4:AD5"/>
    <mergeCell ref="AE4:AP4"/>
    <mergeCell ref="AE30:AP30"/>
    <mergeCell ref="AD30:AD31"/>
  </mergeCells>
  <pageMargins left="0.2" right="0.2" top="0.2" bottom="0.2" header="0" footer="0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AQ107"/>
  <sheetViews>
    <sheetView zoomScale="85" zoomScaleNormal="85" workbookViewId="0">
      <pane xSplit="5" ySplit="3" topLeftCell="F4" activePane="bottomRight" state="frozen"/>
      <selection pane="topRight" activeCell="D1" sqref="D1"/>
      <selection pane="bottomLeft" activeCell="A4" sqref="A4"/>
      <selection pane="bottomRight" activeCell="M40" sqref="M40"/>
    </sheetView>
  </sheetViews>
  <sheetFormatPr defaultRowHeight="15"/>
  <cols>
    <col min="1" max="3" width="5.28515625" customWidth="1"/>
    <col min="4" max="4" width="43.28515625" customWidth="1"/>
    <col min="6" max="27" width="5.28515625" customWidth="1"/>
    <col min="28" max="28" width="5.28515625" style="190" customWidth="1"/>
    <col min="29" max="36" width="5.28515625" customWidth="1"/>
    <col min="37" max="37" width="9.7109375" customWidth="1"/>
    <col min="40" max="40" width="13.7109375" bestFit="1" customWidth="1"/>
  </cols>
  <sheetData>
    <row r="1" spans="1:43" s="266" customFormat="1" ht="17.25" customHeight="1" thickTop="1">
      <c r="A1" s="621"/>
      <c r="B1" s="459"/>
      <c r="C1" s="459"/>
      <c r="D1" s="623" t="s">
        <v>53</v>
      </c>
      <c r="E1" s="264" t="s">
        <v>13</v>
      </c>
      <c r="F1" s="626">
        <v>43101</v>
      </c>
      <c r="G1" s="627"/>
      <c r="H1" s="627"/>
      <c r="I1" s="627"/>
      <c r="J1" s="627"/>
      <c r="K1" s="627"/>
      <c r="L1" s="627"/>
      <c r="M1" s="627"/>
      <c r="N1" s="627"/>
      <c r="O1" s="627"/>
      <c r="P1" s="627"/>
      <c r="Q1" s="627"/>
      <c r="R1" s="627"/>
      <c r="S1" s="627"/>
      <c r="T1" s="627"/>
      <c r="U1" s="627"/>
      <c r="V1" s="627"/>
      <c r="W1" s="627"/>
      <c r="X1" s="627"/>
      <c r="Y1" s="627"/>
      <c r="Z1" s="627"/>
      <c r="AA1" s="627"/>
      <c r="AB1" s="628"/>
      <c r="AC1" s="627"/>
      <c r="AD1" s="627"/>
      <c r="AE1" s="627"/>
      <c r="AF1" s="627"/>
      <c r="AG1" s="627"/>
      <c r="AH1" s="627"/>
      <c r="AI1" s="627"/>
      <c r="AJ1" s="629"/>
      <c r="AK1" s="630" t="s">
        <v>319</v>
      </c>
      <c r="AL1" s="633" t="s">
        <v>320</v>
      </c>
      <c r="AM1" s="633" t="s">
        <v>321</v>
      </c>
      <c r="AN1" s="265" t="s">
        <v>322</v>
      </c>
    </row>
    <row r="2" spans="1:43" s="272" customFormat="1" ht="16.5">
      <c r="A2" s="622"/>
      <c r="B2" s="460"/>
      <c r="C2" s="269">
        <v>43104</v>
      </c>
      <c r="D2" s="624"/>
      <c r="E2" s="267" t="s">
        <v>14</v>
      </c>
      <c r="F2" s="268">
        <v>43101</v>
      </c>
      <c r="G2" s="269">
        <v>43102</v>
      </c>
      <c r="H2" s="269">
        <v>43103</v>
      </c>
      <c r="I2" s="269">
        <v>43104</v>
      </c>
      <c r="J2" s="269">
        <v>43105</v>
      </c>
      <c r="K2" s="269">
        <v>43106</v>
      </c>
      <c r="L2" s="269">
        <v>43107</v>
      </c>
      <c r="M2" s="269">
        <v>43108</v>
      </c>
      <c r="N2" s="269">
        <v>43109</v>
      </c>
      <c r="O2" s="269">
        <v>43110</v>
      </c>
      <c r="P2" s="269">
        <v>43111</v>
      </c>
      <c r="Q2" s="269">
        <v>43112</v>
      </c>
      <c r="R2" s="269">
        <v>43113</v>
      </c>
      <c r="S2" s="269">
        <v>43114</v>
      </c>
      <c r="T2" s="269">
        <v>43115</v>
      </c>
      <c r="U2" s="269">
        <v>43116</v>
      </c>
      <c r="V2" s="269">
        <v>43117</v>
      </c>
      <c r="W2" s="269">
        <v>43118</v>
      </c>
      <c r="X2" s="269">
        <v>43119</v>
      </c>
      <c r="Y2" s="269">
        <v>43120</v>
      </c>
      <c r="Z2" s="269">
        <v>43121</v>
      </c>
      <c r="AA2" s="269">
        <v>43122</v>
      </c>
      <c r="AB2" s="269">
        <v>43123</v>
      </c>
      <c r="AC2" s="269">
        <v>43124</v>
      </c>
      <c r="AD2" s="269">
        <v>43125</v>
      </c>
      <c r="AE2" s="269">
        <v>43126</v>
      </c>
      <c r="AF2" s="269">
        <v>43127</v>
      </c>
      <c r="AG2" s="269">
        <v>43128</v>
      </c>
      <c r="AH2" s="269">
        <v>43129</v>
      </c>
      <c r="AI2" s="270">
        <v>43130</v>
      </c>
      <c r="AJ2" s="271">
        <v>31</v>
      </c>
      <c r="AK2" s="631"/>
      <c r="AL2" s="634"/>
      <c r="AM2" s="634"/>
      <c r="AN2" s="609" t="s">
        <v>323</v>
      </c>
    </row>
    <row r="3" spans="1:43" s="272" customFormat="1" ht="17.25" thickBot="1">
      <c r="A3" s="622"/>
      <c r="B3" s="460"/>
      <c r="C3" s="275">
        <f>C2</f>
        <v>43104</v>
      </c>
      <c r="D3" s="625"/>
      <c r="E3" s="273" t="s">
        <v>15</v>
      </c>
      <c r="F3" s="274">
        <f t="shared" ref="F3:AJ3" si="0">F2</f>
        <v>43101</v>
      </c>
      <c r="G3" s="274">
        <f t="shared" si="0"/>
        <v>43102</v>
      </c>
      <c r="H3" s="275">
        <f t="shared" si="0"/>
        <v>43103</v>
      </c>
      <c r="I3" s="275">
        <f t="shared" si="0"/>
        <v>43104</v>
      </c>
      <c r="J3" s="275">
        <f t="shared" si="0"/>
        <v>43105</v>
      </c>
      <c r="K3" s="275">
        <f t="shared" si="0"/>
        <v>43106</v>
      </c>
      <c r="L3" s="275">
        <f t="shared" si="0"/>
        <v>43107</v>
      </c>
      <c r="M3" s="275">
        <f t="shared" si="0"/>
        <v>43108</v>
      </c>
      <c r="N3" s="275">
        <f t="shared" si="0"/>
        <v>43109</v>
      </c>
      <c r="O3" s="275">
        <f t="shared" si="0"/>
        <v>43110</v>
      </c>
      <c r="P3" s="275">
        <f t="shared" si="0"/>
        <v>43111</v>
      </c>
      <c r="Q3" s="275">
        <f t="shared" si="0"/>
        <v>43112</v>
      </c>
      <c r="R3" s="275">
        <f t="shared" si="0"/>
        <v>43113</v>
      </c>
      <c r="S3" s="275">
        <f t="shared" si="0"/>
        <v>43114</v>
      </c>
      <c r="T3" s="275">
        <f t="shared" si="0"/>
        <v>43115</v>
      </c>
      <c r="U3" s="275">
        <f t="shared" si="0"/>
        <v>43116</v>
      </c>
      <c r="V3" s="275">
        <f t="shared" si="0"/>
        <v>43117</v>
      </c>
      <c r="W3" s="275">
        <f t="shared" si="0"/>
        <v>43118</v>
      </c>
      <c r="X3" s="275">
        <f t="shared" si="0"/>
        <v>43119</v>
      </c>
      <c r="Y3" s="275">
        <f t="shared" si="0"/>
        <v>43120</v>
      </c>
      <c r="Z3" s="275">
        <f t="shared" si="0"/>
        <v>43121</v>
      </c>
      <c r="AA3" s="275">
        <f t="shared" si="0"/>
        <v>43122</v>
      </c>
      <c r="AB3" s="275">
        <f t="shared" si="0"/>
        <v>43123</v>
      </c>
      <c r="AC3" s="275">
        <f t="shared" si="0"/>
        <v>43124</v>
      </c>
      <c r="AD3" s="275">
        <f t="shared" si="0"/>
        <v>43125</v>
      </c>
      <c r="AE3" s="275">
        <f t="shared" si="0"/>
        <v>43126</v>
      </c>
      <c r="AF3" s="275">
        <f t="shared" si="0"/>
        <v>43127</v>
      </c>
      <c r="AG3" s="275">
        <f t="shared" si="0"/>
        <v>43128</v>
      </c>
      <c r="AH3" s="275">
        <f t="shared" si="0"/>
        <v>43129</v>
      </c>
      <c r="AI3" s="276">
        <f t="shared" si="0"/>
        <v>43130</v>
      </c>
      <c r="AJ3" s="277">
        <f t="shared" si="0"/>
        <v>31</v>
      </c>
      <c r="AK3" s="632"/>
      <c r="AL3" s="635"/>
      <c r="AM3" s="635"/>
      <c r="AN3" s="610"/>
    </row>
    <row r="4" spans="1:43" s="286" customFormat="1" ht="27.75" customHeight="1" thickTop="1">
      <c r="A4" s="278">
        <v>1</v>
      </c>
      <c r="B4" s="429"/>
      <c r="C4" s="281"/>
      <c r="D4" s="279"/>
      <c r="E4" s="280" t="s">
        <v>324</v>
      </c>
      <c r="F4" s="281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  <c r="AF4" s="281"/>
      <c r="AG4" s="281"/>
      <c r="AH4" s="281"/>
      <c r="AI4" s="281"/>
      <c r="AJ4" s="282"/>
      <c r="AK4" s="283"/>
      <c r="AL4" s="284"/>
      <c r="AM4" s="285"/>
      <c r="AN4" s="611">
        <f>AVERAGE(AK5:AK25)</f>
        <v>0</v>
      </c>
      <c r="AO4" s="286">
        <f>COUNTIF(F4:AI4, 1)+COUNTIF(F4:AI4, 2)+COUNTIF(F4:AI4,3)</f>
        <v>0</v>
      </c>
    </row>
    <row r="5" spans="1:43" s="286" customFormat="1" ht="27" customHeight="1">
      <c r="A5" s="287">
        <f>A4+1</f>
        <v>2</v>
      </c>
      <c r="B5" s="461"/>
      <c r="C5" s="290"/>
      <c r="D5" s="288"/>
      <c r="E5" s="289" t="s">
        <v>325</v>
      </c>
      <c r="F5" s="290"/>
      <c r="G5" s="290"/>
      <c r="H5" s="290"/>
      <c r="I5" s="290"/>
      <c r="J5" s="290"/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0"/>
      <c r="V5" s="290"/>
      <c r="W5" s="290"/>
      <c r="X5" s="290"/>
      <c r="Y5" s="290"/>
      <c r="Z5" s="290"/>
      <c r="AA5" s="290"/>
      <c r="AB5" s="290"/>
      <c r="AC5" s="290"/>
      <c r="AD5" s="290"/>
      <c r="AE5" s="290"/>
      <c r="AF5" s="290"/>
      <c r="AG5" s="290"/>
      <c r="AH5" s="290"/>
      <c r="AI5" s="290"/>
      <c r="AJ5" s="291"/>
      <c r="AK5" s="292">
        <f>(COUNTIF(F5:AJ5, "1")+COUNTIF(F5:AJ5, "2")+COUNTIF(F5:AJ5, "3"))/(SUM(COUNTIF(F5:AJ5, "x")+COUNTIF(F5:AJ5, "1")+COUNTIF(F5:AJ5, "2")+COUNTIF(F5:AJ5, "3")+COUNTIF(F5:AJ5, "")+COUNTIF(F5:AJ5, "SL")+COUNTIF(F5:AJ5, "EL")))</f>
        <v>0</v>
      </c>
      <c r="AL5" s="293">
        <v>0.75</v>
      </c>
      <c r="AM5" s="294">
        <f t="shared" ref="AM5:AM25" si="1">RANK(AK5,$AK$5:$AK$99)</f>
        <v>1</v>
      </c>
      <c r="AN5" s="612"/>
      <c r="AO5" s="286">
        <f t="shared" ref="AO5:AO68" si="2">COUNTIF(F5:AI5, 1)+COUNTIF(F5:AI5, 2)+COUNTIF(F5:AI5,3)</f>
        <v>0</v>
      </c>
    </row>
    <row r="6" spans="1:43" s="286" customFormat="1" ht="27.75" customHeight="1">
      <c r="A6" s="287">
        <f t="shared" ref="A6:A12" si="3">A5+1</f>
        <v>3</v>
      </c>
      <c r="B6" s="461"/>
      <c r="C6" s="290"/>
      <c r="D6" s="295"/>
      <c r="E6" s="296" t="s">
        <v>326</v>
      </c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1"/>
      <c r="AK6" s="292">
        <f t="shared" ref="AK6:AK25" si="4">(COUNTIF(F6:AJ6, "1")+COUNTIF(F6:AJ6, "2")+COUNTIF(F6:AJ6, "3"))/(SUM(COUNTIF(F6:AJ6, "x")+COUNTIF(F6:AJ6, "1")+COUNTIF(F6:AJ6, "2")+COUNTIF(F6:AJ6, "3")+COUNTIF(F6:AJ6, "")+COUNTIF(F6:AJ6, "SL")+COUNTIF(F6:AJ6, "EL")))</f>
        <v>0</v>
      </c>
      <c r="AL6" s="293">
        <f t="shared" ref="AL6:AL24" si="5">AL5</f>
        <v>0.75</v>
      </c>
      <c r="AM6" s="294">
        <f t="shared" si="1"/>
        <v>1</v>
      </c>
      <c r="AN6" s="612"/>
      <c r="AO6" s="286">
        <f t="shared" si="2"/>
        <v>0</v>
      </c>
    </row>
    <row r="7" spans="1:43" s="286" customFormat="1" ht="27.75" customHeight="1">
      <c r="A7" s="287">
        <f t="shared" si="3"/>
        <v>4</v>
      </c>
      <c r="B7" s="462"/>
      <c r="C7" s="299"/>
      <c r="D7" s="297"/>
      <c r="E7" s="298" t="s">
        <v>327</v>
      </c>
      <c r="F7" s="299"/>
      <c r="G7" s="299"/>
      <c r="H7" s="299"/>
      <c r="I7" s="299"/>
      <c r="J7" s="300"/>
      <c r="K7" s="299"/>
      <c r="L7" s="299"/>
      <c r="M7" s="299"/>
      <c r="N7" s="299"/>
      <c r="O7" s="299"/>
      <c r="P7" s="299"/>
      <c r="Q7" s="300"/>
      <c r="R7" s="299"/>
      <c r="S7" s="299"/>
      <c r="T7" s="299"/>
      <c r="U7" s="299"/>
      <c r="V7" s="299"/>
      <c r="W7" s="300"/>
      <c r="X7" s="299"/>
      <c r="Y7" s="299"/>
      <c r="Z7" s="299"/>
      <c r="AA7" s="299"/>
      <c r="AB7" s="299"/>
      <c r="AC7" s="299"/>
      <c r="AD7" s="300"/>
      <c r="AE7" s="299"/>
      <c r="AF7" s="299"/>
      <c r="AG7" s="299"/>
      <c r="AH7" s="299"/>
      <c r="AI7" s="299"/>
      <c r="AJ7" s="301"/>
      <c r="AK7" s="292">
        <f t="shared" si="4"/>
        <v>0</v>
      </c>
      <c r="AL7" s="293">
        <f t="shared" si="5"/>
        <v>0.75</v>
      </c>
      <c r="AM7" s="294">
        <f>RANK(AK7,$AK$5:$AK$99)</f>
        <v>1</v>
      </c>
      <c r="AN7" s="612"/>
      <c r="AO7" s="286">
        <f t="shared" si="2"/>
        <v>0</v>
      </c>
    </row>
    <row r="8" spans="1:43" s="272" customFormat="1" ht="27" customHeight="1">
      <c r="A8" s="287">
        <f t="shared" si="3"/>
        <v>5</v>
      </c>
      <c r="B8" s="463"/>
      <c r="C8" s="304"/>
      <c r="D8" s="302"/>
      <c r="E8" s="303" t="s">
        <v>328</v>
      </c>
      <c r="F8" s="304"/>
      <c r="G8" s="304"/>
      <c r="H8" s="304"/>
      <c r="I8" s="304"/>
      <c r="J8" s="305"/>
      <c r="K8" s="304"/>
      <c r="L8" s="304"/>
      <c r="M8" s="304"/>
      <c r="N8" s="304"/>
      <c r="O8" s="304"/>
      <c r="P8" s="304"/>
      <c r="Q8" s="305"/>
      <c r="R8" s="304"/>
      <c r="S8" s="304"/>
      <c r="T8" s="304"/>
      <c r="U8" s="304"/>
      <c r="V8" s="304"/>
      <c r="W8" s="305"/>
      <c r="X8" s="304"/>
      <c r="Y8" s="304"/>
      <c r="Z8" s="304"/>
      <c r="AA8" s="304"/>
      <c r="AB8" s="304"/>
      <c r="AC8" s="304"/>
      <c r="AD8" s="305"/>
      <c r="AE8" s="304"/>
      <c r="AF8" s="304"/>
      <c r="AG8" s="304"/>
      <c r="AH8" s="304"/>
      <c r="AI8" s="304"/>
      <c r="AJ8" s="306"/>
      <c r="AK8" s="292">
        <f t="shared" si="4"/>
        <v>0</v>
      </c>
      <c r="AL8" s="293">
        <f t="shared" si="5"/>
        <v>0.75</v>
      </c>
      <c r="AM8" s="294">
        <f t="shared" si="1"/>
        <v>1</v>
      </c>
      <c r="AN8" s="612"/>
      <c r="AO8" s="286">
        <f t="shared" si="2"/>
        <v>0</v>
      </c>
    </row>
    <row r="9" spans="1:43" s="286" customFormat="1" ht="27.75" customHeight="1">
      <c r="A9" s="287">
        <f t="shared" si="3"/>
        <v>6</v>
      </c>
      <c r="B9" s="461"/>
      <c r="C9" s="290"/>
      <c r="D9" s="307"/>
      <c r="E9" s="308" t="s">
        <v>329</v>
      </c>
      <c r="F9" s="290"/>
      <c r="G9" s="290"/>
      <c r="H9" s="290"/>
      <c r="I9" s="290"/>
      <c r="J9" s="309"/>
      <c r="K9" s="290"/>
      <c r="L9" s="290"/>
      <c r="M9" s="290"/>
      <c r="N9" s="290"/>
      <c r="O9" s="290"/>
      <c r="P9" s="290"/>
      <c r="Q9" s="309"/>
      <c r="R9" s="290"/>
      <c r="S9" s="290"/>
      <c r="T9" s="290"/>
      <c r="U9" s="290"/>
      <c r="V9" s="290"/>
      <c r="W9" s="309"/>
      <c r="X9" s="290"/>
      <c r="Y9" s="290"/>
      <c r="Z9" s="290"/>
      <c r="AA9" s="290"/>
      <c r="AB9" s="290"/>
      <c r="AC9" s="290"/>
      <c r="AD9" s="309"/>
      <c r="AE9" s="290"/>
      <c r="AF9" s="290"/>
      <c r="AG9" s="290"/>
      <c r="AH9" s="290"/>
      <c r="AI9" s="290"/>
      <c r="AJ9" s="291"/>
      <c r="AK9" s="292">
        <f t="shared" si="4"/>
        <v>0</v>
      </c>
      <c r="AL9" s="293">
        <f t="shared" si="5"/>
        <v>0.75</v>
      </c>
      <c r="AM9" s="294">
        <f t="shared" si="1"/>
        <v>1</v>
      </c>
      <c r="AN9" s="612"/>
      <c r="AO9" s="286">
        <f t="shared" si="2"/>
        <v>0</v>
      </c>
    </row>
    <row r="10" spans="1:43" s="286" customFormat="1" ht="27.75" customHeight="1">
      <c r="A10" s="287">
        <f t="shared" si="3"/>
        <v>7</v>
      </c>
      <c r="B10" s="463"/>
      <c r="C10" s="290"/>
      <c r="D10" s="310"/>
      <c r="E10" s="311" t="s">
        <v>329</v>
      </c>
      <c r="F10" s="290"/>
      <c r="G10" s="290"/>
      <c r="H10" s="290"/>
      <c r="I10" s="290"/>
      <c r="J10" s="309"/>
      <c r="K10" s="290"/>
      <c r="L10" s="290"/>
      <c r="M10" s="290"/>
      <c r="N10" s="290"/>
      <c r="O10" s="290"/>
      <c r="P10" s="290"/>
      <c r="Q10" s="309"/>
      <c r="R10" s="290"/>
      <c r="S10" s="290"/>
      <c r="T10" s="290"/>
      <c r="U10" s="290"/>
      <c r="V10" s="290"/>
      <c r="W10" s="309"/>
      <c r="X10" s="290"/>
      <c r="Y10" s="290"/>
      <c r="Z10" s="290"/>
      <c r="AA10" s="290"/>
      <c r="AB10" s="290"/>
      <c r="AC10" s="290"/>
      <c r="AD10" s="309"/>
      <c r="AE10" s="290"/>
      <c r="AF10" s="290"/>
      <c r="AG10" s="290"/>
      <c r="AH10" s="290"/>
      <c r="AI10" s="290"/>
      <c r="AJ10" s="291"/>
      <c r="AK10" s="292">
        <f t="shared" si="4"/>
        <v>0</v>
      </c>
      <c r="AL10" s="293">
        <f t="shared" si="5"/>
        <v>0.75</v>
      </c>
      <c r="AM10" s="294">
        <f t="shared" si="1"/>
        <v>1</v>
      </c>
      <c r="AN10" s="612"/>
      <c r="AO10" s="286">
        <f t="shared" si="2"/>
        <v>0</v>
      </c>
    </row>
    <row r="11" spans="1:43" s="286" customFormat="1" ht="27.75" customHeight="1">
      <c r="A11" s="287">
        <f t="shared" si="3"/>
        <v>8</v>
      </c>
      <c r="B11" s="461"/>
      <c r="C11" s="290"/>
      <c r="D11" s="307"/>
      <c r="E11" s="308" t="s">
        <v>329</v>
      </c>
      <c r="F11" s="290"/>
      <c r="G11" s="290"/>
      <c r="H11" s="290"/>
      <c r="I11" s="290"/>
      <c r="J11" s="309"/>
      <c r="K11" s="290"/>
      <c r="L11" s="290"/>
      <c r="M11" s="290"/>
      <c r="N11" s="290"/>
      <c r="O11" s="290"/>
      <c r="P11" s="290"/>
      <c r="Q11" s="309"/>
      <c r="R11" s="290"/>
      <c r="S11" s="290"/>
      <c r="T11" s="290"/>
      <c r="U11" s="290"/>
      <c r="V11" s="290"/>
      <c r="W11" s="309"/>
      <c r="X11" s="290"/>
      <c r="Y11" s="290"/>
      <c r="Z11" s="290"/>
      <c r="AA11" s="290"/>
      <c r="AB11" s="290"/>
      <c r="AC11" s="290"/>
      <c r="AD11" s="309"/>
      <c r="AE11" s="290"/>
      <c r="AF11" s="290"/>
      <c r="AG11" s="290"/>
      <c r="AH11" s="290"/>
      <c r="AI11" s="290"/>
      <c r="AJ11" s="291"/>
      <c r="AK11" s="292">
        <f t="shared" si="4"/>
        <v>0</v>
      </c>
      <c r="AL11" s="293">
        <f t="shared" si="5"/>
        <v>0.75</v>
      </c>
      <c r="AM11" s="294">
        <f>RANK(AK11,$AK$5:$AK$99)</f>
        <v>1</v>
      </c>
      <c r="AN11" s="612"/>
      <c r="AO11" s="286">
        <f t="shared" si="2"/>
        <v>0</v>
      </c>
    </row>
    <row r="12" spans="1:43" s="286" customFormat="1" ht="27.75" customHeight="1">
      <c r="A12" s="287">
        <f t="shared" si="3"/>
        <v>9</v>
      </c>
      <c r="B12" s="462"/>
      <c r="C12" s="313"/>
      <c r="D12" s="263"/>
      <c r="E12" s="312" t="s">
        <v>329</v>
      </c>
      <c r="F12" s="313"/>
      <c r="G12" s="313"/>
      <c r="H12" s="313"/>
      <c r="I12" s="313"/>
      <c r="J12" s="314"/>
      <c r="K12" s="290"/>
      <c r="L12" s="290"/>
      <c r="M12" s="313"/>
      <c r="N12" s="313"/>
      <c r="O12" s="313"/>
      <c r="P12" s="313"/>
      <c r="Q12" s="314"/>
      <c r="R12" s="313"/>
      <c r="S12" s="290"/>
      <c r="T12" s="290"/>
      <c r="U12" s="313"/>
      <c r="V12" s="313"/>
      <c r="W12" s="314"/>
      <c r="X12" s="313"/>
      <c r="Y12" s="313"/>
      <c r="Z12" s="313"/>
      <c r="AA12" s="313"/>
      <c r="AB12" s="313"/>
      <c r="AC12" s="313"/>
      <c r="AD12" s="314"/>
      <c r="AE12" s="313"/>
      <c r="AF12" s="313"/>
      <c r="AG12" s="313"/>
      <c r="AH12" s="313"/>
      <c r="AI12" s="313"/>
      <c r="AJ12" s="315"/>
      <c r="AK12" s="292">
        <f t="shared" si="4"/>
        <v>0</v>
      </c>
      <c r="AL12" s="293">
        <f t="shared" si="5"/>
        <v>0.75</v>
      </c>
      <c r="AM12" s="294">
        <f t="shared" si="1"/>
        <v>1</v>
      </c>
      <c r="AN12" s="612"/>
      <c r="AO12" s="286">
        <f t="shared" si="2"/>
        <v>0</v>
      </c>
    </row>
    <row r="13" spans="1:43" s="272" customFormat="1" ht="28.5" customHeight="1">
      <c r="A13" s="287">
        <f>A12+1</f>
        <v>10</v>
      </c>
      <c r="B13" s="463"/>
      <c r="C13" s="318"/>
      <c r="D13" s="316"/>
      <c r="E13" s="317" t="s">
        <v>6</v>
      </c>
      <c r="F13" s="318"/>
      <c r="G13" s="318"/>
      <c r="H13" s="318"/>
      <c r="I13" s="318"/>
      <c r="J13" s="319"/>
      <c r="K13" s="318"/>
      <c r="L13" s="318"/>
      <c r="M13" s="318"/>
      <c r="N13" s="318"/>
      <c r="O13" s="318"/>
      <c r="P13" s="318"/>
      <c r="Q13" s="319"/>
      <c r="R13" s="318"/>
      <c r="S13" s="318"/>
      <c r="T13" s="318"/>
      <c r="U13" s="318"/>
      <c r="V13" s="318"/>
      <c r="W13" s="319"/>
      <c r="X13" s="318"/>
      <c r="Y13" s="318"/>
      <c r="Z13" s="318"/>
      <c r="AA13" s="318"/>
      <c r="AB13" s="318"/>
      <c r="AC13" s="318"/>
      <c r="AD13" s="319"/>
      <c r="AE13" s="318"/>
      <c r="AF13" s="318"/>
      <c r="AG13" s="318"/>
      <c r="AH13" s="318"/>
      <c r="AI13" s="318"/>
      <c r="AJ13" s="320"/>
      <c r="AK13" s="292">
        <f t="shared" si="4"/>
        <v>0</v>
      </c>
      <c r="AL13" s="293">
        <f>AL12</f>
        <v>0.75</v>
      </c>
      <c r="AM13" s="294">
        <f t="shared" si="1"/>
        <v>1</v>
      </c>
      <c r="AN13" s="612"/>
      <c r="AO13" s="286">
        <f t="shared" si="2"/>
        <v>0</v>
      </c>
    </row>
    <row r="14" spans="1:43" s="272" customFormat="1" ht="28.5" customHeight="1">
      <c r="A14" s="287">
        <v>11</v>
      </c>
      <c r="B14" s="463"/>
      <c r="C14" s="304"/>
      <c r="D14" s="321"/>
      <c r="E14" s="303"/>
      <c r="F14" s="304"/>
      <c r="G14" s="304"/>
      <c r="H14" s="304"/>
      <c r="I14" s="304"/>
      <c r="J14" s="309"/>
      <c r="K14" s="304"/>
      <c r="L14" s="304"/>
      <c r="M14" s="304"/>
      <c r="N14" s="304"/>
      <c r="O14" s="304"/>
      <c r="P14" s="304"/>
      <c r="Q14" s="309"/>
      <c r="R14" s="304"/>
      <c r="S14" s="322"/>
      <c r="T14" s="304"/>
      <c r="U14" s="304"/>
      <c r="V14" s="304"/>
      <c r="W14" s="309"/>
      <c r="X14" s="304"/>
      <c r="Y14" s="304"/>
      <c r="Z14" s="304"/>
      <c r="AA14" s="304"/>
      <c r="AB14" s="304"/>
      <c r="AC14" s="304"/>
      <c r="AD14" s="309"/>
      <c r="AE14" s="304"/>
      <c r="AF14" s="304"/>
      <c r="AG14" s="304"/>
      <c r="AH14" s="304"/>
      <c r="AI14" s="304"/>
      <c r="AJ14" s="306"/>
      <c r="AK14" s="292">
        <f t="shared" si="4"/>
        <v>0</v>
      </c>
      <c r="AL14" s="293">
        <f>AL13</f>
        <v>0.75</v>
      </c>
      <c r="AM14" s="294">
        <f t="shared" si="1"/>
        <v>1</v>
      </c>
      <c r="AN14" s="612"/>
      <c r="AO14" s="286">
        <f t="shared" si="2"/>
        <v>0</v>
      </c>
      <c r="AP14" s="286"/>
      <c r="AQ14" s="286"/>
    </row>
    <row r="15" spans="1:43" s="286" customFormat="1" ht="27.75" customHeight="1">
      <c r="A15" s="287">
        <v>12</v>
      </c>
      <c r="B15" s="463"/>
      <c r="C15" s="304"/>
      <c r="D15" s="321"/>
      <c r="E15" s="323" t="s">
        <v>330</v>
      </c>
      <c r="F15" s="304"/>
      <c r="G15" s="304"/>
      <c r="H15" s="304"/>
      <c r="I15" s="304"/>
      <c r="J15" s="309"/>
      <c r="K15" s="304"/>
      <c r="L15" s="304"/>
      <c r="M15" s="304"/>
      <c r="N15" s="304"/>
      <c r="O15" s="304"/>
      <c r="P15" s="304"/>
      <c r="Q15" s="309"/>
      <c r="R15" s="304"/>
      <c r="S15" s="290"/>
      <c r="T15" s="304"/>
      <c r="U15" s="304"/>
      <c r="V15" s="304"/>
      <c r="W15" s="309"/>
      <c r="X15" s="304"/>
      <c r="Y15" s="304"/>
      <c r="Z15" s="304"/>
      <c r="AA15" s="304"/>
      <c r="AB15" s="304"/>
      <c r="AC15" s="304"/>
      <c r="AD15" s="309"/>
      <c r="AE15" s="304"/>
      <c r="AF15" s="304"/>
      <c r="AG15" s="304"/>
      <c r="AH15" s="304"/>
      <c r="AI15" s="304"/>
      <c r="AJ15" s="306"/>
      <c r="AK15" s="292">
        <f t="shared" si="4"/>
        <v>0</v>
      </c>
      <c r="AL15" s="293">
        <v>0.75</v>
      </c>
      <c r="AM15" s="294">
        <f t="shared" si="1"/>
        <v>1</v>
      </c>
      <c r="AN15" s="612"/>
      <c r="AO15" s="286">
        <f t="shared" si="2"/>
        <v>0</v>
      </c>
    </row>
    <row r="16" spans="1:43" s="286" customFormat="1" ht="27.75" customHeight="1">
      <c r="A16" s="287">
        <v>13</v>
      </c>
      <c r="B16" s="461"/>
      <c r="C16" s="304"/>
      <c r="D16" s="307"/>
      <c r="E16" s="324" t="s">
        <v>6</v>
      </c>
      <c r="F16" s="325"/>
      <c r="G16" s="325"/>
      <c r="H16" s="325"/>
      <c r="I16" s="304"/>
      <c r="J16" s="309"/>
      <c r="K16" s="325"/>
      <c r="L16" s="325"/>
      <c r="M16" s="325"/>
      <c r="N16" s="325"/>
      <c r="O16" s="325"/>
      <c r="P16" s="325"/>
      <c r="Q16" s="309"/>
      <c r="R16" s="325"/>
      <c r="S16" s="325"/>
      <c r="T16" s="325"/>
      <c r="U16" s="325"/>
      <c r="V16" s="325"/>
      <c r="W16" s="309"/>
      <c r="X16" s="325"/>
      <c r="Y16" s="325"/>
      <c r="Z16" s="325"/>
      <c r="AA16" s="325"/>
      <c r="AB16" s="325"/>
      <c r="AC16" s="325"/>
      <c r="AD16" s="309"/>
      <c r="AE16" s="325"/>
      <c r="AF16" s="325"/>
      <c r="AG16" s="325"/>
      <c r="AH16" s="325"/>
      <c r="AI16" s="325"/>
      <c r="AJ16" s="326"/>
      <c r="AK16" s="292">
        <f t="shared" si="4"/>
        <v>0</v>
      </c>
      <c r="AL16" s="293">
        <f t="shared" si="5"/>
        <v>0.75</v>
      </c>
      <c r="AM16" s="294">
        <f t="shared" si="1"/>
        <v>1</v>
      </c>
      <c r="AN16" s="612"/>
      <c r="AO16" s="286">
        <f t="shared" si="2"/>
        <v>0</v>
      </c>
    </row>
    <row r="17" spans="1:43" s="286" customFormat="1" ht="27.75" customHeight="1">
      <c r="A17" s="287">
        <v>14</v>
      </c>
      <c r="B17" s="461"/>
      <c r="C17" s="290"/>
      <c r="D17" s="307"/>
      <c r="E17" s="289" t="s">
        <v>6</v>
      </c>
      <c r="F17" s="290"/>
      <c r="G17" s="290"/>
      <c r="H17" s="290"/>
      <c r="I17" s="290"/>
      <c r="J17" s="309"/>
      <c r="K17" s="290"/>
      <c r="L17" s="290"/>
      <c r="M17" s="290"/>
      <c r="N17" s="290"/>
      <c r="O17" s="290"/>
      <c r="P17" s="290"/>
      <c r="Q17" s="309"/>
      <c r="R17" s="290"/>
      <c r="S17" s="290"/>
      <c r="T17" s="290"/>
      <c r="U17" s="290"/>
      <c r="V17" s="290"/>
      <c r="W17" s="309"/>
      <c r="X17" s="290"/>
      <c r="Y17" s="290"/>
      <c r="Z17" s="290"/>
      <c r="AA17" s="290"/>
      <c r="AB17" s="290"/>
      <c r="AC17" s="290"/>
      <c r="AD17" s="309"/>
      <c r="AE17" s="290"/>
      <c r="AF17" s="290"/>
      <c r="AG17" s="290"/>
      <c r="AH17" s="290"/>
      <c r="AI17" s="290"/>
      <c r="AJ17" s="291"/>
      <c r="AK17" s="292">
        <f t="shared" si="4"/>
        <v>0</v>
      </c>
      <c r="AL17" s="293">
        <f t="shared" si="5"/>
        <v>0.75</v>
      </c>
      <c r="AM17" s="294">
        <f t="shared" si="1"/>
        <v>1</v>
      </c>
      <c r="AN17" s="612"/>
      <c r="AO17" s="286">
        <f t="shared" si="2"/>
        <v>0</v>
      </c>
    </row>
    <row r="18" spans="1:43" s="286" customFormat="1" ht="27.75" customHeight="1">
      <c r="A18" s="287">
        <v>15</v>
      </c>
      <c r="B18" s="462"/>
      <c r="C18" s="299"/>
      <c r="D18" s="327"/>
      <c r="E18" s="328" t="s">
        <v>6</v>
      </c>
      <c r="F18" s="313"/>
      <c r="G18" s="313"/>
      <c r="H18" s="313"/>
      <c r="I18" s="299"/>
      <c r="J18" s="300"/>
      <c r="K18" s="299"/>
      <c r="L18" s="299"/>
      <c r="M18" s="299"/>
      <c r="N18" s="299"/>
      <c r="O18" s="299"/>
      <c r="P18" s="299"/>
      <c r="Q18" s="300"/>
      <c r="R18" s="299"/>
      <c r="S18" s="299"/>
      <c r="T18" s="299"/>
      <c r="U18" s="299"/>
      <c r="V18" s="299"/>
      <c r="W18" s="300"/>
      <c r="X18" s="299"/>
      <c r="Y18" s="299"/>
      <c r="Z18" s="299"/>
      <c r="AA18" s="299"/>
      <c r="AB18" s="299"/>
      <c r="AC18" s="299"/>
      <c r="AD18" s="300"/>
      <c r="AE18" s="313"/>
      <c r="AF18" s="313"/>
      <c r="AG18" s="313"/>
      <c r="AH18" s="313"/>
      <c r="AI18" s="313"/>
      <c r="AJ18" s="315"/>
      <c r="AK18" s="292">
        <f t="shared" si="4"/>
        <v>0</v>
      </c>
      <c r="AL18" s="293">
        <f t="shared" si="5"/>
        <v>0.75</v>
      </c>
      <c r="AM18" s="294">
        <f t="shared" si="1"/>
        <v>1</v>
      </c>
      <c r="AN18" s="612"/>
      <c r="AO18" s="286">
        <f t="shared" si="2"/>
        <v>0</v>
      </c>
    </row>
    <row r="19" spans="1:43" s="286" customFormat="1" ht="27.75" customHeight="1">
      <c r="A19" s="287">
        <v>16</v>
      </c>
      <c r="B19" s="463"/>
      <c r="C19" s="304"/>
      <c r="D19" s="316"/>
      <c r="E19" s="317" t="s">
        <v>331</v>
      </c>
      <c r="F19" s="318"/>
      <c r="G19" s="318"/>
      <c r="H19" s="318"/>
      <c r="I19" s="304"/>
      <c r="J19" s="305"/>
      <c r="K19" s="304"/>
      <c r="L19" s="304"/>
      <c r="M19" s="304"/>
      <c r="N19" s="304"/>
      <c r="O19" s="304"/>
      <c r="P19" s="304"/>
      <c r="Q19" s="305"/>
      <c r="R19" s="304"/>
      <c r="S19" s="304"/>
      <c r="T19" s="304"/>
      <c r="U19" s="304"/>
      <c r="V19" s="304"/>
      <c r="W19" s="305"/>
      <c r="X19" s="304"/>
      <c r="Y19" s="304"/>
      <c r="Z19" s="304"/>
      <c r="AA19" s="304"/>
      <c r="AB19" s="304"/>
      <c r="AC19" s="304"/>
      <c r="AD19" s="305"/>
      <c r="AE19" s="318"/>
      <c r="AF19" s="318"/>
      <c r="AG19" s="318"/>
      <c r="AH19" s="318"/>
      <c r="AI19" s="318"/>
      <c r="AJ19" s="320"/>
      <c r="AK19" s="292">
        <f t="shared" si="4"/>
        <v>0</v>
      </c>
      <c r="AL19" s="293">
        <f t="shared" si="5"/>
        <v>0.75</v>
      </c>
      <c r="AM19" s="294">
        <f t="shared" si="1"/>
        <v>1</v>
      </c>
      <c r="AN19" s="612"/>
      <c r="AO19" s="286">
        <f t="shared" si="2"/>
        <v>0</v>
      </c>
    </row>
    <row r="20" spans="1:43" s="286" customFormat="1" ht="27.75" customHeight="1">
      <c r="A20" s="287">
        <v>17</v>
      </c>
      <c r="B20" s="461"/>
      <c r="C20" s="290"/>
      <c r="D20" s="329"/>
      <c r="E20" s="330" t="s">
        <v>332</v>
      </c>
      <c r="F20" s="290"/>
      <c r="G20" s="290"/>
      <c r="H20" s="290"/>
      <c r="I20" s="290"/>
      <c r="J20" s="309"/>
      <c r="K20" s="290"/>
      <c r="L20" s="290"/>
      <c r="M20" s="290"/>
      <c r="N20" s="290"/>
      <c r="O20" s="290"/>
      <c r="P20" s="290"/>
      <c r="Q20" s="309"/>
      <c r="R20" s="290"/>
      <c r="S20" s="290"/>
      <c r="T20" s="290"/>
      <c r="U20" s="290"/>
      <c r="V20" s="290"/>
      <c r="W20" s="309"/>
      <c r="X20" s="290"/>
      <c r="Y20" s="290"/>
      <c r="Z20" s="290"/>
      <c r="AA20" s="290"/>
      <c r="AB20" s="290"/>
      <c r="AC20" s="290"/>
      <c r="AD20" s="309"/>
      <c r="AE20" s="290"/>
      <c r="AF20" s="290"/>
      <c r="AG20" s="290"/>
      <c r="AH20" s="290"/>
      <c r="AI20" s="290"/>
      <c r="AJ20" s="291"/>
      <c r="AK20" s="292">
        <f t="shared" si="4"/>
        <v>0</v>
      </c>
      <c r="AL20" s="293">
        <f t="shared" si="5"/>
        <v>0.75</v>
      </c>
      <c r="AM20" s="294">
        <f t="shared" si="1"/>
        <v>1</v>
      </c>
      <c r="AN20" s="612"/>
      <c r="AO20" s="286">
        <f t="shared" si="2"/>
        <v>0</v>
      </c>
    </row>
    <row r="21" spans="1:43" s="286" customFormat="1" ht="27.75" customHeight="1">
      <c r="A21" s="287">
        <v>18</v>
      </c>
      <c r="B21" s="462"/>
      <c r="C21" s="313"/>
      <c r="D21" s="331"/>
      <c r="E21" s="332" t="s">
        <v>332</v>
      </c>
      <c r="F21" s="313"/>
      <c r="G21" s="313"/>
      <c r="H21" s="313"/>
      <c r="I21" s="313"/>
      <c r="J21" s="314"/>
      <c r="K21" s="313"/>
      <c r="L21" s="313"/>
      <c r="M21" s="313"/>
      <c r="N21" s="313"/>
      <c r="O21" s="313"/>
      <c r="P21" s="313"/>
      <c r="Q21" s="314"/>
      <c r="R21" s="313"/>
      <c r="S21" s="313"/>
      <c r="T21" s="313"/>
      <c r="U21" s="313"/>
      <c r="V21" s="313"/>
      <c r="W21" s="314"/>
      <c r="X21" s="313"/>
      <c r="Y21" s="333"/>
      <c r="Z21" s="313"/>
      <c r="AA21" s="313"/>
      <c r="AB21" s="313"/>
      <c r="AC21" s="313"/>
      <c r="AD21" s="314"/>
      <c r="AE21" s="313"/>
      <c r="AF21" s="313"/>
      <c r="AG21" s="313"/>
      <c r="AH21" s="313"/>
      <c r="AI21" s="313"/>
      <c r="AJ21" s="315"/>
      <c r="AK21" s="292">
        <f t="shared" si="4"/>
        <v>0</v>
      </c>
      <c r="AL21" s="293">
        <f t="shared" si="5"/>
        <v>0.75</v>
      </c>
      <c r="AM21" s="294">
        <f t="shared" si="1"/>
        <v>1</v>
      </c>
      <c r="AN21" s="612"/>
      <c r="AO21" s="286">
        <f t="shared" si="2"/>
        <v>0</v>
      </c>
    </row>
    <row r="22" spans="1:43" s="286" customFormat="1" ht="27.75" customHeight="1">
      <c r="A22" s="287">
        <v>19</v>
      </c>
      <c r="B22" s="463"/>
      <c r="C22" s="318"/>
      <c r="D22" s="316"/>
      <c r="E22" s="334" t="s">
        <v>333</v>
      </c>
      <c r="F22" s="318"/>
      <c r="G22" s="318"/>
      <c r="H22" s="318"/>
      <c r="I22" s="318"/>
      <c r="J22" s="319"/>
      <c r="K22" s="318"/>
      <c r="L22" s="318"/>
      <c r="M22" s="318"/>
      <c r="N22" s="318"/>
      <c r="O22" s="318"/>
      <c r="P22" s="318"/>
      <c r="Q22" s="319"/>
      <c r="R22" s="318"/>
      <c r="S22" s="320"/>
      <c r="T22" s="335"/>
      <c r="U22" s="336"/>
      <c r="V22" s="318"/>
      <c r="W22" s="319"/>
      <c r="X22" s="318"/>
      <c r="Y22" s="318"/>
      <c r="Z22" s="318"/>
      <c r="AA22" s="318"/>
      <c r="AB22" s="318"/>
      <c r="AC22" s="318"/>
      <c r="AD22" s="319"/>
      <c r="AE22" s="318"/>
      <c r="AF22" s="318"/>
      <c r="AG22" s="318"/>
      <c r="AH22" s="318"/>
      <c r="AI22" s="318"/>
      <c r="AJ22" s="320"/>
      <c r="AK22" s="292">
        <f t="shared" si="4"/>
        <v>0</v>
      </c>
      <c r="AL22" s="293">
        <f t="shared" si="5"/>
        <v>0.75</v>
      </c>
      <c r="AM22" s="294">
        <f t="shared" si="1"/>
        <v>1</v>
      </c>
      <c r="AN22" s="612"/>
      <c r="AO22" s="286">
        <f t="shared" si="2"/>
        <v>0</v>
      </c>
    </row>
    <row r="23" spans="1:43" s="286" customFormat="1" ht="27.75" customHeight="1">
      <c r="A23" s="287">
        <v>20</v>
      </c>
      <c r="B23" s="461"/>
      <c r="C23" s="290"/>
      <c r="D23" s="307"/>
      <c r="E23" s="337" t="s">
        <v>334</v>
      </c>
      <c r="F23" s="290"/>
      <c r="G23" s="290"/>
      <c r="H23" s="290"/>
      <c r="I23" s="290"/>
      <c r="J23" s="309"/>
      <c r="K23" s="290"/>
      <c r="L23" s="290"/>
      <c r="M23" s="290"/>
      <c r="N23" s="290"/>
      <c r="O23" s="290"/>
      <c r="P23" s="290"/>
      <c r="Q23" s="309"/>
      <c r="R23" s="290"/>
      <c r="S23" s="290"/>
      <c r="T23" s="304"/>
      <c r="U23" s="290"/>
      <c r="V23" s="290"/>
      <c r="W23" s="309"/>
      <c r="X23" s="290"/>
      <c r="Y23" s="290"/>
      <c r="Z23" s="290"/>
      <c r="AA23" s="290"/>
      <c r="AB23" s="290"/>
      <c r="AC23" s="290"/>
      <c r="AD23" s="309"/>
      <c r="AE23" s="290"/>
      <c r="AF23" s="290"/>
      <c r="AG23" s="290"/>
      <c r="AH23" s="290"/>
      <c r="AI23" s="290"/>
      <c r="AJ23" s="291"/>
      <c r="AK23" s="292">
        <f t="shared" si="4"/>
        <v>0</v>
      </c>
      <c r="AL23" s="293">
        <f t="shared" si="5"/>
        <v>0.75</v>
      </c>
      <c r="AM23" s="294">
        <f t="shared" si="1"/>
        <v>1</v>
      </c>
      <c r="AN23" s="612"/>
      <c r="AO23" s="286">
        <f t="shared" si="2"/>
        <v>0</v>
      </c>
    </row>
    <row r="24" spans="1:43" s="286" customFormat="1" ht="27.75" customHeight="1">
      <c r="A24" s="287">
        <v>21</v>
      </c>
      <c r="B24" s="429"/>
      <c r="C24" s="333"/>
      <c r="D24" s="338"/>
      <c r="E24" s="339" t="s">
        <v>334</v>
      </c>
      <c r="F24" s="333"/>
      <c r="G24" s="333"/>
      <c r="H24" s="333"/>
      <c r="I24" s="333"/>
      <c r="J24" s="314"/>
      <c r="K24" s="333"/>
      <c r="L24" s="333"/>
      <c r="M24" s="333"/>
      <c r="N24" s="333"/>
      <c r="O24" s="333"/>
      <c r="P24" s="333"/>
      <c r="Q24" s="314"/>
      <c r="R24" s="333"/>
      <c r="S24" s="333"/>
      <c r="T24" s="333"/>
      <c r="U24" s="333"/>
      <c r="V24" s="333"/>
      <c r="W24" s="314"/>
      <c r="X24" s="333"/>
      <c r="Y24" s="333"/>
      <c r="Z24" s="333"/>
      <c r="AA24" s="333"/>
      <c r="AB24" s="333"/>
      <c r="AC24" s="333"/>
      <c r="AD24" s="314"/>
      <c r="AE24" s="333"/>
      <c r="AF24" s="333"/>
      <c r="AG24" s="333"/>
      <c r="AH24" s="333"/>
      <c r="AI24" s="333"/>
      <c r="AJ24" s="340"/>
      <c r="AK24" s="292">
        <f t="shared" si="4"/>
        <v>0</v>
      </c>
      <c r="AL24" s="293">
        <f t="shared" si="5"/>
        <v>0.75</v>
      </c>
      <c r="AM24" s="294">
        <f t="shared" si="1"/>
        <v>1</v>
      </c>
      <c r="AN24" s="612"/>
      <c r="AO24" s="286">
        <f t="shared" si="2"/>
        <v>0</v>
      </c>
      <c r="AP24"/>
      <c r="AQ24"/>
    </row>
    <row r="25" spans="1:43" ht="27.75" customHeight="1" thickBot="1">
      <c r="A25" s="341">
        <v>22</v>
      </c>
      <c r="B25" s="462"/>
      <c r="C25" s="344"/>
      <c r="D25" s="342"/>
      <c r="E25" s="343" t="s">
        <v>334</v>
      </c>
      <c r="F25" s="344"/>
      <c r="G25" s="344"/>
      <c r="H25" s="344"/>
      <c r="I25" s="344"/>
      <c r="J25" s="345"/>
      <c r="K25" s="344"/>
      <c r="L25" s="344"/>
      <c r="M25" s="344"/>
      <c r="N25" s="344"/>
      <c r="O25" s="344"/>
      <c r="P25" s="344"/>
      <c r="Q25" s="345"/>
      <c r="R25" s="344"/>
      <c r="S25" s="344"/>
      <c r="T25" s="344"/>
      <c r="U25" s="344"/>
      <c r="V25" s="344"/>
      <c r="W25" s="345"/>
      <c r="X25" s="344"/>
      <c r="Y25" s="344"/>
      <c r="Z25" s="344"/>
      <c r="AA25" s="344"/>
      <c r="AB25" s="344"/>
      <c r="AC25" s="344"/>
      <c r="AD25" s="345"/>
      <c r="AE25" s="344"/>
      <c r="AF25" s="344"/>
      <c r="AG25" s="344"/>
      <c r="AH25" s="344"/>
      <c r="AI25" s="344"/>
      <c r="AJ25" s="346"/>
      <c r="AK25" s="292">
        <f t="shared" si="4"/>
        <v>0</v>
      </c>
      <c r="AL25" s="347">
        <f>AL24</f>
        <v>0.75</v>
      </c>
      <c r="AM25" s="348">
        <f t="shared" si="1"/>
        <v>1</v>
      </c>
      <c r="AN25" s="613"/>
      <c r="AO25" s="286">
        <f t="shared" si="2"/>
        <v>0</v>
      </c>
    </row>
    <row r="26" spans="1:43" ht="27.75" customHeight="1" thickTop="1" thickBot="1">
      <c r="A26" s="601" t="s">
        <v>16</v>
      </c>
      <c r="B26" s="602"/>
      <c r="C26" s="602"/>
      <c r="D26" s="602"/>
      <c r="E26" s="603"/>
      <c r="F26" s="349" t="e">
        <f>(COUNTIF(F5:F25, "1")+COUNTIF(F5:F25, "2")+COUNTIF(F5:F25, "3")+COUNTIF(F5:F25, "VL")+COUNTIF(F5:F25, "R")+COUNTIF(F5:F25, "A")+COUNTIF(AB6:AB25, "EL"))/(SUM(COUNTIF(F5:F25, "x")+COUNTIF(F5:F25, "1")+COUNTIF(F5:F25, "2")+COUNTIF(F5:F25, "3")+COUNTIF(F5:F25, "VL")+COUNTIF(F5:F25, "R")+COUNTIF(AB6:AB25, "EL")+COUNTIF(AB6:AB25, "A")))</f>
        <v>#DIV/0!</v>
      </c>
      <c r="G26" s="349" t="e">
        <f t="shared" ref="G26:AJ26" si="6">(COUNTIF(G5:G25, "1")+COUNTIF(G5:G25, "2")+COUNTIF(G5:G25, "3")+COUNTIF(G5:G25, "VL")+COUNTIF(G5:G25, "R")+COUNTIF(G5:G25, "A")+COUNTIF(AC6:AC25, "EL"))/(SUM(COUNTIF(G5:G25, "x")+COUNTIF(G5:G25, "1")+COUNTIF(G5:G25, "2")+COUNTIF(G5:G25, "3")+COUNTIF(G5:G25, "VL")+COUNTIF(G5:G25, "R")+COUNTIF(AC6:AC25, "EL")+COUNTIF(AC6:AC25, "A")))</f>
        <v>#DIV/0!</v>
      </c>
      <c r="H26" s="349" t="e">
        <f t="shared" si="6"/>
        <v>#DIV/0!</v>
      </c>
      <c r="I26" s="349" t="e">
        <f t="shared" si="6"/>
        <v>#DIV/0!</v>
      </c>
      <c r="J26" s="349" t="e">
        <f t="shared" si="6"/>
        <v>#DIV/0!</v>
      </c>
      <c r="K26" s="349" t="e">
        <f t="shared" si="6"/>
        <v>#DIV/0!</v>
      </c>
      <c r="L26" s="349" t="e">
        <f t="shared" si="6"/>
        <v>#DIV/0!</v>
      </c>
      <c r="M26" s="349" t="e">
        <f t="shared" si="6"/>
        <v>#DIV/0!</v>
      </c>
      <c r="N26" s="349" t="e">
        <f t="shared" si="6"/>
        <v>#DIV/0!</v>
      </c>
      <c r="O26" s="349" t="e">
        <f t="shared" si="6"/>
        <v>#DIV/0!</v>
      </c>
      <c r="P26" s="349" t="e">
        <f t="shared" si="6"/>
        <v>#DIV/0!</v>
      </c>
      <c r="Q26" s="349" t="e">
        <f t="shared" si="6"/>
        <v>#DIV/0!</v>
      </c>
      <c r="R26" s="349" t="e">
        <f t="shared" si="6"/>
        <v>#DIV/0!</v>
      </c>
      <c r="S26" s="349" t="e">
        <f t="shared" si="6"/>
        <v>#DIV/0!</v>
      </c>
      <c r="T26" s="349" t="e">
        <f>(COUNTIF(T5:T25, "1")+COUNTIF(T5:T25, "2")+COUNTIF(T5:T25, "3")+COUNTIF(T5:T25, "VL")+COUNTIF(T5:T25, "R")+COUNTIF(T5:T25, "A")+COUNTIF(AP6:AP26, "EL"))/(SUM(COUNTIF(T5:T25, "x")+COUNTIF(T5:T25, "1")+COUNTIF(T5:T25, "2")+COUNTIF(T5:T25, "3")+COUNTIF(T5:T25, "VL")+COUNTIF(T5:T25, "R")+COUNTIF(AP6:AP26, "EL")+COUNTIF(AP6:AP26, "A")))</f>
        <v>#DIV/0!</v>
      </c>
      <c r="U26" s="349" t="e">
        <f t="shared" si="6"/>
        <v>#DIV/0!</v>
      </c>
      <c r="V26" s="349" t="e">
        <f t="shared" si="6"/>
        <v>#DIV/0!</v>
      </c>
      <c r="W26" s="349" t="e">
        <f t="shared" si="6"/>
        <v>#DIV/0!</v>
      </c>
      <c r="X26" s="349" t="e">
        <f t="shared" si="6"/>
        <v>#DIV/0!</v>
      </c>
      <c r="Y26" s="349" t="e">
        <f t="shared" si="6"/>
        <v>#DIV/0!</v>
      </c>
      <c r="Z26" s="349" t="e">
        <f t="shared" si="6"/>
        <v>#DIV/0!</v>
      </c>
      <c r="AA26" s="349" t="e">
        <f t="shared" si="6"/>
        <v>#DIV/0!</v>
      </c>
      <c r="AB26" s="349" t="e">
        <f t="shared" si="6"/>
        <v>#DIV/0!</v>
      </c>
      <c r="AC26" s="349" t="e">
        <f t="shared" si="6"/>
        <v>#DIV/0!</v>
      </c>
      <c r="AD26" s="349" t="e">
        <f t="shared" si="6"/>
        <v>#DIV/0!</v>
      </c>
      <c r="AE26" s="349" t="e">
        <f t="shared" si="6"/>
        <v>#DIV/0!</v>
      </c>
      <c r="AF26" s="349" t="e">
        <f t="shared" si="6"/>
        <v>#DIV/0!</v>
      </c>
      <c r="AG26" s="349" t="e">
        <f t="shared" si="6"/>
        <v>#DIV/0!</v>
      </c>
      <c r="AH26" s="349" t="e">
        <f t="shared" si="6"/>
        <v>#DIV/0!</v>
      </c>
      <c r="AI26" s="349" t="e">
        <f t="shared" si="6"/>
        <v>#DIV/0!</v>
      </c>
      <c r="AJ26" s="349" t="e">
        <f t="shared" si="6"/>
        <v>#DIV/0!</v>
      </c>
      <c r="AK26" s="350"/>
      <c r="AL26" s="351"/>
      <c r="AN26" s="352"/>
      <c r="AO26" s="286"/>
      <c r="AP26">
        <f>SUM(AO4:AO25)</f>
        <v>0</v>
      </c>
      <c r="AQ26" s="286"/>
    </row>
    <row r="27" spans="1:43" s="286" customFormat="1" ht="27.75" customHeight="1" thickTop="1">
      <c r="A27" s="278">
        <v>1</v>
      </c>
      <c r="B27" s="429"/>
      <c r="C27" s="354"/>
      <c r="D27" s="353" t="s">
        <v>335</v>
      </c>
      <c r="E27" s="280" t="s">
        <v>336</v>
      </c>
      <c r="F27" s="354"/>
      <c r="G27" s="354"/>
      <c r="H27" s="354"/>
      <c r="I27" s="354"/>
      <c r="J27" s="354"/>
      <c r="K27" s="354"/>
      <c r="L27" s="354"/>
      <c r="M27" s="354"/>
      <c r="N27" s="354"/>
      <c r="O27" s="354"/>
      <c r="P27" s="354"/>
      <c r="Q27" s="354"/>
      <c r="R27" s="354"/>
      <c r="S27" s="354"/>
      <c r="T27" s="354"/>
      <c r="U27" s="354"/>
      <c r="V27" s="354"/>
      <c r="W27" s="354"/>
      <c r="X27" s="354"/>
      <c r="Y27" s="354"/>
      <c r="Z27" s="354"/>
      <c r="AA27" s="354"/>
      <c r="AB27" s="355"/>
      <c r="AC27" s="354"/>
      <c r="AD27" s="354"/>
      <c r="AE27" s="354"/>
      <c r="AF27" s="354"/>
      <c r="AG27" s="354"/>
      <c r="AH27" s="354"/>
      <c r="AI27" s="354"/>
      <c r="AJ27" s="356"/>
      <c r="AK27" s="357"/>
      <c r="AL27" s="284"/>
      <c r="AM27" s="285"/>
      <c r="AN27" s="614">
        <f>AVERAGE(AK29:AK51)</f>
        <v>0</v>
      </c>
      <c r="AO27" s="286">
        <f t="shared" si="2"/>
        <v>0</v>
      </c>
    </row>
    <row r="28" spans="1:43" s="286" customFormat="1" ht="27" customHeight="1">
      <c r="A28" s="287">
        <v>2</v>
      </c>
      <c r="B28" s="461"/>
      <c r="C28" s="360"/>
      <c r="D28" s="358" t="s">
        <v>293</v>
      </c>
      <c r="E28" s="359" t="s">
        <v>326</v>
      </c>
      <c r="F28" s="360"/>
      <c r="G28" s="360"/>
      <c r="H28" s="360"/>
      <c r="I28" s="360"/>
      <c r="J28" s="360"/>
      <c r="K28" s="360"/>
      <c r="L28" s="360"/>
      <c r="M28" s="360"/>
      <c r="N28" s="360"/>
      <c r="O28" s="360"/>
      <c r="P28" s="360"/>
      <c r="Q28" s="360"/>
      <c r="R28" s="360"/>
      <c r="S28" s="360"/>
      <c r="T28" s="360"/>
      <c r="U28" s="360"/>
      <c r="V28" s="360"/>
      <c r="W28" s="360"/>
      <c r="X28" s="360"/>
      <c r="Y28" s="360"/>
      <c r="Z28" s="360"/>
      <c r="AA28" s="360"/>
      <c r="AB28" s="361"/>
      <c r="AC28" s="360"/>
      <c r="AD28" s="360"/>
      <c r="AE28" s="360"/>
      <c r="AF28" s="360"/>
      <c r="AG28" s="360"/>
      <c r="AH28" s="360"/>
      <c r="AI28" s="360"/>
      <c r="AJ28" s="362"/>
      <c r="AK28" s="363"/>
      <c r="AL28" s="364"/>
      <c r="AM28" s="365"/>
      <c r="AN28" s="615"/>
      <c r="AO28" s="286">
        <f t="shared" si="2"/>
        <v>0</v>
      </c>
    </row>
    <row r="29" spans="1:43" s="286" customFormat="1" ht="27.75" customHeight="1">
      <c r="A29" s="287">
        <v>3</v>
      </c>
      <c r="B29" s="462"/>
      <c r="C29" s="290"/>
      <c r="D29" s="366" t="s">
        <v>17</v>
      </c>
      <c r="E29" s="367" t="s">
        <v>326</v>
      </c>
      <c r="F29" s="290"/>
      <c r="G29" s="290"/>
      <c r="H29" s="290"/>
      <c r="I29" s="290"/>
      <c r="J29" s="309"/>
      <c r="K29" s="290"/>
      <c r="L29" s="290"/>
      <c r="M29" s="290"/>
      <c r="N29" s="290"/>
      <c r="O29" s="290"/>
      <c r="P29" s="290"/>
      <c r="Q29" s="309"/>
      <c r="R29" s="290"/>
      <c r="S29" s="290"/>
      <c r="T29" s="290"/>
      <c r="U29" s="290"/>
      <c r="V29" s="290"/>
      <c r="W29" s="309"/>
      <c r="X29" s="290"/>
      <c r="Y29" s="290"/>
      <c r="Z29" s="290"/>
      <c r="AA29" s="290"/>
      <c r="AB29" s="290"/>
      <c r="AC29" s="290"/>
      <c r="AD29" s="309"/>
      <c r="AE29" s="290"/>
      <c r="AF29" s="290"/>
      <c r="AG29" s="290"/>
      <c r="AH29" s="290"/>
      <c r="AI29" s="290"/>
      <c r="AJ29" s="291"/>
      <c r="AK29" s="292">
        <f>(COUNTIF(F29:AJ29, "1")+COUNTIF(F29:AJ29, "2")+COUNTIF(F29:AJ29, "3"))/(SUM(COUNTIF(F29:AJ29, "x")+COUNTIF(F29:AJ29, "1")+COUNTIF(F29:AJ29, "2")+COUNTIF(F29:AJ29, "3")+COUNTIF(F29:AJ29, "")+COUNTIF(F29:AJ29, "SL")+COUNTIF(F29:AJ29, "EL")))</f>
        <v>0</v>
      </c>
      <c r="AL29" s="293">
        <v>0.75</v>
      </c>
      <c r="AM29" s="294">
        <f t="shared" ref="AM29:AM46" si="7">RANK(AK29,$AK$5:$AK$99)</f>
        <v>1</v>
      </c>
      <c r="AN29" s="615"/>
      <c r="AO29" s="286">
        <f t="shared" si="2"/>
        <v>0</v>
      </c>
    </row>
    <row r="30" spans="1:43" s="286" customFormat="1" ht="27.75" customHeight="1">
      <c r="A30" s="287">
        <v>4</v>
      </c>
      <c r="B30" s="461"/>
      <c r="C30" s="290"/>
      <c r="D30" s="295" t="s">
        <v>18</v>
      </c>
      <c r="E30" s="308" t="s">
        <v>337</v>
      </c>
      <c r="F30" s="290"/>
      <c r="G30" s="290"/>
      <c r="H30" s="290"/>
      <c r="I30" s="290"/>
      <c r="J30" s="309"/>
      <c r="K30" s="290"/>
      <c r="L30" s="290"/>
      <c r="M30" s="290"/>
      <c r="N30" s="290"/>
      <c r="O30" s="290"/>
      <c r="P30" s="290"/>
      <c r="Q30" s="309"/>
      <c r="R30" s="290"/>
      <c r="S30" s="290"/>
      <c r="T30" s="290"/>
      <c r="U30" s="290"/>
      <c r="V30" s="290"/>
      <c r="W30" s="309"/>
      <c r="X30" s="290"/>
      <c r="Y30" s="290"/>
      <c r="Z30" s="290"/>
      <c r="AA30" s="290"/>
      <c r="AB30" s="290"/>
      <c r="AC30" s="290"/>
      <c r="AD30" s="309"/>
      <c r="AE30" s="290"/>
      <c r="AF30" s="290"/>
      <c r="AG30" s="290"/>
      <c r="AH30" s="290"/>
      <c r="AI30" s="290"/>
      <c r="AJ30" s="291"/>
      <c r="AK30" s="292">
        <f t="shared" ref="AK30:AK51" si="8">(COUNTIF(F30:AJ30, "1")+COUNTIF(F30:AJ30, "2")+COUNTIF(F30:AJ30, "3"))/(SUM(COUNTIF(F30:AJ30, "x")+COUNTIF(F30:AJ30, "1")+COUNTIF(F30:AJ30, "2")+COUNTIF(F30:AJ30, "3")+COUNTIF(F30:AJ30, "")+COUNTIF(F30:AJ30, "SL")+COUNTIF(F30:AJ30, "EL")))</f>
        <v>0</v>
      </c>
      <c r="AL30" s="293">
        <f t="shared" ref="AL30:AL75" si="9">AL29</f>
        <v>0.75</v>
      </c>
      <c r="AM30" s="294">
        <f t="shared" si="7"/>
        <v>1</v>
      </c>
      <c r="AN30" s="615"/>
      <c r="AO30" s="286">
        <f t="shared" si="2"/>
        <v>0</v>
      </c>
      <c r="AP30" s="272"/>
      <c r="AQ30" s="272"/>
    </row>
    <row r="31" spans="1:43" s="272" customFormat="1" ht="27" customHeight="1">
      <c r="A31" s="287">
        <v>5</v>
      </c>
      <c r="B31" s="461"/>
      <c r="C31" s="290"/>
      <c r="D31" s="368" t="s">
        <v>19</v>
      </c>
      <c r="E31" s="369" t="s">
        <v>337</v>
      </c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  <c r="Q31" s="290"/>
      <c r="R31" s="290"/>
      <c r="S31" s="290"/>
      <c r="T31" s="290"/>
      <c r="U31" s="290"/>
      <c r="V31" s="290"/>
      <c r="W31" s="290"/>
      <c r="X31" s="290"/>
      <c r="Y31" s="290"/>
      <c r="Z31" s="290"/>
      <c r="AA31" s="290"/>
      <c r="AB31" s="290"/>
      <c r="AC31" s="290"/>
      <c r="AD31" s="290"/>
      <c r="AE31" s="290"/>
      <c r="AF31" s="290"/>
      <c r="AG31" s="290"/>
      <c r="AH31" s="290"/>
      <c r="AI31" s="290"/>
      <c r="AJ31" s="291"/>
      <c r="AK31" s="292">
        <f t="shared" si="8"/>
        <v>0</v>
      </c>
      <c r="AL31" s="293">
        <f t="shared" si="9"/>
        <v>0.75</v>
      </c>
      <c r="AM31" s="370">
        <f t="shared" si="7"/>
        <v>1</v>
      </c>
      <c r="AN31" s="615"/>
      <c r="AO31" s="286">
        <f t="shared" si="2"/>
        <v>0</v>
      </c>
      <c r="AP31" s="286"/>
      <c r="AQ31" s="286"/>
    </row>
    <row r="32" spans="1:43" s="286" customFormat="1" ht="27.75" customHeight="1">
      <c r="A32" s="287">
        <v>6</v>
      </c>
      <c r="B32" s="429"/>
      <c r="C32" s="299"/>
      <c r="D32" s="371" t="s">
        <v>301</v>
      </c>
      <c r="E32" s="372" t="s">
        <v>327</v>
      </c>
      <c r="F32" s="299"/>
      <c r="G32" s="299"/>
      <c r="H32" s="299"/>
      <c r="I32" s="299"/>
      <c r="J32" s="300"/>
      <c r="K32" s="299"/>
      <c r="L32" s="299"/>
      <c r="M32" s="299"/>
      <c r="N32" s="299"/>
      <c r="O32" s="299"/>
      <c r="P32" s="299"/>
      <c r="Q32" s="300"/>
      <c r="R32" s="299"/>
      <c r="S32" s="299"/>
      <c r="T32" s="299"/>
      <c r="U32" s="299"/>
      <c r="V32" s="299"/>
      <c r="W32" s="300"/>
      <c r="X32" s="299"/>
      <c r="Y32" s="299"/>
      <c r="Z32" s="299"/>
      <c r="AA32" s="299"/>
      <c r="AB32" s="299"/>
      <c r="AC32" s="299"/>
      <c r="AD32" s="300"/>
      <c r="AE32" s="299"/>
      <c r="AF32" s="299"/>
      <c r="AG32" s="299"/>
      <c r="AH32" s="299"/>
      <c r="AI32" s="299"/>
      <c r="AJ32" s="301"/>
      <c r="AK32" s="292">
        <f t="shared" si="8"/>
        <v>0</v>
      </c>
      <c r="AL32" s="293">
        <f t="shared" si="9"/>
        <v>0.75</v>
      </c>
      <c r="AM32" s="370">
        <f t="shared" si="7"/>
        <v>1</v>
      </c>
      <c r="AN32" s="615"/>
      <c r="AO32" s="286">
        <f t="shared" si="2"/>
        <v>0</v>
      </c>
    </row>
    <row r="33" spans="1:43" s="286" customFormat="1" ht="27.75" customHeight="1">
      <c r="A33" s="287">
        <v>7</v>
      </c>
      <c r="B33" s="463"/>
      <c r="C33" s="304"/>
      <c r="D33" s="373" t="s">
        <v>316</v>
      </c>
      <c r="E33" s="374" t="s">
        <v>328</v>
      </c>
      <c r="F33" s="304"/>
      <c r="G33" s="304"/>
      <c r="H33" s="304"/>
      <c r="I33" s="304"/>
      <c r="J33" s="305"/>
      <c r="K33" s="304"/>
      <c r="L33" s="304"/>
      <c r="M33" s="304"/>
      <c r="N33" s="304"/>
      <c r="O33" s="304"/>
      <c r="P33" s="304"/>
      <c r="Q33" s="305"/>
      <c r="R33" s="304"/>
      <c r="S33" s="304"/>
      <c r="T33" s="304"/>
      <c r="U33" s="304"/>
      <c r="V33" s="304"/>
      <c r="W33" s="305"/>
      <c r="X33" s="304"/>
      <c r="Y33" s="304"/>
      <c r="Z33" s="304"/>
      <c r="AA33" s="304"/>
      <c r="AB33" s="304"/>
      <c r="AC33" s="304"/>
      <c r="AD33" s="305"/>
      <c r="AE33" s="304"/>
      <c r="AF33" s="304"/>
      <c r="AG33" s="304"/>
      <c r="AH33" s="304"/>
      <c r="AI33" s="304"/>
      <c r="AJ33" s="306"/>
      <c r="AK33" s="292">
        <f t="shared" si="8"/>
        <v>0</v>
      </c>
      <c r="AL33" s="293">
        <f t="shared" si="9"/>
        <v>0.75</v>
      </c>
      <c r="AM33" s="370">
        <f t="shared" si="7"/>
        <v>1</v>
      </c>
      <c r="AN33" s="615"/>
      <c r="AO33" s="286">
        <f t="shared" si="2"/>
        <v>0</v>
      </c>
    </row>
    <row r="34" spans="1:43" s="286" customFormat="1" ht="27.75" customHeight="1">
      <c r="A34" s="287">
        <v>8</v>
      </c>
      <c r="B34" s="462"/>
      <c r="C34" s="290"/>
      <c r="D34" s="375" t="s">
        <v>156</v>
      </c>
      <c r="E34" s="376" t="s">
        <v>338</v>
      </c>
      <c r="F34" s="290"/>
      <c r="G34" s="290"/>
      <c r="H34" s="290"/>
      <c r="I34" s="290"/>
      <c r="J34" s="309"/>
      <c r="K34" s="290"/>
      <c r="L34" s="290"/>
      <c r="M34" s="290"/>
      <c r="N34" s="290"/>
      <c r="O34" s="290"/>
      <c r="P34" s="290"/>
      <c r="Q34" s="309"/>
      <c r="R34" s="290"/>
      <c r="S34" s="290"/>
      <c r="T34" s="290"/>
      <c r="U34" s="290"/>
      <c r="V34" s="290"/>
      <c r="W34" s="309"/>
      <c r="X34" s="290"/>
      <c r="Y34" s="290"/>
      <c r="Z34" s="290"/>
      <c r="AA34" s="290"/>
      <c r="AB34" s="290"/>
      <c r="AC34" s="290"/>
      <c r="AD34" s="309"/>
      <c r="AE34" s="290"/>
      <c r="AF34" s="290"/>
      <c r="AG34" s="290"/>
      <c r="AH34" s="290"/>
      <c r="AI34" s="290"/>
      <c r="AJ34" s="291"/>
      <c r="AK34" s="292">
        <f t="shared" si="8"/>
        <v>0</v>
      </c>
      <c r="AL34" s="293">
        <f t="shared" si="9"/>
        <v>0.75</v>
      </c>
      <c r="AM34" s="370">
        <f t="shared" si="7"/>
        <v>1</v>
      </c>
      <c r="AN34" s="615"/>
      <c r="AO34" s="286">
        <f t="shared" si="2"/>
        <v>0</v>
      </c>
    </row>
    <row r="35" spans="1:43" s="286" customFormat="1" ht="27.75" customHeight="1">
      <c r="A35" s="287">
        <v>9</v>
      </c>
      <c r="B35" s="429"/>
      <c r="C35" s="290"/>
      <c r="D35" s="377" t="s">
        <v>299</v>
      </c>
      <c r="E35" s="378" t="s">
        <v>329</v>
      </c>
      <c r="F35" s="290"/>
      <c r="G35" s="290"/>
      <c r="H35" s="290"/>
      <c r="I35" s="290"/>
      <c r="J35" s="309"/>
      <c r="K35" s="290"/>
      <c r="L35" s="290"/>
      <c r="M35" s="290"/>
      <c r="N35" s="290"/>
      <c r="O35" s="290"/>
      <c r="P35" s="290"/>
      <c r="Q35" s="309"/>
      <c r="R35" s="290"/>
      <c r="S35" s="290"/>
      <c r="T35" s="290"/>
      <c r="U35" s="290"/>
      <c r="V35" s="290"/>
      <c r="W35" s="309"/>
      <c r="X35" s="290"/>
      <c r="Y35" s="290"/>
      <c r="Z35" s="290"/>
      <c r="AA35" s="290"/>
      <c r="AB35" s="290"/>
      <c r="AC35" s="290"/>
      <c r="AD35" s="309"/>
      <c r="AE35" s="290"/>
      <c r="AF35" s="290"/>
      <c r="AG35" s="290"/>
      <c r="AH35" s="290"/>
      <c r="AI35" s="290"/>
      <c r="AJ35" s="291"/>
      <c r="AK35" s="292">
        <f t="shared" si="8"/>
        <v>0</v>
      </c>
      <c r="AL35" s="293">
        <f t="shared" si="9"/>
        <v>0.75</v>
      </c>
      <c r="AM35" s="370">
        <f t="shared" si="7"/>
        <v>1</v>
      </c>
      <c r="AN35" s="615"/>
      <c r="AO35" s="286">
        <f t="shared" si="2"/>
        <v>0</v>
      </c>
      <c r="AP35" s="272"/>
      <c r="AQ35" s="272"/>
    </row>
    <row r="36" spans="1:43" s="272" customFormat="1" ht="28.5" customHeight="1">
      <c r="A36" s="287">
        <v>10</v>
      </c>
      <c r="B36" s="463"/>
      <c r="C36" s="290"/>
      <c r="D36" s="379" t="s">
        <v>20</v>
      </c>
      <c r="E36" s="303" t="s">
        <v>329</v>
      </c>
      <c r="F36" s="290"/>
      <c r="G36" s="290"/>
      <c r="H36" s="290"/>
      <c r="I36" s="290"/>
      <c r="J36" s="309"/>
      <c r="K36" s="290"/>
      <c r="L36" s="290"/>
      <c r="M36" s="290"/>
      <c r="N36" s="290"/>
      <c r="O36" s="290"/>
      <c r="P36" s="290"/>
      <c r="Q36" s="309"/>
      <c r="R36" s="290"/>
      <c r="S36" s="290"/>
      <c r="T36" s="290"/>
      <c r="U36" s="290"/>
      <c r="V36" s="290"/>
      <c r="W36" s="309"/>
      <c r="X36" s="290"/>
      <c r="Y36" s="290"/>
      <c r="Z36" s="290"/>
      <c r="AA36" s="290"/>
      <c r="AB36" s="290"/>
      <c r="AC36" s="290"/>
      <c r="AD36" s="309"/>
      <c r="AE36" s="290"/>
      <c r="AF36" s="290"/>
      <c r="AG36" s="290"/>
      <c r="AH36" s="290"/>
      <c r="AI36" s="290"/>
      <c r="AJ36" s="291"/>
      <c r="AK36" s="292">
        <f t="shared" si="8"/>
        <v>0</v>
      </c>
      <c r="AL36" s="293">
        <f t="shared" si="9"/>
        <v>0.75</v>
      </c>
      <c r="AM36" s="370">
        <f t="shared" si="7"/>
        <v>1</v>
      </c>
      <c r="AN36" s="615"/>
      <c r="AO36" s="286">
        <f t="shared" si="2"/>
        <v>0</v>
      </c>
      <c r="AP36" s="286"/>
      <c r="AQ36" s="286"/>
    </row>
    <row r="37" spans="1:43" s="286" customFormat="1" ht="27.75" customHeight="1">
      <c r="A37" s="287">
        <v>11</v>
      </c>
      <c r="B37" s="463"/>
      <c r="C37" s="290"/>
      <c r="D37" s="379" t="s">
        <v>310</v>
      </c>
      <c r="E37" s="323" t="s">
        <v>329</v>
      </c>
      <c r="F37" s="290"/>
      <c r="G37" s="290"/>
      <c r="H37" s="290"/>
      <c r="I37" s="290"/>
      <c r="J37" s="309"/>
      <c r="K37" s="290"/>
      <c r="L37" s="290"/>
      <c r="M37" s="290"/>
      <c r="N37" s="290"/>
      <c r="O37" s="290"/>
      <c r="P37" s="290"/>
      <c r="Q37" s="309"/>
      <c r="R37" s="290"/>
      <c r="S37" s="290"/>
      <c r="T37" s="290"/>
      <c r="U37" s="290"/>
      <c r="V37" s="290"/>
      <c r="W37" s="309"/>
      <c r="X37" s="290"/>
      <c r="Y37" s="290"/>
      <c r="Z37" s="290"/>
      <c r="AA37" s="290"/>
      <c r="AB37" s="290"/>
      <c r="AC37" s="290"/>
      <c r="AD37" s="309"/>
      <c r="AE37" s="290"/>
      <c r="AF37" s="290"/>
      <c r="AG37" s="290"/>
      <c r="AH37" s="290"/>
      <c r="AI37" s="290"/>
      <c r="AJ37" s="291"/>
      <c r="AK37" s="292">
        <f t="shared" si="8"/>
        <v>0</v>
      </c>
      <c r="AL37" s="293">
        <f t="shared" si="9"/>
        <v>0.75</v>
      </c>
      <c r="AM37" s="370">
        <f t="shared" si="7"/>
        <v>1</v>
      </c>
      <c r="AN37" s="615"/>
      <c r="AO37" s="286">
        <f t="shared" si="2"/>
        <v>0</v>
      </c>
    </row>
    <row r="38" spans="1:43" s="286" customFormat="1" ht="27.75" customHeight="1">
      <c r="A38" s="287">
        <v>12</v>
      </c>
      <c r="B38" s="462"/>
      <c r="C38" s="313"/>
      <c r="D38" s="380" t="s">
        <v>297</v>
      </c>
      <c r="E38" s="381" t="s">
        <v>329</v>
      </c>
      <c r="F38" s="313"/>
      <c r="G38" s="313"/>
      <c r="H38" s="313"/>
      <c r="I38" s="313"/>
      <c r="J38" s="314"/>
      <c r="K38" s="290"/>
      <c r="L38" s="290"/>
      <c r="M38" s="313"/>
      <c r="N38" s="313"/>
      <c r="O38" s="313"/>
      <c r="P38" s="313"/>
      <c r="Q38" s="314"/>
      <c r="R38" s="313"/>
      <c r="S38" s="290"/>
      <c r="T38" s="290"/>
      <c r="U38" s="313"/>
      <c r="V38" s="313"/>
      <c r="W38" s="314"/>
      <c r="X38" s="313"/>
      <c r="Y38" s="313"/>
      <c r="Z38" s="313"/>
      <c r="AA38" s="313"/>
      <c r="AB38" s="313"/>
      <c r="AC38" s="313"/>
      <c r="AD38" s="314"/>
      <c r="AE38" s="313"/>
      <c r="AF38" s="313"/>
      <c r="AG38" s="313"/>
      <c r="AH38" s="313"/>
      <c r="AI38" s="313"/>
      <c r="AJ38" s="315"/>
      <c r="AK38" s="292">
        <f t="shared" si="8"/>
        <v>0</v>
      </c>
      <c r="AL38" s="293">
        <f t="shared" si="9"/>
        <v>0.75</v>
      </c>
      <c r="AM38" s="370">
        <f t="shared" si="7"/>
        <v>1</v>
      </c>
      <c r="AN38" s="615"/>
      <c r="AO38" s="286">
        <f t="shared" si="2"/>
        <v>0</v>
      </c>
    </row>
    <row r="39" spans="1:43" s="286" customFormat="1" ht="27.75" customHeight="1">
      <c r="A39" s="287">
        <v>13</v>
      </c>
      <c r="B39" s="463"/>
      <c r="C39" s="318"/>
      <c r="D39" s="382" t="s">
        <v>294</v>
      </c>
      <c r="E39" s="374" t="s">
        <v>330</v>
      </c>
      <c r="F39" s="318"/>
      <c r="G39" s="318"/>
      <c r="H39" s="318"/>
      <c r="I39" s="318"/>
      <c r="J39" s="319"/>
      <c r="K39" s="318"/>
      <c r="L39" s="318"/>
      <c r="M39" s="318"/>
      <c r="N39" s="318"/>
      <c r="O39" s="318"/>
      <c r="P39" s="318"/>
      <c r="Q39" s="319"/>
      <c r="R39" s="318"/>
      <c r="S39" s="318"/>
      <c r="T39" s="318"/>
      <c r="U39" s="318"/>
      <c r="V39" s="318"/>
      <c r="W39" s="319"/>
      <c r="X39" s="318"/>
      <c r="Y39" s="318"/>
      <c r="Z39" s="318"/>
      <c r="AA39" s="318"/>
      <c r="AB39" s="318"/>
      <c r="AC39" s="318"/>
      <c r="AD39" s="319"/>
      <c r="AE39" s="318"/>
      <c r="AF39" s="318"/>
      <c r="AG39" s="318"/>
      <c r="AH39" s="318"/>
      <c r="AI39" s="318"/>
      <c r="AJ39" s="320"/>
      <c r="AK39" s="292">
        <f t="shared" si="8"/>
        <v>0</v>
      </c>
      <c r="AL39" s="293">
        <f t="shared" si="9"/>
        <v>0.75</v>
      </c>
      <c r="AM39" s="370">
        <f t="shared" si="7"/>
        <v>1</v>
      </c>
      <c r="AN39" s="615"/>
      <c r="AO39" s="286">
        <f t="shared" si="2"/>
        <v>0</v>
      </c>
    </row>
    <row r="40" spans="1:43" s="286" customFormat="1" ht="27.75" customHeight="1">
      <c r="A40" s="287">
        <v>14</v>
      </c>
      <c r="B40" s="462"/>
      <c r="C40" s="304"/>
      <c r="D40" s="383" t="s">
        <v>21</v>
      </c>
      <c r="E40" s="384" t="s">
        <v>330</v>
      </c>
      <c r="F40" s="304"/>
      <c r="G40" s="304"/>
      <c r="H40" s="304"/>
      <c r="I40" s="304"/>
      <c r="J40" s="309"/>
      <c r="K40" s="304"/>
      <c r="L40" s="304"/>
      <c r="M40" s="304"/>
      <c r="N40" s="304"/>
      <c r="O40" s="304"/>
      <c r="P40" s="304"/>
      <c r="Q40" s="309"/>
      <c r="R40" s="304"/>
      <c r="S40" s="322"/>
      <c r="T40" s="304"/>
      <c r="U40" s="304"/>
      <c r="V40" s="304"/>
      <c r="W40" s="309"/>
      <c r="X40" s="304"/>
      <c r="Y40" s="304"/>
      <c r="Z40" s="304"/>
      <c r="AA40" s="304"/>
      <c r="AB40" s="304"/>
      <c r="AC40" s="304"/>
      <c r="AD40" s="309"/>
      <c r="AE40" s="304"/>
      <c r="AF40" s="304"/>
      <c r="AG40" s="304"/>
      <c r="AH40" s="304"/>
      <c r="AI40" s="304"/>
      <c r="AJ40" s="306"/>
      <c r="AK40" s="292">
        <f t="shared" si="8"/>
        <v>0</v>
      </c>
      <c r="AL40" s="293">
        <f t="shared" si="9"/>
        <v>0.75</v>
      </c>
      <c r="AM40" s="370">
        <f t="shared" si="7"/>
        <v>1</v>
      </c>
      <c r="AN40" s="615"/>
      <c r="AO40" s="286">
        <f t="shared" si="2"/>
        <v>0</v>
      </c>
    </row>
    <row r="41" spans="1:43" s="286" customFormat="1" ht="27.75" customHeight="1">
      <c r="A41" s="287">
        <v>15</v>
      </c>
      <c r="B41" s="463"/>
      <c r="C41" s="304"/>
      <c r="D41" s="379" t="s">
        <v>22</v>
      </c>
      <c r="E41" s="303" t="s">
        <v>6</v>
      </c>
      <c r="F41" s="304"/>
      <c r="G41" s="304"/>
      <c r="H41" s="304"/>
      <c r="I41" s="304"/>
      <c r="J41" s="309"/>
      <c r="K41" s="304"/>
      <c r="L41" s="304"/>
      <c r="M41" s="304"/>
      <c r="N41" s="304"/>
      <c r="O41" s="304"/>
      <c r="P41" s="304"/>
      <c r="Q41" s="309"/>
      <c r="R41" s="304"/>
      <c r="S41" s="290"/>
      <c r="T41" s="304"/>
      <c r="U41" s="304"/>
      <c r="V41" s="304"/>
      <c r="W41" s="309"/>
      <c r="X41" s="304"/>
      <c r="Y41" s="304"/>
      <c r="Z41" s="304"/>
      <c r="AA41" s="304"/>
      <c r="AB41" s="304"/>
      <c r="AC41" s="304"/>
      <c r="AD41" s="309"/>
      <c r="AE41" s="304"/>
      <c r="AF41" s="304"/>
      <c r="AG41" s="304"/>
      <c r="AH41" s="304"/>
      <c r="AI41" s="304"/>
      <c r="AJ41" s="306"/>
      <c r="AK41" s="292">
        <f t="shared" si="8"/>
        <v>0</v>
      </c>
      <c r="AL41" s="293">
        <f t="shared" si="9"/>
        <v>0.75</v>
      </c>
      <c r="AM41" s="370">
        <f t="shared" si="7"/>
        <v>1</v>
      </c>
      <c r="AN41" s="615"/>
      <c r="AO41" s="286">
        <f t="shared" si="2"/>
        <v>0</v>
      </c>
    </row>
    <row r="42" spans="1:43" s="286" customFormat="1" ht="27.75" customHeight="1">
      <c r="A42" s="287">
        <v>16</v>
      </c>
      <c r="B42" s="461"/>
      <c r="C42" s="304"/>
      <c r="D42" s="329" t="s">
        <v>23</v>
      </c>
      <c r="E42" s="369" t="s">
        <v>6</v>
      </c>
      <c r="F42" s="325"/>
      <c r="G42" s="325"/>
      <c r="H42" s="325"/>
      <c r="I42" s="304"/>
      <c r="J42" s="309"/>
      <c r="K42" s="325"/>
      <c r="L42" s="325"/>
      <c r="M42" s="325"/>
      <c r="N42" s="325"/>
      <c r="O42" s="325"/>
      <c r="P42" s="325"/>
      <c r="Q42" s="309"/>
      <c r="R42" s="325"/>
      <c r="S42" s="325"/>
      <c r="T42" s="325"/>
      <c r="U42" s="325"/>
      <c r="V42" s="325"/>
      <c r="W42" s="309"/>
      <c r="X42" s="325"/>
      <c r="Y42" s="325"/>
      <c r="Z42" s="325"/>
      <c r="AA42" s="325"/>
      <c r="AB42" s="325"/>
      <c r="AC42" s="325"/>
      <c r="AD42" s="309"/>
      <c r="AE42" s="325"/>
      <c r="AF42" s="325"/>
      <c r="AG42" s="325"/>
      <c r="AH42" s="325"/>
      <c r="AI42" s="325"/>
      <c r="AJ42" s="326"/>
      <c r="AK42" s="292">
        <f t="shared" si="8"/>
        <v>0</v>
      </c>
      <c r="AL42" s="293">
        <f t="shared" si="9"/>
        <v>0.75</v>
      </c>
      <c r="AM42" s="370">
        <f t="shared" si="7"/>
        <v>1</v>
      </c>
      <c r="AN42" s="615"/>
      <c r="AO42" s="286">
        <f t="shared" si="2"/>
        <v>0</v>
      </c>
    </row>
    <row r="43" spans="1:43" s="286" customFormat="1" ht="27.75" customHeight="1">
      <c r="A43" s="287">
        <v>17</v>
      </c>
      <c r="B43" s="462"/>
      <c r="C43" s="313"/>
      <c r="D43" s="331" t="s">
        <v>296</v>
      </c>
      <c r="E43" s="385" t="s">
        <v>6</v>
      </c>
      <c r="F43" s="313"/>
      <c r="G43" s="313"/>
      <c r="H43" s="313"/>
      <c r="I43" s="313"/>
      <c r="J43" s="314"/>
      <c r="K43" s="313"/>
      <c r="L43" s="313"/>
      <c r="M43" s="313"/>
      <c r="N43" s="313"/>
      <c r="O43" s="313"/>
      <c r="P43" s="313"/>
      <c r="Q43" s="314"/>
      <c r="R43" s="313"/>
      <c r="S43" s="313"/>
      <c r="T43" s="313"/>
      <c r="U43" s="313"/>
      <c r="V43" s="313"/>
      <c r="W43" s="314"/>
      <c r="X43" s="313"/>
      <c r="Y43" s="313"/>
      <c r="Z43" s="313"/>
      <c r="AA43" s="313"/>
      <c r="AB43" s="313"/>
      <c r="AC43" s="313"/>
      <c r="AD43" s="314"/>
      <c r="AE43" s="313"/>
      <c r="AF43" s="313"/>
      <c r="AG43" s="313"/>
      <c r="AH43" s="313"/>
      <c r="AI43" s="313"/>
      <c r="AJ43" s="315"/>
      <c r="AK43" s="292">
        <f t="shared" si="8"/>
        <v>0</v>
      </c>
      <c r="AL43" s="293">
        <f t="shared" si="9"/>
        <v>0.75</v>
      </c>
      <c r="AM43" s="370">
        <f t="shared" si="7"/>
        <v>1</v>
      </c>
      <c r="AN43" s="615"/>
      <c r="AO43" s="286">
        <f t="shared" si="2"/>
        <v>0</v>
      </c>
    </row>
    <row r="44" spans="1:43" s="286" customFormat="1" ht="27.75" customHeight="1">
      <c r="A44" s="287">
        <v>18</v>
      </c>
      <c r="B44" s="463"/>
      <c r="C44" s="318"/>
      <c r="D44" s="316" t="s">
        <v>24</v>
      </c>
      <c r="E44" s="334" t="s">
        <v>331</v>
      </c>
      <c r="F44" s="386"/>
      <c r="G44" s="318"/>
      <c r="H44" s="318"/>
      <c r="I44" s="318"/>
      <c r="J44" s="319"/>
      <c r="K44" s="318"/>
      <c r="L44" s="318"/>
      <c r="M44" s="318"/>
      <c r="N44" s="318"/>
      <c r="O44" s="318"/>
      <c r="P44" s="318"/>
      <c r="Q44" s="319"/>
      <c r="R44" s="318"/>
      <c r="S44" s="318"/>
      <c r="T44" s="318"/>
      <c r="U44" s="318"/>
      <c r="V44" s="318"/>
      <c r="W44" s="319"/>
      <c r="X44" s="318"/>
      <c r="Y44" s="318"/>
      <c r="Z44" s="318"/>
      <c r="AA44" s="318"/>
      <c r="AB44" s="318"/>
      <c r="AC44" s="318"/>
      <c r="AD44" s="319"/>
      <c r="AE44" s="318"/>
      <c r="AF44" s="318"/>
      <c r="AG44" s="318"/>
      <c r="AH44" s="318"/>
      <c r="AI44" s="318"/>
      <c r="AJ44" s="387"/>
      <c r="AK44" s="292">
        <f t="shared" si="8"/>
        <v>0</v>
      </c>
      <c r="AL44" s="293">
        <f>AL43</f>
        <v>0.75</v>
      </c>
      <c r="AM44" s="370">
        <f t="shared" si="7"/>
        <v>1</v>
      </c>
      <c r="AN44" s="615"/>
      <c r="AO44" s="286">
        <f t="shared" si="2"/>
        <v>0</v>
      </c>
    </row>
    <row r="45" spans="1:43" s="286" customFormat="1" ht="27.75" customHeight="1">
      <c r="A45" s="287">
        <v>19</v>
      </c>
      <c r="B45" s="462"/>
      <c r="C45" s="304"/>
      <c r="D45" s="327" t="s">
        <v>25</v>
      </c>
      <c r="E45" s="388" t="s">
        <v>332</v>
      </c>
      <c r="F45" s="304"/>
      <c r="G45" s="304"/>
      <c r="H45" s="304"/>
      <c r="I45" s="304"/>
      <c r="J45" s="305"/>
      <c r="K45" s="304"/>
      <c r="L45" s="304"/>
      <c r="M45" s="304"/>
      <c r="N45" s="304"/>
      <c r="O45" s="304"/>
      <c r="P45" s="304"/>
      <c r="Q45" s="305"/>
      <c r="R45" s="304"/>
      <c r="S45" s="304"/>
      <c r="T45" s="304"/>
      <c r="U45" s="304"/>
      <c r="V45" s="304"/>
      <c r="W45" s="305"/>
      <c r="X45" s="304"/>
      <c r="Y45" s="304"/>
      <c r="Z45" s="304"/>
      <c r="AA45" s="304"/>
      <c r="AB45" s="304"/>
      <c r="AC45" s="304"/>
      <c r="AD45" s="305"/>
      <c r="AE45" s="304"/>
      <c r="AF45" s="304"/>
      <c r="AG45" s="304"/>
      <c r="AH45" s="304"/>
      <c r="AI45" s="304"/>
      <c r="AJ45" s="306"/>
      <c r="AK45" s="292">
        <f t="shared" si="8"/>
        <v>0</v>
      </c>
      <c r="AL45" s="293">
        <f t="shared" si="9"/>
        <v>0.75</v>
      </c>
      <c r="AM45" s="370">
        <f t="shared" si="7"/>
        <v>1</v>
      </c>
      <c r="AN45" s="615"/>
      <c r="AO45" s="286">
        <f>COUNTIF(F45:AI45, 1)+COUNTIF(F45:AI45, 2)+COUNTIF(F45:AI45,3)</f>
        <v>0</v>
      </c>
      <c r="AP45" s="286" t="s">
        <v>60</v>
      </c>
    </row>
    <row r="46" spans="1:43" s="286" customFormat="1" ht="27.75" customHeight="1">
      <c r="A46" s="287">
        <v>20</v>
      </c>
      <c r="B46" s="461"/>
      <c r="C46" s="290"/>
      <c r="D46" s="389" t="s">
        <v>204</v>
      </c>
      <c r="E46" s="388" t="s">
        <v>332</v>
      </c>
      <c r="F46" s="290"/>
      <c r="G46" s="290"/>
      <c r="H46" s="290"/>
      <c r="I46" s="290"/>
      <c r="J46" s="309"/>
      <c r="K46" s="290"/>
      <c r="L46" s="290"/>
      <c r="M46" s="290"/>
      <c r="N46" s="290"/>
      <c r="O46" s="290"/>
      <c r="P46" s="290"/>
      <c r="Q46" s="309"/>
      <c r="R46" s="290"/>
      <c r="S46" s="290"/>
      <c r="T46" s="290"/>
      <c r="U46" s="290"/>
      <c r="V46" s="290"/>
      <c r="W46" s="309"/>
      <c r="X46" s="290"/>
      <c r="Y46" s="290"/>
      <c r="Z46" s="290"/>
      <c r="AA46" s="290"/>
      <c r="AB46" s="290"/>
      <c r="AC46" s="290"/>
      <c r="AD46" s="309"/>
      <c r="AE46" s="290"/>
      <c r="AF46" s="290"/>
      <c r="AG46" s="290"/>
      <c r="AH46" s="290"/>
      <c r="AI46" s="290"/>
      <c r="AJ46" s="291"/>
      <c r="AK46" s="292">
        <f t="shared" si="8"/>
        <v>0</v>
      </c>
      <c r="AL46" s="293">
        <f t="shared" si="9"/>
        <v>0.75</v>
      </c>
      <c r="AM46" s="370">
        <f t="shared" si="7"/>
        <v>1</v>
      </c>
      <c r="AN46" s="615"/>
      <c r="AO46" s="286">
        <f t="shared" si="2"/>
        <v>0</v>
      </c>
    </row>
    <row r="47" spans="1:43" s="286" customFormat="1" ht="27.75" customHeight="1">
      <c r="A47" s="287">
        <v>21</v>
      </c>
      <c r="B47" s="429"/>
      <c r="C47" s="313"/>
      <c r="D47" s="390" t="s">
        <v>26</v>
      </c>
      <c r="E47" s="372" t="s">
        <v>332</v>
      </c>
      <c r="F47" s="313"/>
      <c r="G47" s="313"/>
      <c r="H47" s="313"/>
      <c r="I47" s="313"/>
      <c r="J47" s="314"/>
      <c r="K47" s="313"/>
      <c r="L47" s="313"/>
      <c r="M47" s="313"/>
      <c r="N47" s="313"/>
      <c r="O47" s="313"/>
      <c r="P47" s="313"/>
      <c r="Q47" s="314"/>
      <c r="R47" s="313"/>
      <c r="S47" s="313"/>
      <c r="T47" s="313"/>
      <c r="U47" s="313"/>
      <c r="V47" s="313"/>
      <c r="W47" s="314"/>
      <c r="X47" s="313"/>
      <c r="Y47" s="333"/>
      <c r="Z47" s="313"/>
      <c r="AA47" s="313"/>
      <c r="AB47" s="313"/>
      <c r="AC47" s="313"/>
      <c r="AD47" s="314"/>
      <c r="AE47" s="313"/>
      <c r="AF47" s="313"/>
      <c r="AG47" s="313"/>
      <c r="AH47" s="313"/>
      <c r="AI47" s="313"/>
      <c r="AJ47" s="315"/>
      <c r="AK47" s="292">
        <f t="shared" si="8"/>
        <v>0</v>
      </c>
      <c r="AL47" s="293">
        <f>AL45</f>
        <v>0.75</v>
      </c>
      <c r="AM47" s="370">
        <f>RANK(AK47,$AK$5:$AK$99)</f>
        <v>1</v>
      </c>
      <c r="AN47" s="615"/>
      <c r="AO47" s="286">
        <f t="shared" si="2"/>
        <v>0</v>
      </c>
    </row>
    <row r="48" spans="1:43" ht="27.75" customHeight="1">
      <c r="A48" s="287">
        <v>22</v>
      </c>
      <c r="B48" s="463"/>
      <c r="C48" s="318"/>
      <c r="D48" s="382" t="s">
        <v>315</v>
      </c>
      <c r="E48" s="303" t="s">
        <v>333</v>
      </c>
      <c r="F48" s="386"/>
      <c r="G48" s="318"/>
      <c r="H48" s="318"/>
      <c r="I48" s="318"/>
      <c r="J48" s="319"/>
      <c r="K48" s="318"/>
      <c r="L48" s="318"/>
      <c r="M48" s="318"/>
      <c r="N48" s="318"/>
      <c r="O48" s="318"/>
      <c r="P48" s="318"/>
      <c r="Q48" s="319"/>
      <c r="R48" s="318"/>
      <c r="S48" s="320"/>
      <c r="T48" s="335"/>
      <c r="U48" s="336"/>
      <c r="V48" s="318"/>
      <c r="W48" s="319"/>
      <c r="X48" s="318"/>
      <c r="Y48" s="318"/>
      <c r="Z48" s="318"/>
      <c r="AA48" s="318"/>
      <c r="AB48" s="318"/>
      <c r="AC48" s="318"/>
      <c r="AD48" s="319"/>
      <c r="AE48" s="318"/>
      <c r="AF48" s="318"/>
      <c r="AG48" s="318"/>
      <c r="AH48" s="318"/>
      <c r="AI48" s="318"/>
      <c r="AJ48" s="320"/>
      <c r="AK48" s="292">
        <f t="shared" si="8"/>
        <v>0</v>
      </c>
      <c r="AL48" s="293">
        <f>AL42</f>
        <v>0.75</v>
      </c>
      <c r="AM48" s="370">
        <f>RANK(AK48,$AK$5:$AK$99)</f>
        <v>1</v>
      </c>
      <c r="AN48" s="615"/>
      <c r="AO48" s="286">
        <f t="shared" si="2"/>
        <v>0</v>
      </c>
      <c r="AP48" s="286"/>
      <c r="AQ48" s="286"/>
    </row>
    <row r="49" spans="1:43" s="286" customFormat="1" ht="27.75" customHeight="1">
      <c r="A49" s="287">
        <v>23</v>
      </c>
      <c r="B49" s="463"/>
      <c r="C49" s="290"/>
      <c r="D49" s="379" t="s">
        <v>292</v>
      </c>
      <c r="E49" s="391" t="s">
        <v>334</v>
      </c>
      <c r="F49" s="392"/>
      <c r="G49" s="290"/>
      <c r="H49" s="290"/>
      <c r="I49" s="290"/>
      <c r="J49" s="309"/>
      <c r="K49" s="290"/>
      <c r="L49" s="290"/>
      <c r="M49" s="290"/>
      <c r="N49" s="290"/>
      <c r="O49" s="290"/>
      <c r="P49" s="290"/>
      <c r="Q49" s="309"/>
      <c r="R49" s="290"/>
      <c r="S49" s="290"/>
      <c r="T49" s="304"/>
      <c r="U49" s="290"/>
      <c r="V49" s="290"/>
      <c r="W49" s="309"/>
      <c r="X49" s="290"/>
      <c r="Y49" s="290"/>
      <c r="Z49" s="290"/>
      <c r="AA49" s="290"/>
      <c r="AB49" s="290"/>
      <c r="AC49" s="290"/>
      <c r="AD49" s="309"/>
      <c r="AE49" s="290"/>
      <c r="AF49" s="290"/>
      <c r="AG49" s="290"/>
      <c r="AH49" s="290"/>
      <c r="AI49" s="290"/>
      <c r="AJ49" s="291"/>
      <c r="AK49" s="292">
        <f t="shared" si="8"/>
        <v>0</v>
      </c>
      <c r="AL49" s="293">
        <f>AL39</f>
        <v>0.75</v>
      </c>
      <c r="AM49" s="294">
        <f>RANK(AK49,$AK$5:$AK$99)</f>
        <v>1</v>
      </c>
      <c r="AN49" s="615"/>
      <c r="AO49" s="286">
        <f t="shared" si="2"/>
        <v>0</v>
      </c>
    </row>
    <row r="50" spans="1:43" s="286" customFormat="1" ht="27.75" customHeight="1">
      <c r="A50" s="287">
        <v>24</v>
      </c>
      <c r="B50" s="461"/>
      <c r="C50" s="333"/>
      <c r="D50" s="307" t="s">
        <v>27</v>
      </c>
      <c r="E50" s="393" t="s">
        <v>334</v>
      </c>
      <c r="F50" s="394"/>
      <c r="G50" s="333"/>
      <c r="H50" s="333"/>
      <c r="I50" s="333"/>
      <c r="J50" s="314"/>
      <c r="K50" s="333"/>
      <c r="L50" s="333"/>
      <c r="M50" s="333"/>
      <c r="N50" s="333"/>
      <c r="O50" s="333"/>
      <c r="P50" s="333"/>
      <c r="Q50" s="314"/>
      <c r="R50" s="333"/>
      <c r="S50" s="333"/>
      <c r="T50" s="333"/>
      <c r="U50" s="333"/>
      <c r="V50" s="333"/>
      <c r="W50" s="314"/>
      <c r="X50" s="333"/>
      <c r="Y50" s="333"/>
      <c r="Z50" s="333"/>
      <c r="AA50" s="333"/>
      <c r="AB50" s="333"/>
      <c r="AC50" s="333"/>
      <c r="AD50" s="314"/>
      <c r="AE50" s="333"/>
      <c r="AF50" s="333"/>
      <c r="AG50" s="333"/>
      <c r="AH50" s="333"/>
      <c r="AI50" s="333"/>
      <c r="AJ50" s="340"/>
      <c r="AK50" s="292">
        <f t="shared" si="8"/>
        <v>0</v>
      </c>
      <c r="AL50" s="293">
        <f t="shared" si="9"/>
        <v>0.75</v>
      </c>
      <c r="AM50" s="294">
        <f>RANK(AK50,$AK$5:$AK$99)</f>
        <v>1</v>
      </c>
      <c r="AN50" s="615"/>
      <c r="AO50" s="286">
        <f t="shared" si="2"/>
        <v>0</v>
      </c>
    </row>
    <row r="51" spans="1:43" s="286" customFormat="1" ht="27.75" customHeight="1" thickBot="1">
      <c r="A51" s="341">
        <v>25</v>
      </c>
      <c r="B51" s="429"/>
      <c r="C51" s="344"/>
      <c r="D51" s="395" t="s">
        <v>28</v>
      </c>
      <c r="E51" s="396" t="s">
        <v>334</v>
      </c>
      <c r="F51" s="397"/>
      <c r="G51" s="344"/>
      <c r="H51" s="344"/>
      <c r="I51" s="344"/>
      <c r="J51" s="345"/>
      <c r="K51" s="344"/>
      <c r="L51" s="344"/>
      <c r="M51" s="344"/>
      <c r="N51" s="344"/>
      <c r="O51" s="344"/>
      <c r="P51" s="344"/>
      <c r="Q51" s="345"/>
      <c r="R51" s="344"/>
      <c r="S51" s="344"/>
      <c r="T51" s="344"/>
      <c r="U51" s="344"/>
      <c r="V51" s="344"/>
      <c r="W51" s="345"/>
      <c r="X51" s="344"/>
      <c r="Y51" s="344"/>
      <c r="Z51" s="344"/>
      <c r="AA51" s="344"/>
      <c r="AB51" s="344"/>
      <c r="AC51" s="344"/>
      <c r="AD51" s="345"/>
      <c r="AE51" s="344"/>
      <c r="AF51" s="344"/>
      <c r="AG51" s="344"/>
      <c r="AH51" s="344"/>
      <c r="AI51" s="344"/>
      <c r="AJ51" s="346"/>
      <c r="AK51" s="292">
        <f t="shared" si="8"/>
        <v>0</v>
      </c>
      <c r="AL51" s="347">
        <f t="shared" si="9"/>
        <v>0.75</v>
      </c>
      <c r="AM51" s="348">
        <f>RANK(AK51,$AK$5:$AK$99)</f>
        <v>1</v>
      </c>
      <c r="AN51" s="616"/>
      <c r="AO51" s="286">
        <f t="shared" si="2"/>
        <v>0</v>
      </c>
      <c r="AQ51"/>
    </row>
    <row r="52" spans="1:43" ht="27.75" customHeight="1" thickTop="1" thickBot="1">
      <c r="A52" s="617" t="s">
        <v>16</v>
      </c>
      <c r="B52" s="602"/>
      <c r="C52" s="602"/>
      <c r="D52" s="602"/>
      <c r="E52" s="603"/>
      <c r="F52" s="349" t="e">
        <f t="shared" ref="F52:AJ52" si="10">(COUNTIF(F32:F51, "1")+COUNTIF(F32:F51, "2")+COUNTIF(F32:F51, "3")+COUNTIF(F32:F51, "VL")+COUNTIF(F32:F51, "R"))/(SUM(COUNTIF(F32:F51, "x")+COUNTIF(F32:F51, "1")+COUNTIF(F32:F51, "2")+COUNTIF(F32:F51, "3")+COUNTIF(F32:F51, "VL")+COUNTIF(F32:F51, "R")))</f>
        <v>#DIV/0!</v>
      </c>
      <c r="G52" s="349" t="e">
        <f t="shared" si="10"/>
        <v>#DIV/0!</v>
      </c>
      <c r="H52" s="349" t="e">
        <f t="shared" si="10"/>
        <v>#DIV/0!</v>
      </c>
      <c r="I52" s="349" t="e">
        <f t="shared" si="10"/>
        <v>#DIV/0!</v>
      </c>
      <c r="J52" s="349" t="e">
        <f t="shared" si="10"/>
        <v>#DIV/0!</v>
      </c>
      <c r="K52" s="349" t="e">
        <f t="shared" si="10"/>
        <v>#DIV/0!</v>
      </c>
      <c r="L52" s="349" t="e">
        <f t="shared" si="10"/>
        <v>#DIV/0!</v>
      </c>
      <c r="M52" s="349" t="e">
        <f t="shared" si="10"/>
        <v>#DIV/0!</v>
      </c>
      <c r="N52" s="349" t="e">
        <f t="shared" si="10"/>
        <v>#DIV/0!</v>
      </c>
      <c r="O52" s="349" t="e">
        <f t="shared" si="10"/>
        <v>#DIV/0!</v>
      </c>
      <c r="P52" s="349" t="e">
        <f t="shared" si="10"/>
        <v>#DIV/0!</v>
      </c>
      <c r="Q52" s="349" t="e">
        <f t="shared" si="10"/>
        <v>#DIV/0!</v>
      </c>
      <c r="R52" s="349" t="e">
        <f t="shared" si="10"/>
        <v>#DIV/0!</v>
      </c>
      <c r="S52" s="349" t="e">
        <f t="shared" si="10"/>
        <v>#DIV/0!</v>
      </c>
      <c r="T52" s="349" t="e">
        <f t="shared" si="10"/>
        <v>#DIV/0!</v>
      </c>
      <c r="U52" s="349" t="e">
        <f t="shared" si="10"/>
        <v>#DIV/0!</v>
      </c>
      <c r="V52" s="349" t="e">
        <f t="shared" si="10"/>
        <v>#DIV/0!</v>
      </c>
      <c r="W52" s="349" t="e">
        <f t="shared" si="10"/>
        <v>#DIV/0!</v>
      </c>
      <c r="X52" s="349" t="e">
        <f t="shared" si="10"/>
        <v>#DIV/0!</v>
      </c>
      <c r="Y52" s="349" t="e">
        <f t="shared" si="10"/>
        <v>#DIV/0!</v>
      </c>
      <c r="Z52" s="349" t="e">
        <f t="shared" si="10"/>
        <v>#DIV/0!</v>
      </c>
      <c r="AA52" s="349" t="e">
        <f t="shared" si="10"/>
        <v>#DIV/0!</v>
      </c>
      <c r="AB52" s="398" t="e">
        <f t="shared" si="10"/>
        <v>#DIV/0!</v>
      </c>
      <c r="AC52" s="349" t="e">
        <f t="shared" si="10"/>
        <v>#DIV/0!</v>
      </c>
      <c r="AD52" s="349" t="e">
        <f t="shared" si="10"/>
        <v>#DIV/0!</v>
      </c>
      <c r="AE52" s="349" t="e">
        <f t="shared" si="10"/>
        <v>#DIV/0!</v>
      </c>
      <c r="AF52" s="349" t="e">
        <f t="shared" si="10"/>
        <v>#DIV/0!</v>
      </c>
      <c r="AG52" s="349" t="e">
        <f t="shared" si="10"/>
        <v>#DIV/0!</v>
      </c>
      <c r="AH52" s="349" t="e">
        <f t="shared" si="10"/>
        <v>#DIV/0!</v>
      </c>
      <c r="AI52" s="349" t="e">
        <f t="shared" si="10"/>
        <v>#DIV/0!</v>
      </c>
      <c r="AJ52" s="349" t="e">
        <f t="shared" si="10"/>
        <v>#DIV/0!</v>
      </c>
      <c r="AK52" s="350"/>
      <c r="AL52" s="351"/>
      <c r="AM52" s="399"/>
      <c r="AN52" s="352"/>
      <c r="AO52" s="286"/>
      <c r="AP52" s="286">
        <f>SUM(AO25:AO51)</f>
        <v>0</v>
      </c>
      <c r="AQ52" s="286"/>
    </row>
    <row r="53" spans="1:43" s="286" customFormat="1" ht="27.75" customHeight="1" thickTop="1">
      <c r="A53" s="278">
        <v>1</v>
      </c>
      <c r="B53" s="463"/>
      <c r="C53" s="354"/>
      <c r="D53" s="400" t="s">
        <v>37</v>
      </c>
      <c r="E53" s="401" t="s">
        <v>324</v>
      </c>
      <c r="F53" s="354"/>
      <c r="G53" s="354"/>
      <c r="H53" s="354"/>
      <c r="I53" s="354"/>
      <c r="J53" s="354"/>
      <c r="K53" s="354"/>
      <c r="L53" s="354"/>
      <c r="M53" s="354"/>
      <c r="N53" s="354"/>
      <c r="O53" s="354"/>
      <c r="P53" s="354"/>
      <c r="Q53" s="354"/>
      <c r="R53" s="354"/>
      <c r="S53" s="354"/>
      <c r="T53" s="354"/>
      <c r="U53" s="354"/>
      <c r="V53" s="354"/>
      <c r="W53" s="354"/>
      <c r="X53" s="354"/>
      <c r="Y53" s="354"/>
      <c r="Z53" s="354"/>
      <c r="AA53" s="354"/>
      <c r="AB53" s="355"/>
      <c r="AC53" s="354"/>
      <c r="AD53" s="354"/>
      <c r="AE53" s="354"/>
      <c r="AF53" s="354"/>
      <c r="AG53" s="354"/>
      <c r="AH53" s="354"/>
      <c r="AI53" s="354"/>
      <c r="AJ53" s="356"/>
      <c r="AK53" s="357"/>
      <c r="AL53" s="284"/>
      <c r="AM53" s="402"/>
      <c r="AN53" s="618">
        <f>AVERAGE(AK54:AK75)</f>
        <v>0</v>
      </c>
      <c r="AO53" s="286">
        <f t="shared" si="2"/>
        <v>0</v>
      </c>
    </row>
    <row r="54" spans="1:43" s="286" customFormat="1" ht="27.75" customHeight="1">
      <c r="A54" s="287">
        <f>A53+1</f>
        <v>2</v>
      </c>
      <c r="B54" s="462"/>
      <c r="C54" s="290"/>
      <c r="D54" s="366" t="s">
        <v>38</v>
      </c>
      <c r="E54" s="376" t="s">
        <v>327</v>
      </c>
      <c r="F54" s="290"/>
      <c r="G54" s="290"/>
      <c r="H54" s="290"/>
      <c r="I54" s="290"/>
      <c r="J54" s="290"/>
      <c r="K54" s="290"/>
      <c r="L54" s="290"/>
      <c r="M54" s="290"/>
      <c r="N54" s="290"/>
      <c r="O54" s="290"/>
      <c r="P54" s="290"/>
      <c r="Q54" s="290"/>
      <c r="R54" s="290"/>
      <c r="S54" s="290"/>
      <c r="T54" s="290"/>
      <c r="U54" s="290"/>
      <c r="V54" s="290"/>
      <c r="W54" s="290"/>
      <c r="X54" s="290"/>
      <c r="Y54" s="290"/>
      <c r="Z54" s="290"/>
      <c r="AA54" s="290"/>
      <c r="AB54" s="290"/>
      <c r="AC54" s="290"/>
      <c r="AD54" s="290"/>
      <c r="AE54" s="290"/>
      <c r="AF54" s="290"/>
      <c r="AG54" s="290"/>
      <c r="AH54" s="290"/>
      <c r="AI54" s="290"/>
      <c r="AJ54" s="291"/>
      <c r="AK54" s="292">
        <f>(COUNTIF(F54:AJ54, "1")+COUNTIF(F54:AJ54, "2")+COUNTIF(F54:AJ54, "3"))/(SUM(COUNTIF(F54:AJ54, "x")+COUNTIF(F54:AJ54, "1")+COUNTIF(F54:AJ54, "2")+COUNTIF(F54:AJ54, "3")+COUNTIF(F54:AJ54, "")+COUNTIF(F54:AJ54, "SL")+COUNTIF(F54:AJ54, "EL")))</f>
        <v>0</v>
      </c>
      <c r="AL54" s="293">
        <v>0.75</v>
      </c>
      <c r="AM54" s="403">
        <f>RANK(AK54,$AK$5:$AK$99)</f>
        <v>1</v>
      </c>
      <c r="AN54" s="619"/>
      <c r="AO54" s="286">
        <f t="shared" si="2"/>
        <v>0</v>
      </c>
    </row>
    <row r="55" spans="1:43" ht="27.75" customHeight="1">
      <c r="A55" s="287">
        <v>3</v>
      </c>
      <c r="B55" s="462"/>
      <c r="C55" s="299"/>
      <c r="D55" s="404" t="s">
        <v>317</v>
      </c>
      <c r="E55" s="298" t="s">
        <v>327</v>
      </c>
      <c r="F55" s="299"/>
      <c r="G55" s="299"/>
      <c r="H55" s="299"/>
      <c r="I55" s="299"/>
      <c r="J55" s="300"/>
      <c r="K55" s="299"/>
      <c r="L55" s="299"/>
      <c r="M55" s="299"/>
      <c r="N55" s="299"/>
      <c r="O55" s="299"/>
      <c r="P55" s="299"/>
      <c r="Q55" s="300"/>
      <c r="R55" s="299"/>
      <c r="S55" s="299"/>
      <c r="T55" s="299"/>
      <c r="U55" s="299"/>
      <c r="V55" s="299"/>
      <c r="W55" s="300"/>
      <c r="X55" s="299"/>
      <c r="Y55" s="299"/>
      <c r="Z55" s="299"/>
      <c r="AA55" s="299"/>
      <c r="AB55" s="299"/>
      <c r="AC55" s="299"/>
      <c r="AD55" s="300"/>
      <c r="AE55" s="299"/>
      <c r="AF55" s="299"/>
      <c r="AG55" s="299"/>
      <c r="AH55" s="299"/>
      <c r="AI55" s="299"/>
      <c r="AJ55" s="301"/>
      <c r="AK55" s="292">
        <f t="shared" ref="AK55:AK75" si="11">(COUNTIF(F55:AJ55, "1")+COUNTIF(F55:AJ55, "2")+COUNTIF(F55:AJ55, "3"))/(SUM(COUNTIF(F55:AJ55, "x")+COUNTIF(F55:AJ55, "1")+COUNTIF(F55:AJ55, "2")+COUNTIF(F55:AJ55, "3")+COUNTIF(F55:AJ55, "")+COUNTIF(F55:AJ55, "SL")+COUNTIF(F55:AJ55, "EL")))</f>
        <v>0</v>
      </c>
      <c r="AL55" s="293">
        <f>AL54</f>
        <v>0.75</v>
      </c>
      <c r="AM55" s="403">
        <f>RANK(AK55,$AK$5:$AK$99)</f>
        <v>1</v>
      </c>
      <c r="AN55" s="619"/>
      <c r="AO55" s="286">
        <f t="shared" si="2"/>
        <v>0</v>
      </c>
    </row>
    <row r="56" spans="1:43" s="286" customFormat="1" ht="27.75" customHeight="1">
      <c r="A56" s="287">
        <f t="shared" ref="A56:A75" si="12">A55+1</f>
        <v>4</v>
      </c>
      <c r="B56" s="463"/>
      <c r="C56" s="304"/>
      <c r="D56" s="382" t="s">
        <v>39</v>
      </c>
      <c r="E56" s="303" t="s">
        <v>328</v>
      </c>
      <c r="F56" s="304"/>
      <c r="G56" s="304"/>
      <c r="H56" s="304"/>
      <c r="I56" s="304"/>
      <c r="J56" s="305"/>
      <c r="K56" s="304"/>
      <c r="L56" s="304"/>
      <c r="M56" s="304"/>
      <c r="N56" s="304"/>
      <c r="O56" s="304"/>
      <c r="P56" s="304"/>
      <c r="Q56" s="305"/>
      <c r="R56" s="304"/>
      <c r="S56" s="304"/>
      <c r="T56" s="304"/>
      <c r="U56" s="304"/>
      <c r="V56" s="304"/>
      <c r="W56" s="305"/>
      <c r="X56" s="304"/>
      <c r="Y56" s="304"/>
      <c r="Z56" s="304"/>
      <c r="AA56" s="304"/>
      <c r="AB56" s="304"/>
      <c r="AC56" s="304"/>
      <c r="AD56" s="305"/>
      <c r="AE56" s="304"/>
      <c r="AF56" s="304"/>
      <c r="AG56" s="304"/>
      <c r="AH56" s="304"/>
      <c r="AI56" s="304"/>
      <c r="AJ56" s="306"/>
      <c r="AK56" s="292">
        <f t="shared" si="11"/>
        <v>0</v>
      </c>
      <c r="AL56" s="293">
        <f>AL55</f>
        <v>0.75</v>
      </c>
      <c r="AM56" s="403">
        <f>RANK(AK56,$AK$5:$AK$99)</f>
        <v>1</v>
      </c>
      <c r="AN56" s="619"/>
      <c r="AO56" s="286">
        <f t="shared" si="2"/>
        <v>0</v>
      </c>
    </row>
    <row r="57" spans="1:43" s="286" customFormat="1" ht="27.75" customHeight="1">
      <c r="A57" s="287">
        <f t="shared" si="12"/>
        <v>5</v>
      </c>
      <c r="B57" s="461"/>
      <c r="C57" s="290"/>
      <c r="D57" s="405" t="s">
        <v>300</v>
      </c>
      <c r="E57" s="369" t="s">
        <v>328</v>
      </c>
      <c r="F57" s="290"/>
      <c r="G57" s="290"/>
      <c r="H57" s="290"/>
      <c r="I57" s="290"/>
      <c r="J57" s="309"/>
      <c r="K57" s="290"/>
      <c r="L57" s="290"/>
      <c r="M57" s="290"/>
      <c r="N57" s="290"/>
      <c r="O57" s="290"/>
      <c r="P57" s="290"/>
      <c r="Q57" s="309"/>
      <c r="R57" s="290"/>
      <c r="S57" s="290"/>
      <c r="T57" s="290"/>
      <c r="U57" s="290"/>
      <c r="V57" s="290"/>
      <c r="W57" s="309"/>
      <c r="X57" s="290"/>
      <c r="Y57" s="290"/>
      <c r="Z57" s="290"/>
      <c r="AA57" s="290"/>
      <c r="AB57" s="290"/>
      <c r="AC57" s="290"/>
      <c r="AD57" s="309"/>
      <c r="AE57" s="290"/>
      <c r="AF57" s="290"/>
      <c r="AG57" s="290"/>
      <c r="AH57" s="290"/>
      <c r="AI57" s="290"/>
      <c r="AJ57" s="291"/>
      <c r="AK57" s="292">
        <f t="shared" si="11"/>
        <v>0</v>
      </c>
      <c r="AL57" s="293">
        <f t="shared" si="9"/>
        <v>0.75</v>
      </c>
      <c r="AM57" s="403">
        <f>RANK(AK57,$AK$5:$AK$99)</f>
        <v>1</v>
      </c>
      <c r="AN57" s="619"/>
      <c r="AO57" s="286">
        <f t="shared" si="2"/>
        <v>0</v>
      </c>
    </row>
    <row r="58" spans="1:43" s="286" customFormat="1" ht="27.75" customHeight="1">
      <c r="A58" s="287">
        <f t="shared" si="12"/>
        <v>6</v>
      </c>
      <c r="B58" s="461"/>
      <c r="C58" s="290"/>
      <c r="D58" s="405" t="s">
        <v>309</v>
      </c>
      <c r="E58" s="369" t="s">
        <v>328</v>
      </c>
      <c r="F58" s="290"/>
      <c r="G58" s="290"/>
      <c r="H58" s="290"/>
      <c r="I58" s="290"/>
      <c r="J58" s="309"/>
      <c r="K58" s="290"/>
      <c r="L58" s="290"/>
      <c r="M58" s="290"/>
      <c r="N58" s="290"/>
      <c r="O58" s="290"/>
      <c r="P58" s="290"/>
      <c r="Q58" s="309"/>
      <c r="R58" s="290"/>
      <c r="S58" s="290"/>
      <c r="T58" s="290"/>
      <c r="U58" s="290"/>
      <c r="V58" s="290"/>
      <c r="W58" s="309"/>
      <c r="X58" s="290"/>
      <c r="Y58" s="290"/>
      <c r="Z58" s="290"/>
      <c r="AA58" s="290"/>
      <c r="AB58" s="290"/>
      <c r="AC58" s="290"/>
      <c r="AD58" s="309"/>
      <c r="AE58" s="290"/>
      <c r="AF58" s="290"/>
      <c r="AG58" s="290"/>
      <c r="AH58" s="290"/>
      <c r="AI58" s="290"/>
      <c r="AJ58" s="291"/>
      <c r="AK58" s="292">
        <f>(COUNTIF(X58:AJ58, "1")+COUNTIF(X58:AJ58, "2")+COUNTIF(X58:AJ58, "3"))/(SUM(COUNTIF(X58:AJ58, "x")+COUNTIF(X58:AJ58, "1")+COUNTIF(X58:AJ58, "2")+COUNTIF(X58:AJ58, "3")+COUNTIF(X58:AJ58, "")+COUNTIF(X58:AJ58, "SL")+COUNTIF(X58:AJ58, "EL")))</f>
        <v>0</v>
      </c>
      <c r="AL58" s="293">
        <v>0.75</v>
      </c>
      <c r="AM58" s="403">
        <f>RANK(AK58,$AK$5:$AK$99)</f>
        <v>1</v>
      </c>
      <c r="AN58" s="619"/>
      <c r="AO58" s="286">
        <f t="shared" si="2"/>
        <v>0</v>
      </c>
    </row>
    <row r="59" spans="1:43" s="286" customFormat="1" ht="27.75" customHeight="1">
      <c r="A59" s="287">
        <f t="shared" si="12"/>
        <v>7</v>
      </c>
      <c r="B59" s="461"/>
      <c r="C59" s="290"/>
      <c r="D59" s="307" t="s">
        <v>308</v>
      </c>
      <c r="E59" s="406" t="s">
        <v>329</v>
      </c>
      <c r="F59" s="290"/>
      <c r="G59" s="290"/>
      <c r="H59" s="290"/>
      <c r="I59" s="290"/>
      <c r="J59" s="309"/>
      <c r="K59" s="290"/>
      <c r="L59" s="290"/>
      <c r="M59" s="290"/>
      <c r="N59" s="290"/>
      <c r="O59" s="290"/>
      <c r="P59" s="290"/>
      <c r="Q59" s="309"/>
      <c r="R59" s="290"/>
      <c r="S59" s="290"/>
      <c r="T59" s="290"/>
      <c r="U59" s="290"/>
      <c r="V59" s="290"/>
      <c r="W59" s="309"/>
      <c r="X59" s="290"/>
      <c r="Y59" s="290"/>
      <c r="Z59" s="290"/>
      <c r="AA59" s="290"/>
      <c r="AB59" s="290"/>
      <c r="AC59" s="290"/>
      <c r="AD59" s="309"/>
      <c r="AE59" s="290"/>
      <c r="AF59" s="290"/>
      <c r="AG59" s="290"/>
      <c r="AH59" s="290"/>
      <c r="AI59" s="290"/>
      <c r="AJ59" s="291"/>
      <c r="AK59" s="292">
        <f>(COUNTIF(F59:AJ59, "1")+COUNTIF(F59:AJ59, "2")+COUNTIF(F59:AJ59, "3"))/(SUM(COUNTIF(F59:AJ59, "x")+COUNTIF(F59:AJ59, "1")+COUNTIF(F59:AJ59, "2")+COUNTIF(F59:AJ59, "3")+COUNTIF(F59:AJ59, "")+COUNTIF(F59:AJ59, "SL")+COUNTIF(F59:AJ59, "EL")))</f>
        <v>0</v>
      </c>
      <c r="AL59" s="293">
        <f>AL57</f>
        <v>0.75</v>
      </c>
      <c r="AM59" s="403">
        <f t="shared" ref="AM59:AM75" si="13">RANK(AK59,$AK$5:$AK$99)</f>
        <v>1</v>
      </c>
      <c r="AN59" s="619"/>
      <c r="AO59" s="286">
        <f t="shared" si="2"/>
        <v>0</v>
      </c>
    </row>
    <row r="60" spans="1:43" s="286" customFormat="1" ht="27.75" customHeight="1">
      <c r="A60" s="287">
        <f t="shared" si="12"/>
        <v>8</v>
      </c>
      <c r="B60" s="461"/>
      <c r="C60" s="290"/>
      <c r="D60" s="407" t="s">
        <v>40</v>
      </c>
      <c r="E60" s="408" t="s">
        <v>329</v>
      </c>
      <c r="F60" s="290"/>
      <c r="G60" s="290"/>
      <c r="H60" s="290"/>
      <c r="I60" s="290"/>
      <c r="J60" s="309"/>
      <c r="K60" s="290"/>
      <c r="L60" s="290"/>
      <c r="M60" s="290"/>
      <c r="N60" s="290"/>
      <c r="O60" s="290"/>
      <c r="P60" s="290"/>
      <c r="Q60" s="309"/>
      <c r="R60" s="290"/>
      <c r="S60" s="290"/>
      <c r="T60" s="290"/>
      <c r="U60" s="290"/>
      <c r="V60" s="290"/>
      <c r="W60" s="309"/>
      <c r="X60" s="290"/>
      <c r="Y60" s="290"/>
      <c r="Z60" s="290"/>
      <c r="AA60" s="290"/>
      <c r="AB60" s="290"/>
      <c r="AC60" s="290"/>
      <c r="AD60" s="309"/>
      <c r="AE60" s="290"/>
      <c r="AF60" s="290"/>
      <c r="AG60" s="290"/>
      <c r="AH60" s="290"/>
      <c r="AI60" s="290"/>
      <c r="AJ60" s="291"/>
      <c r="AK60" s="292">
        <f t="shared" si="11"/>
        <v>0</v>
      </c>
      <c r="AL60" s="293">
        <f>AL59</f>
        <v>0.75</v>
      </c>
      <c r="AM60" s="403">
        <f t="shared" si="13"/>
        <v>1</v>
      </c>
      <c r="AN60" s="619"/>
      <c r="AO60" s="286">
        <f t="shared" si="2"/>
        <v>0</v>
      </c>
    </row>
    <row r="61" spans="1:43" s="286" customFormat="1" ht="27.75" customHeight="1">
      <c r="A61" s="287">
        <f t="shared" si="12"/>
        <v>9</v>
      </c>
      <c r="B61" s="462"/>
      <c r="C61" s="290"/>
      <c r="D61" s="327" t="s">
        <v>41</v>
      </c>
      <c r="E61" s="376" t="s">
        <v>329</v>
      </c>
      <c r="F61" s="290"/>
      <c r="G61" s="290"/>
      <c r="H61" s="290"/>
      <c r="I61" s="290"/>
      <c r="J61" s="309"/>
      <c r="K61" s="290"/>
      <c r="L61" s="290"/>
      <c r="M61" s="290"/>
      <c r="N61" s="290"/>
      <c r="O61" s="290"/>
      <c r="P61" s="290"/>
      <c r="Q61" s="309"/>
      <c r="R61" s="290"/>
      <c r="S61" s="290"/>
      <c r="T61" s="290"/>
      <c r="U61" s="290"/>
      <c r="V61" s="290"/>
      <c r="W61" s="309"/>
      <c r="X61" s="290"/>
      <c r="Y61" s="290"/>
      <c r="Z61" s="290"/>
      <c r="AA61" s="290"/>
      <c r="AB61" s="290"/>
      <c r="AC61" s="290"/>
      <c r="AD61" s="309"/>
      <c r="AE61" s="290"/>
      <c r="AF61" s="290"/>
      <c r="AG61" s="290"/>
      <c r="AH61" s="290"/>
      <c r="AI61" s="290"/>
      <c r="AJ61" s="291"/>
      <c r="AK61" s="292">
        <f t="shared" si="11"/>
        <v>0</v>
      </c>
      <c r="AL61" s="293">
        <f t="shared" si="9"/>
        <v>0.75</v>
      </c>
      <c r="AM61" s="403">
        <f t="shared" si="13"/>
        <v>1</v>
      </c>
      <c r="AN61" s="619"/>
      <c r="AO61" s="286">
        <f t="shared" si="2"/>
        <v>0</v>
      </c>
    </row>
    <row r="62" spans="1:43" s="286" customFormat="1" ht="27.75" customHeight="1">
      <c r="A62" s="287">
        <f t="shared" si="12"/>
        <v>10</v>
      </c>
      <c r="B62" s="462"/>
      <c r="C62" s="313"/>
      <c r="D62" s="409" t="s">
        <v>295</v>
      </c>
      <c r="E62" s="298" t="s">
        <v>329</v>
      </c>
      <c r="F62" s="313"/>
      <c r="G62" s="313"/>
      <c r="H62" s="313"/>
      <c r="I62" s="313"/>
      <c r="J62" s="314"/>
      <c r="K62" s="290"/>
      <c r="L62" s="290"/>
      <c r="M62" s="313"/>
      <c r="N62" s="313"/>
      <c r="O62" s="313"/>
      <c r="P62" s="313"/>
      <c r="Q62" s="314"/>
      <c r="R62" s="313"/>
      <c r="S62" s="290"/>
      <c r="T62" s="290"/>
      <c r="U62" s="313"/>
      <c r="V62" s="313"/>
      <c r="W62" s="314"/>
      <c r="X62" s="313"/>
      <c r="Y62" s="313"/>
      <c r="Z62" s="313"/>
      <c r="AA62" s="313"/>
      <c r="AB62" s="313"/>
      <c r="AC62" s="313"/>
      <c r="AD62" s="314"/>
      <c r="AE62" s="313"/>
      <c r="AF62" s="313"/>
      <c r="AG62" s="313"/>
      <c r="AH62" s="313"/>
      <c r="AI62" s="313"/>
      <c r="AJ62" s="315"/>
      <c r="AK62" s="292">
        <f t="shared" si="11"/>
        <v>0</v>
      </c>
      <c r="AL62" s="293">
        <f t="shared" si="9"/>
        <v>0.75</v>
      </c>
      <c r="AM62" s="403">
        <f t="shared" si="13"/>
        <v>1</v>
      </c>
      <c r="AN62" s="619"/>
      <c r="AO62" s="286">
        <f t="shared" si="2"/>
        <v>0</v>
      </c>
      <c r="AP62"/>
      <c r="AQ62"/>
    </row>
    <row r="63" spans="1:43" ht="27.75" customHeight="1">
      <c r="A63" s="287">
        <f t="shared" si="12"/>
        <v>11</v>
      </c>
      <c r="B63" s="463"/>
      <c r="C63" s="318"/>
      <c r="D63" s="382" t="s">
        <v>307</v>
      </c>
      <c r="E63" s="323" t="s">
        <v>330</v>
      </c>
      <c r="F63" s="318"/>
      <c r="G63" s="318"/>
      <c r="H63" s="318"/>
      <c r="I63" s="318"/>
      <c r="J63" s="319"/>
      <c r="K63" s="318"/>
      <c r="L63" s="318"/>
      <c r="M63" s="318"/>
      <c r="N63" s="318"/>
      <c r="O63" s="318"/>
      <c r="P63" s="318"/>
      <c r="Q63" s="319"/>
      <c r="R63" s="318"/>
      <c r="S63" s="318"/>
      <c r="T63" s="318"/>
      <c r="U63" s="318"/>
      <c r="V63" s="318"/>
      <c r="W63" s="319"/>
      <c r="X63" s="318"/>
      <c r="Y63" s="318"/>
      <c r="Z63" s="318"/>
      <c r="AA63" s="318"/>
      <c r="AB63" s="318"/>
      <c r="AC63" s="318"/>
      <c r="AD63" s="319"/>
      <c r="AE63" s="318"/>
      <c r="AF63" s="318"/>
      <c r="AG63" s="318"/>
      <c r="AH63" s="318"/>
      <c r="AI63" s="318"/>
      <c r="AJ63" s="320"/>
      <c r="AK63" s="292">
        <f t="shared" si="11"/>
        <v>0</v>
      </c>
      <c r="AL63" s="293">
        <f>AL62</f>
        <v>0.75</v>
      </c>
      <c r="AM63" s="403">
        <f t="shared" si="13"/>
        <v>1</v>
      </c>
      <c r="AN63" s="619"/>
      <c r="AO63" s="286">
        <f t="shared" si="2"/>
        <v>0</v>
      </c>
      <c r="AP63" s="286"/>
      <c r="AQ63" s="286"/>
    </row>
    <row r="64" spans="1:43" s="286" customFormat="1" ht="27.75" customHeight="1">
      <c r="A64" s="287">
        <f t="shared" si="12"/>
        <v>12</v>
      </c>
      <c r="B64" s="461"/>
      <c r="C64" s="304"/>
      <c r="D64" s="368" t="s">
        <v>42</v>
      </c>
      <c r="E64" s="369" t="s">
        <v>339</v>
      </c>
      <c r="F64" s="304"/>
      <c r="G64" s="304"/>
      <c r="H64" s="304"/>
      <c r="I64" s="304"/>
      <c r="J64" s="309"/>
      <c r="K64" s="304"/>
      <c r="L64" s="304"/>
      <c r="M64" s="304"/>
      <c r="N64" s="304"/>
      <c r="O64" s="304"/>
      <c r="P64" s="304"/>
      <c r="Q64" s="309"/>
      <c r="R64" s="304"/>
      <c r="S64" s="322"/>
      <c r="T64" s="304"/>
      <c r="U64" s="304"/>
      <c r="V64" s="304"/>
      <c r="W64" s="309"/>
      <c r="X64" s="304"/>
      <c r="Y64" s="304"/>
      <c r="Z64" s="304"/>
      <c r="AA64" s="304"/>
      <c r="AB64" s="304"/>
      <c r="AC64" s="304"/>
      <c r="AD64" s="309"/>
      <c r="AE64" s="304"/>
      <c r="AF64" s="304"/>
      <c r="AG64" s="304"/>
      <c r="AH64" s="304"/>
      <c r="AI64" s="304"/>
      <c r="AJ64" s="306"/>
      <c r="AK64" s="292">
        <f t="shared" si="11"/>
        <v>0</v>
      </c>
      <c r="AL64" s="293">
        <f>AL63</f>
        <v>0.75</v>
      </c>
      <c r="AM64" s="403">
        <f t="shared" si="13"/>
        <v>1</v>
      </c>
      <c r="AN64" s="619"/>
      <c r="AO64" s="286">
        <f t="shared" si="2"/>
        <v>0</v>
      </c>
    </row>
    <row r="65" spans="1:43" s="286" customFormat="1" ht="27.75" customHeight="1">
      <c r="A65" s="287">
        <f t="shared" si="12"/>
        <v>13</v>
      </c>
      <c r="B65" s="461"/>
      <c r="C65" s="304"/>
      <c r="D65" s="307" t="s">
        <v>43</v>
      </c>
      <c r="E65" s="374" t="s">
        <v>6</v>
      </c>
      <c r="F65" s="304"/>
      <c r="G65" s="304"/>
      <c r="H65" s="304"/>
      <c r="I65" s="304"/>
      <c r="J65" s="309"/>
      <c r="K65" s="304"/>
      <c r="L65" s="304"/>
      <c r="M65" s="304"/>
      <c r="N65" s="304"/>
      <c r="O65" s="304"/>
      <c r="P65" s="304"/>
      <c r="Q65" s="309"/>
      <c r="R65" s="304"/>
      <c r="S65" s="290"/>
      <c r="T65" s="304"/>
      <c r="U65" s="304"/>
      <c r="V65" s="304"/>
      <c r="W65" s="309"/>
      <c r="X65" s="304"/>
      <c r="Y65" s="304"/>
      <c r="Z65" s="304"/>
      <c r="AA65" s="304"/>
      <c r="AB65" s="304"/>
      <c r="AC65" s="304"/>
      <c r="AD65" s="309"/>
      <c r="AE65" s="304"/>
      <c r="AF65" s="304"/>
      <c r="AG65" s="304"/>
      <c r="AH65" s="304"/>
      <c r="AI65" s="304"/>
      <c r="AJ65" s="306"/>
      <c r="AK65" s="292">
        <f t="shared" si="11"/>
        <v>0</v>
      </c>
      <c r="AL65" s="293">
        <f t="shared" si="9"/>
        <v>0.75</v>
      </c>
      <c r="AM65" s="403">
        <f t="shared" si="13"/>
        <v>1</v>
      </c>
      <c r="AN65" s="619"/>
      <c r="AO65" s="286">
        <f t="shared" si="2"/>
        <v>0</v>
      </c>
    </row>
    <row r="66" spans="1:43" s="286" customFormat="1" ht="27.75" customHeight="1">
      <c r="A66" s="410">
        <f t="shared" si="12"/>
        <v>14</v>
      </c>
      <c r="B66" s="463"/>
      <c r="C66" s="304"/>
      <c r="D66" s="411" t="s">
        <v>154</v>
      </c>
      <c r="E66" s="339" t="s">
        <v>6</v>
      </c>
      <c r="F66" s="325"/>
      <c r="G66" s="325"/>
      <c r="H66" s="325"/>
      <c r="I66" s="304"/>
      <c r="J66" s="309"/>
      <c r="K66" s="325"/>
      <c r="L66" s="325"/>
      <c r="M66" s="325"/>
      <c r="N66" s="325"/>
      <c r="O66" s="325"/>
      <c r="P66" s="325"/>
      <c r="Q66" s="309"/>
      <c r="R66" s="325"/>
      <c r="S66" s="325"/>
      <c r="T66" s="325"/>
      <c r="U66" s="325"/>
      <c r="V66" s="325"/>
      <c r="W66" s="309"/>
      <c r="X66" s="325"/>
      <c r="Y66" s="325"/>
      <c r="Z66" s="325"/>
      <c r="AA66" s="325"/>
      <c r="AB66" s="325"/>
      <c r="AC66" s="325"/>
      <c r="AD66" s="309"/>
      <c r="AE66" s="325"/>
      <c r="AF66" s="325"/>
      <c r="AG66" s="325"/>
      <c r="AH66" s="325"/>
      <c r="AI66" s="325"/>
      <c r="AJ66" s="326"/>
      <c r="AK66" s="292">
        <f t="shared" si="11"/>
        <v>0</v>
      </c>
      <c r="AL66" s="293">
        <f>AL65</f>
        <v>0.75</v>
      </c>
      <c r="AM66" s="403">
        <f t="shared" si="13"/>
        <v>1</v>
      </c>
      <c r="AN66" s="619"/>
      <c r="AO66" s="286">
        <f t="shared" si="2"/>
        <v>0</v>
      </c>
    </row>
    <row r="67" spans="1:43" s="286" customFormat="1" ht="27.75" customHeight="1">
      <c r="A67" s="287">
        <f t="shared" si="12"/>
        <v>15</v>
      </c>
      <c r="B67" s="462"/>
      <c r="C67" s="290"/>
      <c r="D67" s="327" t="s">
        <v>44</v>
      </c>
      <c r="E67" s="376" t="s">
        <v>6</v>
      </c>
      <c r="F67" s="290"/>
      <c r="G67" s="290"/>
      <c r="H67" s="290"/>
      <c r="I67" s="290"/>
      <c r="J67" s="309"/>
      <c r="K67" s="290"/>
      <c r="L67" s="290"/>
      <c r="M67" s="290"/>
      <c r="N67" s="290"/>
      <c r="O67" s="290"/>
      <c r="P67" s="290"/>
      <c r="Q67" s="309"/>
      <c r="R67" s="290"/>
      <c r="S67" s="290"/>
      <c r="T67" s="290"/>
      <c r="U67" s="290"/>
      <c r="V67" s="290"/>
      <c r="W67" s="309"/>
      <c r="X67" s="290"/>
      <c r="Y67" s="290"/>
      <c r="Z67" s="290"/>
      <c r="AA67" s="290"/>
      <c r="AB67" s="290"/>
      <c r="AC67" s="290"/>
      <c r="AD67" s="412"/>
      <c r="AE67" s="290"/>
      <c r="AF67" s="290"/>
      <c r="AG67" s="290"/>
      <c r="AH67" s="290"/>
      <c r="AI67" s="290"/>
      <c r="AJ67" s="291"/>
      <c r="AK67" s="292">
        <f t="shared" si="11"/>
        <v>0</v>
      </c>
      <c r="AL67" s="293">
        <f t="shared" si="9"/>
        <v>0.75</v>
      </c>
      <c r="AM67" s="403">
        <f t="shared" si="13"/>
        <v>1</v>
      </c>
      <c r="AN67" s="619"/>
      <c r="AO67" s="286">
        <f t="shared" si="2"/>
        <v>0</v>
      </c>
    </row>
    <row r="68" spans="1:43" s="286" customFormat="1" ht="27.75" customHeight="1">
      <c r="A68" s="410">
        <f t="shared" si="12"/>
        <v>16</v>
      </c>
      <c r="B68" s="429"/>
      <c r="C68" s="299"/>
      <c r="D68" s="409" t="s">
        <v>45</v>
      </c>
      <c r="E68" s="332" t="s">
        <v>6</v>
      </c>
      <c r="F68" s="313"/>
      <c r="G68" s="313"/>
      <c r="H68" s="313"/>
      <c r="I68" s="299"/>
      <c r="J68" s="300"/>
      <c r="K68" s="299"/>
      <c r="L68" s="299"/>
      <c r="M68" s="299"/>
      <c r="N68" s="299"/>
      <c r="O68" s="299"/>
      <c r="P68" s="299"/>
      <c r="Q68" s="300"/>
      <c r="R68" s="299"/>
      <c r="S68" s="299"/>
      <c r="T68" s="299"/>
      <c r="U68" s="299"/>
      <c r="V68" s="299"/>
      <c r="W68" s="300"/>
      <c r="X68" s="299"/>
      <c r="Y68" s="299"/>
      <c r="Z68" s="299"/>
      <c r="AA68" s="299"/>
      <c r="AB68" s="299"/>
      <c r="AC68" s="299"/>
      <c r="AD68" s="300"/>
      <c r="AE68" s="313"/>
      <c r="AF68" s="313"/>
      <c r="AG68" s="313"/>
      <c r="AH68" s="313"/>
      <c r="AI68" s="313"/>
      <c r="AJ68" s="315"/>
      <c r="AK68" s="292">
        <f t="shared" si="11"/>
        <v>0</v>
      </c>
      <c r="AL68" s="293">
        <f t="shared" si="9"/>
        <v>0.75</v>
      </c>
      <c r="AM68" s="403">
        <f t="shared" si="13"/>
        <v>1</v>
      </c>
      <c r="AN68" s="619"/>
      <c r="AO68" s="286">
        <f t="shared" si="2"/>
        <v>0</v>
      </c>
      <c r="AP68"/>
      <c r="AQ68"/>
    </row>
    <row r="69" spans="1:43" ht="27.75" customHeight="1">
      <c r="A69" s="287">
        <f t="shared" si="12"/>
        <v>17</v>
      </c>
      <c r="B69" s="463"/>
      <c r="C69" s="304"/>
      <c r="D69" s="382" t="s">
        <v>46</v>
      </c>
      <c r="E69" s="303" t="s">
        <v>331</v>
      </c>
      <c r="F69" s="318"/>
      <c r="G69" s="318"/>
      <c r="H69" s="318"/>
      <c r="I69" s="304"/>
      <c r="J69" s="305"/>
      <c r="K69" s="304"/>
      <c r="L69" s="304"/>
      <c r="M69" s="304"/>
      <c r="N69" s="304"/>
      <c r="O69" s="304"/>
      <c r="P69" s="304"/>
      <c r="Q69" s="305"/>
      <c r="R69" s="304"/>
      <c r="S69" s="304"/>
      <c r="T69" s="304"/>
      <c r="U69" s="304"/>
      <c r="V69" s="304"/>
      <c r="W69" s="305"/>
      <c r="X69" s="304"/>
      <c r="Y69" s="304"/>
      <c r="Z69" s="304"/>
      <c r="AA69" s="304"/>
      <c r="AB69" s="304"/>
      <c r="AC69" s="304"/>
      <c r="AD69" s="305"/>
      <c r="AE69" s="318"/>
      <c r="AF69" s="318"/>
      <c r="AG69" s="318"/>
      <c r="AH69" s="318"/>
      <c r="AI69" s="318"/>
      <c r="AJ69" s="320"/>
      <c r="AK69" s="292">
        <f t="shared" si="11"/>
        <v>0</v>
      </c>
      <c r="AL69" s="293">
        <f>AL68</f>
        <v>0.75</v>
      </c>
      <c r="AM69" s="403">
        <f t="shared" si="13"/>
        <v>1</v>
      </c>
      <c r="AN69" s="619"/>
      <c r="AO69" s="286">
        <f t="shared" ref="AO69:AO99" si="14">COUNTIF(F69:AI69, 1)+COUNTIF(F69:AI69, 2)+COUNTIF(F69:AI69,3)</f>
        <v>0</v>
      </c>
      <c r="AP69" s="286"/>
      <c r="AQ69" s="286"/>
    </row>
    <row r="70" spans="1:43" s="286" customFormat="1" ht="27.75" customHeight="1">
      <c r="A70" s="410">
        <f t="shared" si="12"/>
        <v>18</v>
      </c>
      <c r="B70" s="463"/>
      <c r="C70" s="290"/>
      <c r="D70" s="407" t="s">
        <v>47</v>
      </c>
      <c r="E70" s="413" t="s">
        <v>332</v>
      </c>
      <c r="F70" s="290"/>
      <c r="G70" s="290"/>
      <c r="H70" s="290"/>
      <c r="I70" s="290"/>
      <c r="J70" s="309"/>
      <c r="K70" s="290"/>
      <c r="L70" s="290"/>
      <c r="M70" s="290"/>
      <c r="N70" s="290"/>
      <c r="O70" s="290"/>
      <c r="P70" s="290"/>
      <c r="Q70" s="309"/>
      <c r="R70" s="290"/>
      <c r="S70" s="290"/>
      <c r="T70" s="290"/>
      <c r="U70" s="290"/>
      <c r="V70" s="290"/>
      <c r="W70" s="309"/>
      <c r="X70" s="290"/>
      <c r="Y70" s="290"/>
      <c r="Z70" s="290"/>
      <c r="AA70" s="290"/>
      <c r="AB70" s="290"/>
      <c r="AC70" s="290"/>
      <c r="AD70" s="309"/>
      <c r="AE70" s="290"/>
      <c r="AF70" s="290"/>
      <c r="AG70" s="290"/>
      <c r="AH70" s="290"/>
      <c r="AI70" s="290"/>
      <c r="AJ70" s="291"/>
      <c r="AK70" s="292">
        <f t="shared" si="11"/>
        <v>0</v>
      </c>
      <c r="AL70" s="293">
        <f>AL69</f>
        <v>0.75</v>
      </c>
      <c r="AM70" s="403">
        <f t="shared" si="13"/>
        <v>1</v>
      </c>
      <c r="AN70" s="619"/>
      <c r="AO70" s="286">
        <f t="shared" si="14"/>
        <v>0</v>
      </c>
    </row>
    <row r="71" spans="1:43" s="286" customFormat="1" ht="27.75" customHeight="1">
      <c r="A71" s="287">
        <f t="shared" si="12"/>
        <v>19</v>
      </c>
      <c r="B71" s="462"/>
      <c r="C71" s="313"/>
      <c r="D71" s="327" t="s">
        <v>48</v>
      </c>
      <c r="E71" s="376" t="s">
        <v>332</v>
      </c>
      <c r="F71" s="313"/>
      <c r="G71" s="313"/>
      <c r="H71" s="313"/>
      <c r="I71" s="313"/>
      <c r="J71" s="314"/>
      <c r="K71" s="313"/>
      <c r="L71" s="313"/>
      <c r="M71" s="313"/>
      <c r="N71" s="313"/>
      <c r="O71" s="313"/>
      <c r="P71" s="313"/>
      <c r="Q71" s="314"/>
      <c r="R71" s="313"/>
      <c r="S71" s="313"/>
      <c r="T71" s="313"/>
      <c r="U71" s="313"/>
      <c r="V71" s="313"/>
      <c r="W71" s="314"/>
      <c r="X71" s="313"/>
      <c r="Y71" s="333"/>
      <c r="Z71" s="313"/>
      <c r="AA71" s="313"/>
      <c r="AB71" s="313"/>
      <c r="AC71" s="313"/>
      <c r="AD71" s="314"/>
      <c r="AE71" s="313"/>
      <c r="AF71" s="313"/>
      <c r="AG71" s="313"/>
      <c r="AH71" s="313"/>
      <c r="AI71" s="313"/>
      <c r="AJ71" s="315"/>
      <c r="AK71" s="292">
        <f t="shared" si="11"/>
        <v>0</v>
      </c>
      <c r="AL71" s="293">
        <f t="shared" si="9"/>
        <v>0.75</v>
      </c>
      <c r="AM71" s="403">
        <f t="shared" si="13"/>
        <v>1</v>
      </c>
      <c r="AN71" s="619"/>
      <c r="AO71" s="286">
        <f t="shared" si="14"/>
        <v>0</v>
      </c>
      <c r="AP71"/>
      <c r="AQ71"/>
    </row>
    <row r="72" spans="1:43" s="286" customFormat="1" ht="27.75" customHeight="1">
      <c r="A72" s="410">
        <f t="shared" si="12"/>
        <v>20</v>
      </c>
      <c r="B72" s="463"/>
      <c r="C72" s="318"/>
      <c r="D72" s="414" t="s">
        <v>318</v>
      </c>
      <c r="E72" s="317" t="s">
        <v>333</v>
      </c>
      <c r="F72" s="386"/>
      <c r="G72" s="318"/>
      <c r="H72" s="318"/>
      <c r="I72" s="318"/>
      <c r="J72" s="319"/>
      <c r="K72" s="318"/>
      <c r="L72" s="318"/>
      <c r="M72" s="318"/>
      <c r="N72" s="318"/>
      <c r="O72" s="318"/>
      <c r="P72" s="318"/>
      <c r="Q72" s="319"/>
      <c r="R72" s="318"/>
      <c r="S72" s="320"/>
      <c r="T72" s="335"/>
      <c r="U72" s="415"/>
      <c r="V72" s="416"/>
      <c r="W72" s="417"/>
      <c r="X72" s="416"/>
      <c r="Y72" s="416"/>
      <c r="Z72" s="416"/>
      <c r="AA72" s="416"/>
      <c r="AB72" s="416"/>
      <c r="AC72" s="416"/>
      <c r="AD72" s="417"/>
      <c r="AE72" s="416"/>
      <c r="AF72" s="416"/>
      <c r="AG72" s="416"/>
      <c r="AH72" s="416"/>
      <c r="AI72" s="416"/>
      <c r="AJ72" s="418"/>
      <c r="AK72" s="292">
        <f>(COUNTIF(F72:T72, "1")+COUNTIF(F72:T72, "2")+COUNTIF(F72:T72, "3"))/(SUM(COUNTIF(F72:T72, "x")+COUNTIF(F72:T72, "1")+COUNTIF(F72:T72, "2")+COUNTIF(F72:T72, "3")+COUNTIF(F72:T72, "")+COUNTIF(F72:T72, "SL")+COUNTIF(F72:T72, "EL")))</f>
        <v>0</v>
      </c>
      <c r="AL72" s="293">
        <f t="shared" si="9"/>
        <v>0.75</v>
      </c>
      <c r="AM72" s="403">
        <f t="shared" si="13"/>
        <v>1</v>
      </c>
      <c r="AN72" s="619"/>
      <c r="AO72" s="286">
        <f t="shared" si="14"/>
        <v>0</v>
      </c>
      <c r="AP72"/>
      <c r="AQ72"/>
    </row>
    <row r="73" spans="1:43" ht="27.75" customHeight="1">
      <c r="A73" s="287">
        <f t="shared" si="12"/>
        <v>21</v>
      </c>
      <c r="B73" s="463"/>
      <c r="C73" s="290"/>
      <c r="D73" s="419" t="s">
        <v>340</v>
      </c>
      <c r="E73" s="311" t="s">
        <v>334</v>
      </c>
      <c r="F73" s="392"/>
      <c r="G73" s="290"/>
      <c r="H73" s="290"/>
      <c r="I73" s="290"/>
      <c r="J73" s="309"/>
      <c r="K73" s="290"/>
      <c r="L73" s="290"/>
      <c r="M73" s="290"/>
      <c r="N73" s="290"/>
      <c r="O73" s="290"/>
      <c r="P73" s="290"/>
      <c r="Q73" s="309"/>
      <c r="R73" s="290"/>
      <c r="S73" s="290"/>
      <c r="T73" s="304"/>
      <c r="U73" s="290"/>
      <c r="V73" s="290"/>
      <c r="W73" s="309"/>
      <c r="X73" s="290"/>
      <c r="Y73" s="290"/>
      <c r="Z73" s="290"/>
      <c r="AA73" s="290"/>
      <c r="AB73" s="290"/>
      <c r="AC73" s="290"/>
      <c r="AD73" s="309"/>
      <c r="AE73" s="290"/>
      <c r="AF73" s="290"/>
      <c r="AG73" s="290"/>
      <c r="AH73" s="290"/>
      <c r="AI73" s="290"/>
      <c r="AJ73" s="291"/>
      <c r="AK73" s="292">
        <f t="shared" si="11"/>
        <v>0</v>
      </c>
      <c r="AL73" s="293">
        <f>AL72</f>
        <v>0.75</v>
      </c>
      <c r="AM73" s="403">
        <f t="shared" si="13"/>
        <v>1</v>
      </c>
      <c r="AN73" s="619"/>
      <c r="AO73" s="286">
        <f t="shared" si="14"/>
        <v>0</v>
      </c>
      <c r="AP73" s="286"/>
      <c r="AQ73" s="286"/>
    </row>
    <row r="74" spans="1:43" s="286" customFormat="1" ht="27.75" customHeight="1">
      <c r="A74" s="410">
        <f t="shared" si="12"/>
        <v>22</v>
      </c>
      <c r="B74" s="463"/>
      <c r="C74" s="333"/>
      <c r="D74" s="307" t="s">
        <v>49</v>
      </c>
      <c r="E74" s="330" t="s">
        <v>334</v>
      </c>
      <c r="F74" s="394"/>
      <c r="G74" s="333"/>
      <c r="H74" s="333"/>
      <c r="I74" s="333"/>
      <c r="J74" s="314"/>
      <c r="K74" s="333"/>
      <c r="L74" s="333"/>
      <c r="M74" s="333"/>
      <c r="N74" s="333"/>
      <c r="O74" s="333"/>
      <c r="P74" s="333"/>
      <c r="Q74" s="314"/>
      <c r="R74" s="333"/>
      <c r="S74" s="333"/>
      <c r="T74" s="333"/>
      <c r="U74" s="333"/>
      <c r="V74" s="333"/>
      <c r="W74" s="314"/>
      <c r="X74" s="333"/>
      <c r="Y74" s="333"/>
      <c r="Z74" s="333"/>
      <c r="AA74" s="333"/>
      <c r="AB74" s="333"/>
      <c r="AC74" s="333"/>
      <c r="AD74" s="314"/>
      <c r="AE74" s="333"/>
      <c r="AF74" s="333"/>
      <c r="AG74" s="333"/>
      <c r="AH74" s="333"/>
      <c r="AI74" s="333"/>
      <c r="AJ74" s="340"/>
      <c r="AK74" s="292">
        <f t="shared" si="11"/>
        <v>0</v>
      </c>
      <c r="AL74" s="293">
        <f>AL73</f>
        <v>0.75</v>
      </c>
      <c r="AM74" s="403">
        <f t="shared" si="13"/>
        <v>1</v>
      </c>
      <c r="AN74" s="619"/>
      <c r="AO74" s="286">
        <f t="shared" si="14"/>
        <v>0</v>
      </c>
    </row>
    <row r="75" spans="1:43" s="286" customFormat="1" ht="27.75" customHeight="1" thickBot="1">
      <c r="A75" s="341">
        <f t="shared" si="12"/>
        <v>23</v>
      </c>
      <c r="B75" s="462"/>
      <c r="C75" s="344"/>
      <c r="D75" s="420" t="s">
        <v>50</v>
      </c>
      <c r="E75" s="343" t="s">
        <v>334</v>
      </c>
      <c r="F75" s="397"/>
      <c r="G75" s="344"/>
      <c r="H75" s="344"/>
      <c r="I75" s="344"/>
      <c r="J75" s="345"/>
      <c r="K75" s="344"/>
      <c r="L75" s="344"/>
      <c r="M75" s="344"/>
      <c r="N75" s="344"/>
      <c r="O75" s="344"/>
      <c r="P75" s="344"/>
      <c r="Q75" s="345"/>
      <c r="R75" s="344"/>
      <c r="S75" s="344"/>
      <c r="T75" s="344"/>
      <c r="U75" s="344"/>
      <c r="V75" s="344"/>
      <c r="W75" s="345"/>
      <c r="X75" s="344"/>
      <c r="Y75" s="344"/>
      <c r="Z75" s="344"/>
      <c r="AA75" s="344"/>
      <c r="AB75" s="344"/>
      <c r="AC75" s="344"/>
      <c r="AD75" s="345"/>
      <c r="AE75" s="344"/>
      <c r="AF75" s="344"/>
      <c r="AG75" s="344"/>
      <c r="AH75" s="344"/>
      <c r="AI75" s="344"/>
      <c r="AJ75" s="346"/>
      <c r="AK75" s="292">
        <f t="shared" si="11"/>
        <v>0</v>
      </c>
      <c r="AL75" s="347">
        <f t="shared" si="9"/>
        <v>0.75</v>
      </c>
      <c r="AM75" s="421">
        <f t="shared" si="13"/>
        <v>1</v>
      </c>
      <c r="AN75" s="620"/>
      <c r="AO75" s="286">
        <f t="shared" si="14"/>
        <v>0</v>
      </c>
      <c r="AQ75"/>
    </row>
    <row r="76" spans="1:43" ht="27.75" customHeight="1" thickTop="1" thickBot="1">
      <c r="A76" s="601" t="s">
        <v>16</v>
      </c>
      <c r="B76" s="602"/>
      <c r="C76" s="602"/>
      <c r="D76" s="602"/>
      <c r="E76" s="603"/>
      <c r="F76" s="349" t="e">
        <f>(COUNTIF(F54:F75, "1")+COUNTIF(F54:F75, "2")+COUNTIF(F54:F75, "3")+COUNTIF(F56:F75, "VL")+COUNTIF(F56:F75, "R")+COUNTIF(F56:F75, "A")+COUNTIF(AB56:AB75, "EL"))/(SUM(COUNTIF(F56:F75, "x")+COUNTIF(F56:F75, "1")+COUNTIF(F56:F75, "2")+COUNTIF(F56:F75, "3")+COUNTIF(F56:F75, "VL")+COUNTIF(F56:F75, "R")+COUNTIF(AB56:AB75, "EL")+COUNTIF(AB56:AB75, "A")))</f>
        <v>#DIV/0!</v>
      </c>
      <c r="G76" s="349" t="e">
        <f t="shared" ref="G76:AJ76" si="15">(COUNTIF(G54:G75, "1")+COUNTIF(G54:G75, "2")+COUNTIF(G54:G75, "3")+COUNTIF(G56:G75, "VL")+COUNTIF(G56:G75, "R")+COUNTIF(G56:G75, "A")+COUNTIF(AC56:AC75, "EL"))/(SUM(COUNTIF(G56:G75, "x")+COUNTIF(G56:G75, "1")+COUNTIF(G56:G75, "2")+COUNTIF(G56:G75, "3")+COUNTIF(G56:G75, "VL")+COUNTIF(G56:G75, "R")+COUNTIF(AC56:AC75, "EL")+COUNTIF(AC56:AC75, "A")))</f>
        <v>#DIV/0!</v>
      </c>
      <c r="H76" s="349" t="e">
        <f t="shared" si="15"/>
        <v>#DIV/0!</v>
      </c>
      <c r="I76" s="349" t="e">
        <f t="shared" si="15"/>
        <v>#DIV/0!</v>
      </c>
      <c r="J76" s="349" t="e">
        <f t="shared" si="15"/>
        <v>#DIV/0!</v>
      </c>
      <c r="K76" s="349" t="e">
        <f t="shared" si="15"/>
        <v>#DIV/0!</v>
      </c>
      <c r="L76" s="349" t="e">
        <f t="shared" si="15"/>
        <v>#DIV/0!</v>
      </c>
      <c r="M76" s="349" t="e">
        <f t="shared" si="15"/>
        <v>#DIV/0!</v>
      </c>
      <c r="N76" s="349" t="e">
        <f t="shared" si="15"/>
        <v>#DIV/0!</v>
      </c>
      <c r="O76" s="349" t="e">
        <f t="shared" si="15"/>
        <v>#DIV/0!</v>
      </c>
      <c r="P76" s="349" t="e">
        <f t="shared" si="15"/>
        <v>#DIV/0!</v>
      </c>
      <c r="Q76" s="349" t="e">
        <f t="shared" si="15"/>
        <v>#DIV/0!</v>
      </c>
      <c r="R76" s="349" t="e">
        <f t="shared" si="15"/>
        <v>#DIV/0!</v>
      </c>
      <c r="S76" s="349" t="e">
        <f t="shared" si="15"/>
        <v>#DIV/0!</v>
      </c>
      <c r="T76" s="349" t="e">
        <f>(COUNTIF(T54:T75, "1")+COUNTIF(T54:T75, "2")+COUNTIF(T54:T75, "3")+COUNTIF(T56:T75, "VL")+COUNTIF(T56:T75, "R")+COUNTIF(T56:T75, "A")+COUNTIF(AP56:AP76, "EL"))/(SUM(COUNTIF(T56:T75, "x")+COUNTIF(T56:T75, "1")+COUNTIF(T56:T75, "2")+COUNTIF(T56:T75, "3")+COUNTIF(T56:T75, "VL")+COUNTIF(T56:T75, "R")+COUNTIF(AP56:AP76, "EL")+COUNTIF(AP56:AP76, "A")))</f>
        <v>#DIV/0!</v>
      </c>
      <c r="U76" s="349" t="e">
        <f t="shared" si="15"/>
        <v>#DIV/0!</v>
      </c>
      <c r="V76" s="349" t="e">
        <f t="shared" si="15"/>
        <v>#DIV/0!</v>
      </c>
      <c r="W76" s="349" t="e">
        <f t="shared" si="15"/>
        <v>#DIV/0!</v>
      </c>
      <c r="X76" s="349" t="e">
        <f t="shared" si="15"/>
        <v>#DIV/0!</v>
      </c>
      <c r="Y76" s="349" t="e">
        <f t="shared" si="15"/>
        <v>#DIV/0!</v>
      </c>
      <c r="Z76" s="349" t="e">
        <f t="shared" si="15"/>
        <v>#DIV/0!</v>
      </c>
      <c r="AA76" s="349" t="e">
        <f t="shared" si="15"/>
        <v>#DIV/0!</v>
      </c>
      <c r="AB76" s="349" t="e">
        <f t="shared" si="15"/>
        <v>#DIV/0!</v>
      </c>
      <c r="AC76" s="349" t="e">
        <f t="shared" si="15"/>
        <v>#DIV/0!</v>
      </c>
      <c r="AD76" s="349" t="e">
        <f t="shared" si="15"/>
        <v>#DIV/0!</v>
      </c>
      <c r="AE76" s="349" t="e">
        <f t="shared" si="15"/>
        <v>#DIV/0!</v>
      </c>
      <c r="AF76" s="349" t="e">
        <f t="shared" si="15"/>
        <v>#DIV/0!</v>
      </c>
      <c r="AG76" s="349" t="e">
        <f t="shared" si="15"/>
        <v>#DIV/0!</v>
      </c>
      <c r="AH76" s="349" t="e">
        <f t="shared" si="15"/>
        <v>#DIV/0!</v>
      </c>
      <c r="AI76" s="349" t="e">
        <f t="shared" si="15"/>
        <v>#DIV/0!</v>
      </c>
      <c r="AJ76" s="349" t="e">
        <f t="shared" si="15"/>
        <v>#DIV/0!</v>
      </c>
      <c r="AK76" s="350"/>
      <c r="AL76" s="293"/>
      <c r="AN76" s="352"/>
      <c r="AO76" s="286"/>
      <c r="AP76" s="286">
        <f>SUM(AO52:AO75)</f>
        <v>0</v>
      </c>
      <c r="AQ76" s="286"/>
    </row>
    <row r="77" spans="1:43" s="286" customFormat="1" ht="27.75" customHeight="1" thickTop="1">
      <c r="A77" s="278">
        <v>1</v>
      </c>
      <c r="B77" s="463"/>
      <c r="C77" s="354"/>
      <c r="D77" s="422" t="s">
        <v>341</v>
      </c>
      <c r="E77" s="423" t="s">
        <v>336</v>
      </c>
      <c r="F77" s="354"/>
      <c r="G77" s="354"/>
      <c r="H77" s="354"/>
      <c r="I77" s="354"/>
      <c r="J77" s="354"/>
      <c r="K77" s="354"/>
      <c r="L77" s="354"/>
      <c r="M77" s="354"/>
      <c r="N77" s="354"/>
      <c r="O77" s="354"/>
      <c r="P77" s="354"/>
      <c r="Q77" s="354"/>
      <c r="R77" s="354"/>
      <c r="S77" s="354"/>
      <c r="T77" s="354"/>
      <c r="U77" s="354"/>
      <c r="V77" s="354"/>
      <c r="W77" s="354"/>
      <c r="X77" s="354"/>
      <c r="Y77" s="354"/>
      <c r="Z77" s="354"/>
      <c r="AA77" s="354"/>
      <c r="AB77" s="355"/>
      <c r="AC77" s="354"/>
      <c r="AD77" s="354"/>
      <c r="AE77" s="354"/>
      <c r="AF77" s="354"/>
      <c r="AG77" s="354"/>
      <c r="AH77" s="354"/>
      <c r="AI77" s="354"/>
      <c r="AJ77" s="356"/>
      <c r="AK77" s="357"/>
      <c r="AL77" s="424"/>
      <c r="AM77" s="425"/>
      <c r="AN77" s="604">
        <f>AVERAGE(AK79:AK99)</f>
        <v>0</v>
      </c>
      <c r="AO77" s="286">
        <f t="shared" si="14"/>
        <v>0</v>
      </c>
    </row>
    <row r="78" spans="1:43" s="286" customFormat="1" ht="27.75" customHeight="1">
      <c r="A78" s="287">
        <v>2</v>
      </c>
      <c r="B78" s="462"/>
      <c r="C78" s="360"/>
      <c r="D78" s="426" t="s">
        <v>342</v>
      </c>
      <c r="E78" s="427" t="s">
        <v>324</v>
      </c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0"/>
      <c r="X78" s="360"/>
      <c r="Y78" s="360"/>
      <c r="Z78" s="360"/>
      <c r="AA78" s="360"/>
      <c r="AB78" s="361"/>
      <c r="AC78" s="360"/>
      <c r="AD78" s="360"/>
      <c r="AE78" s="360"/>
      <c r="AF78" s="360"/>
      <c r="AG78" s="360"/>
      <c r="AH78" s="360"/>
      <c r="AI78" s="360"/>
      <c r="AJ78" s="362"/>
      <c r="AK78" s="363"/>
      <c r="AL78" s="428"/>
      <c r="AM78" s="429"/>
      <c r="AN78" s="605"/>
      <c r="AO78" s="286">
        <f t="shared" si="14"/>
        <v>0</v>
      </c>
    </row>
    <row r="79" spans="1:43" s="286" customFormat="1" ht="27.75" customHeight="1">
      <c r="A79" s="430">
        <v>3</v>
      </c>
      <c r="B79" s="462"/>
      <c r="C79" s="290"/>
      <c r="D79" s="375" t="s">
        <v>343</v>
      </c>
      <c r="E79" s="431" t="s">
        <v>326</v>
      </c>
      <c r="F79" s="290"/>
      <c r="G79" s="290"/>
      <c r="H79" s="290"/>
      <c r="I79" s="290"/>
      <c r="J79" s="290"/>
      <c r="K79" s="290"/>
      <c r="L79" s="290"/>
      <c r="M79" s="290"/>
      <c r="N79" s="290"/>
      <c r="O79" s="290"/>
      <c r="P79" s="290"/>
      <c r="Q79" s="290"/>
      <c r="R79" s="290"/>
      <c r="S79" s="290"/>
      <c r="T79" s="290"/>
      <c r="U79" s="290"/>
      <c r="V79" s="290"/>
      <c r="W79" s="290"/>
      <c r="X79" s="290"/>
      <c r="Y79" s="290"/>
      <c r="Z79" s="290"/>
      <c r="AA79" s="290"/>
      <c r="AB79" s="290"/>
      <c r="AC79" s="290"/>
      <c r="AD79" s="290"/>
      <c r="AE79" s="290"/>
      <c r="AF79" s="290"/>
      <c r="AG79" s="290"/>
      <c r="AH79" s="290"/>
      <c r="AI79" s="290"/>
      <c r="AJ79" s="291"/>
      <c r="AK79" s="292">
        <f>(COUNTIF(F79:AJ79, "1")+COUNTIF(F79:AJ79, "2")+COUNTIF(F79:AJ79, "3"))/(SUM(COUNTIF(F79:AJ79, "x")+COUNTIF(F79:AJ79, "1")+COUNTIF(F79:AJ79, "2")+COUNTIF(F79:AJ79, "3")+COUNTIF(F79:AJ79, "")+COUNTIF(F79:AJ79, "SL")+COUNTIF(F79:AJ79, "EL")))</f>
        <v>0</v>
      </c>
      <c r="AL79" s="432">
        <v>0.75</v>
      </c>
      <c r="AM79" s="429">
        <f>RANK(AK79,$AK$5:$AK$99)</f>
        <v>1</v>
      </c>
      <c r="AN79" s="605"/>
      <c r="AO79" s="286">
        <f t="shared" si="14"/>
        <v>0</v>
      </c>
      <c r="AP79" s="286" t="s">
        <v>55</v>
      </c>
    </row>
    <row r="80" spans="1:43" s="286" customFormat="1" ht="27.75" customHeight="1">
      <c r="A80" s="287">
        <v>4</v>
      </c>
      <c r="B80" s="462"/>
      <c r="C80" s="299"/>
      <c r="D80" s="404" t="s">
        <v>30</v>
      </c>
      <c r="E80" s="298" t="s">
        <v>327</v>
      </c>
      <c r="F80" s="299"/>
      <c r="G80" s="299"/>
      <c r="H80" s="299"/>
      <c r="I80" s="299"/>
      <c r="J80" s="300"/>
      <c r="K80" s="299"/>
      <c r="L80" s="299"/>
      <c r="M80" s="299"/>
      <c r="N80" s="299"/>
      <c r="O80" s="299"/>
      <c r="P80" s="299"/>
      <c r="Q80" s="300"/>
      <c r="R80" s="299"/>
      <c r="S80" s="299"/>
      <c r="T80" s="299"/>
      <c r="U80" s="299"/>
      <c r="V80" s="299"/>
      <c r="W80" s="300"/>
      <c r="X80" s="299"/>
      <c r="Y80" s="299"/>
      <c r="Z80" s="299"/>
      <c r="AA80" s="299"/>
      <c r="AB80" s="299"/>
      <c r="AC80" s="299"/>
      <c r="AD80" s="300"/>
      <c r="AE80" s="299"/>
      <c r="AF80" s="299"/>
      <c r="AG80" s="299"/>
      <c r="AH80" s="299"/>
      <c r="AI80" s="299"/>
      <c r="AJ80" s="301"/>
      <c r="AK80" s="292">
        <f>(COUNTIF(F80:AJ80, "1")+COUNTIF(F80:AJ80, "2")+COUNTIF(F80:AJ80, "3"))/(SUM(COUNTIF(F80:AJ80, "x")+COUNTIF(F80:AJ80, "1")+COUNTIF(F80:AJ80, "2")+COUNTIF(F80:AJ80, "3")+COUNTIF(F80:AJ80, "")+COUNTIF(F80:AJ80, "SL")+COUNTIF(F80:AJ80, "EL")))</f>
        <v>0</v>
      </c>
      <c r="AL80" s="432">
        <v>0.75</v>
      </c>
      <c r="AM80" s="429">
        <f>RANK(AK80,$AK$5:$AK$99)</f>
        <v>1</v>
      </c>
      <c r="AN80" s="605"/>
      <c r="AO80" s="286">
        <f t="shared" si="14"/>
        <v>0</v>
      </c>
    </row>
    <row r="81" spans="1:41" s="286" customFormat="1" ht="27.75" customHeight="1">
      <c r="A81" s="410">
        <v>5</v>
      </c>
      <c r="B81" s="463"/>
      <c r="C81" s="304"/>
      <c r="D81" s="321" t="s">
        <v>311</v>
      </c>
      <c r="E81" s="433" t="s">
        <v>328</v>
      </c>
      <c r="F81" s="304"/>
      <c r="G81" s="304"/>
      <c r="H81" s="304"/>
      <c r="I81" s="304"/>
      <c r="J81" s="305"/>
      <c r="K81" s="304"/>
      <c r="L81" s="304"/>
      <c r="M81" s="304"/>
      <c r="N81" s="304"/>
      <c r="O81" s="304"/>
      <c r="P81" s="304"/>
      <c r="Q81" s="305"/>
      <c r="R81" s="304"/>
      <c r="S81" s="304"/>
      <c r="T81" s="304"/>
      <c r="U81" s="304"/>
      <c r="V81" s="304"/>
      <c r="W81" s="305"/>
      <c r="X81" s="304"/>
      <c r="Y81" s="304"/>
      <c r="Z81" s="304"/>
      <c r="AA81" s="304"/>
      <c r="AB81" s="304"/>
      <c r="AC81" s="304"/>
      <c r="AD81" s="305"/>
      <c r="AE81" s="304"/>
      <c r="AF81" s="304"/>
      <c r="AG81" s="304"/>
      <c r="AH81" s="304"/>
      <c r="AI81" s="304"/>
      <c r="AJ81" s="306"/>
      <c r="AK81" s="292">
        <f t="shared" ref="AK81:AK99" si="16">(COUNTIF(F81:AJ81, "1")+COUNTIF(F81:AJ81, "2")+COUNTIF(F81:AJ81, "3"))/(SUM(COUNTIF(F81:AJ81, "x")+COUNTIF(F81:AJ81, "1")+COUNTIF(F81:AJ81, "2")+COUNTIF(F81:AJ81, "3")+COUNTIF(F81:AJ81, "")+COUNTIF(F81:AJ81, "SL")+COUNTIF(F81:AJ81, "EL")))</f>
        <v>0</v>
      </c>
      <c r="AL81" s="432">
        <v>0.75</v>
      </c>
      <c r="AM81" s="429">
        <f>RANK(AK81,$AK$5:$AK$99)</f>
        <v>1</v>
      </c>
      <c r="AN81" s="605"/>
      <c r="AO81" s="286">
        <f t="shared" si="14"/>
        <v>0</v>
      </c>
    </row>
    <row r="82" spans="1:41" s="286" customFormat="1" ht="27.75" customHeight="1">
      <c r="A82" s="287">
        <v>6</v>
      </c>
      <c r="B82" s="462"/>
      <c r="C82" s="290"/>
      <c r="D82" s="375" t="s">
        <v>302</v>
      </c>
      <c r="E82" s="434" t="s">
        <v>328</v>
      </c>
      <c r="F82" s="290"/>
      <c r="G82" s="290"/>
      <c r="H82" s="290"/>
      <c r="I82" s="290"/>
      <c r="J82" s="309"/>
      <c r="K82" s="290"/>
      <c r="L82" s="290"/>
      <c r="M82" s="290"/>
      <c r="N82" s="290"/>
      <c r="O82" s="290"/>
      <c r="P82" s="290"/>
      <c r="Q82" s="309"/>
      <c r="R82" s="290"/>
      <c r="S82" s="290"/>
      <c r="T82" s="290"/>
      <c r="U82" s="290"/>
      <c r="V82" s="290"/>
      <c r="W82" s="309"/>
      <c r="X82" s="290"/>
      <c r="Y82" s="290"/>
      <c r="Z82" s="290"/>
      <c r="AA82" s="290"/>
      <c r="AB82" s="290"/>
      <c r="AC82" s="290"/>
      <c r="AD82" s="309"/>
      <c r="AE82" s="290"/>
      <c r="AF82" s="290"/>
      <c r="AG82" s="290"/>
      <c r="AH82" s="290"/>
      <c r="AI82" s="290"/>
      <c r="AJ82" s="291"/>
      <c r="AK82" s="292">
        <f t="shared" si="16"/>
        <v>0</v>
      </c>
      <c r="AL82" s="432">
        <v>0.75</v>
      </c>
      <c r="AM82" s="429">
        <f>RANK(AK82,$AK$5:$AK$99)</f>
        <v>1</v>
      </c>
      <c r="AN82" s="605"/>
      <c r="AO82" s="286">
        <f t="shared" si="14"/>
        <v>0</v>
      </c>
    </row>
    <row r="83" spans="1:41" s="286" customFormat="1" ht="27.75" customHeight="1">
      <c r="A83" s="410">
        <v>7</v>
      </c>
      <c r="B83" s="429"/>
      <c r="C83" s="290"/>
      <c r="D83" s="375" t="s">
        <v>344</v>
      </c>
      <c r="E83" s="434" t="s">
        <v>328</v>
      </c>
      <c r="F83" s="290"/>
      <c r="G83" s="290"/>
      <c r="H83" s="290"/>
      <c r="I83" s="290"/>
      <c r="J83" s="309"/>
      <c r="K83" s="290"/>
      <c r="L83" s="290"/>
      <c r="M83" s="290"/>
      <c r="N83" s="290"/>
      <c r="O83" s="290"/>
      <c r="P83" s="290"/>
      <c r="Q83" s="309"/>
      <c r="R83" s="290"/>
      <c r="S83" s="290"/>
      <c r="T83" s="290"/>
      <c r="U83" s="290"/>
      <c r="V83" s="290"/>
      <c r="W83" s="309"/>
      <c r="X83" s="290"/>
      <c r="Y83" s="290"/>
      <c r="Z83" s="290"/>
      <c r="AA83" s="290"/>
      <c r="AB83" s="290"/>
      <c r="AC83" s="290"/>
      <c r="AD83" s="309"/>
      <c r="AE83" s="290"/>
      <c r="AF83" s="290"/>
      <c r="AG83" s="290"/>
      <c r="AH83" s="290"/>
      <c r="AI83" s="290"/>
      <c r="AJ83" s="291"/>
      <c r="AK83" s="292">
        <f>(COUNTIF(X83:AJ83, "1")+COUNTIF(X83:AJ83, "2")+COUNTIF(X83:AJ83, "3"))/(SUM(COUNTIF(X83:AJ83, "x")+COUNTIF(X83:AJ83, "1")+COUNTIF(X83:AJ83, "2")+COUNTIF(X83:AJ83, "3")+COUNTIF(X83:AJ83, "")+COUNTIF(X83:AJ83, "SL")+COUNTIF(X83:AJ83, "EL")))</f>
        <v>0</v>
      </c>
      <c r="AL83" s="432">
        <v>0.75</v>
      </c>
      <c r="AM83" s="429">
        <f>RANK(AK83,$AK$5:$AK$99)</f>
        <v>1</v>
      </c>
      <c r="AN83" s="605"/>
      <c r="AO83" s="286">
        <f t="shared" si="14"/>
        <v>0</v>
      </c>
    </row>
    <row r="84" spans="1:41" s="286" customFormat="1" ht="27.75" customHeight="1">
      <c r="A84" s="287">
        <v>8</v>
      </c>
      <c r="B84" s="462"/>
      <c r="C84" s="290"/>
      <c r="D84" s="327" t="s">
        <v>31</v>
      </c>
      <c r="E84" s="431" t="s">
        <v>329</v>
      </c>
      <c r="F84" s="290"/>
      <c r="G84" s="290"/>
      <c r="H84" s="290"/>
      <c r="I84" s="290"/>
      <c r="J84" s="309"/>
      <c r="K84" s="290"/>
      <c r="L84" s="290"/>
      <c r="M84" s="290"/>
      <c r="N84" s="290"/>
      <c r="O84" s="290"/>
      <c r="P84" s="290"/>
      <c r="Q84" s="309"/>
      <c r="R84" s="290"/>
      <c r="S84" s="290"/>
      <c r="T84" s="290"/>
      <c r="U84" s="290"/>
      <c r="V84" s="290"/>
      <c r="W84" s="309"/>
      <c r="X84" s="290"/>
      <c r="Y84" s="290"/>
      <c r="Z84" s="290"/>
      <c r="AA84" s="309"/>
      <c r="AB84" s="290"/>
      <c r="AC84" s="290"/>
      <c r="AD84" s="309"/>
      <c r="AE84" s="290"/>
      <c r="AF84" s="290"/>
      <c r="AG84" s="290"/>
      <c r="AH84" s="290"/>
      <c r="AI84" s="290"/>
      <c r="AJ84" s="291"/>
      <c r="AK84" s="292">
        <f t="shared" si="16"/>
        <v>0</v>
      </c>
      <c r="AL84" s="432">
        <v>0.75</v>
      </c>
      <c r="AM84" s="429">
        <f t="shared" ref="AM84:AM99" si="17">RANK(AK84,$AK$5:$AK$99)</f>
        <v>1</v>
      </c>
      <c r="AN84" s="605"/>
      <c r="AO84" s="286">
        <f t="shared" si="14"/>
        <v>0</v>
      </c>
    </row>
    <row r="85" spans="1:41" s="286" customFormat="1" ht="27.75" customHeight="1">
      <c r="A85" s="410">
        <v>9</v>
      </c>
      <c r="B85" s="463"/>
      <c r="C85" s="290"/>
      <c r="D85" s="307" t="s">
        <v>304</v>
      </c>
      <c r="E85" s="308" t="s">
        <v>329</v>
      </c>
      <c r="F85" s="290"/>
      <c r="G85" s="290"/>
      <c r="H85" s="290"/>
      <c r="I85" s="290"/>
      <c r="J85" s="309"/>
      <c r="K85" s="290"/>
      <c r="L85" s="290"/>
      <c r="M85" s="290"/>
      <c r="N85" s="290"/>
      <c r="O85" s="290"/>
      <c r="P85" s="290"/>
      <c r="Q85" s="309"/>
      <c r="R85" s="290"/>
      <c r="S85" s="290"/>
      <c r="T85" s="290"/>
      <c r="U85" s="290"/>
      <c r="V85" s="290"/>
      <c r="W85" s="309"/>
      <c r="X85" s="290"/>
      <c r="Y85" s="290"/>
      <c r="Z85" s="290"/>
      <c r="AA85" s="290"/>
      <c r="AB85" s="290"/>
      <c r="AC85" s="290"/>
      <c r="AD85" s="309"/>
      <c r="AE85" s="290"/>
      <c r="AF85" s="290"/>
      <c r="AG85" s="290"/>
      <c r="AH85" s="290"/>
      <c r="AI85" s="290"/>
      <c r="AJ85" s="291"/>
      <c r="AK85" s="292">
        <f t="shared" si="16"/>
        <v>0</v>
      </c>
      <c r="AL85" s="432">
        <v>0.75</v>
      </c>
      <c r="AM85" s="429">
        <f t="shared" si="17"/>
        <v>1</v>
      </c>
      <c r="AN85" s="605"/>
      <c r="AO85" s="286">
        <f t="shared" si="14"/>
        <v>0</v>
      </c>
    </row>
    <row r="86" spans="1:41" s="286" customFormat="1" ht="27.75" customHeight="1">
      <c r="A86" s="287">
        <v>10</v>
      </c>
      <c r="B86" s="463"/>
      <c r="C86" s="290"/>
      <c r="D86" s="379" t="s">
        <v>32</v>
      </c>
      <c r="E86" s="433" t="s">
        <v>329</v>
      </c>
      <c r="F86" s="290"/>
      <c r="G86" s="290"/>
      <c r="H86" s="290"/>
      <c r="I86" s="290"/>
      <c r="J86" s="309"/>
      <c r="K86" s="290"/>
      <c r="L86" s="290"/>
      <c r="M86" s="290"/>
      <c r="N86" s="290"/>
      <c r="O86" s="290"/>
      <c r="P86" s="290"/>
      <c r="Q86" s="309"/>
      <c r="R86" s="290"/>
      <c r="S86" s="290"/>
      <c r="T86" s="290"/>
      <c r="U86" s="290"/>
      <c r="V86" s="290"/>
      <c r="W86" s="309"/>
      <c r="X86" s="290"/>
      <c r="Y86" s="290"/>
      <c r="Z86" s="290"/>
      <c r="AA86" s="290"/>
      <c r="AB86" s="290"/>
      <c r="AC86" s="290"/>
      <c r="AD86" s="309"/>
      <c r="AE86" s="290"/>
      <c r="AF86" s="290"/>
      <c r="AG86" s="290"/>
      <c r="AH86" s="290"/>
      <c r="AI86" s="290"/>
      <c r="AJ86" s="291"/>
      <c r="AK86" s="292">
        <f t="shared" si="16"/>
        <v>0</v>
      </c>
      <c r="AL86" s="432">
        <v>0.75</v>
      </c>
      <c r="AM86" s="429">
        <f t="shared" si="17"/>
        <v>1</v>
      </c>
      <c r="AN86" s="605"/>
      <c r="AO86" s="286">
        <f t="shared" si="14"/>
        <v>0</v>
      </c>
    </row>
    <row r="87" spans="1:41" s="286" customFormat="1" ht="27.75" customHeight="1">
      <c r="A87" s="410">
        <v>11</v>
      </c>
      <c r="B87" s="429"/>
      <c r="C87" s="313"/>
      <c r="D87" s="435" t="s">
        <v>33</v>
      </c>
      <c r="E87" s="372" t="s">
        <v>329</v>
      </c>
      <c r="F87" s="313"/>
      <c r="G87" s="313"/>
      <c r="H87" s="313"/>
      <c r="I87" s="313"/>
      <c r="J87" s="314"/>
      <c r="K87" s="290"/>
      <c r="L87" s="290"/>
      <c r="M87" s="313"/>
      <c r="N87" s="313"/>
      <c r="O87" s="313"/>
      <c r="P87" s="313"/>
      <c r="Q87" s="314"/>
      <c r="R87" s="313"/>
      <c r="S87" s="290"/>
      <c r="T87" s="290"/>
      <c r="U87" s="313"/>
      <c r="V87" s="313"/>
      <c r="W87" s="314"/>
      <c r="X87" s="313"/>
      <c r="Y87" s="313"/>
      <c r="Z87" s="313"/>
      <c r="AA87" s="313"/>
      <c r="AB87" s="313"/>
      <c r="AC87" s="313"/>
      <c r="AD87" s="314"/>
      <c r="AE87" s="313"/>
      <c r="AF87" s="313"/>
      <c r="AG87" s="313"/>
      <c r="AH87" s="313"/>
      <c r="AI87" s="313"/>
      <c r="AJ87" s="315"/>
      <c r="AK87" s="292">
        <f t="shared" si="16"/>
        <v>0</v>
      </c>
      <c r="AL87" s="432">
        <v>0.75</v>
      </c>
      <c r="AM87" s="429">
        <f t="shared" si="17"/>
        <v>1</v>
      </c>
      <c r="AN87" s="605"/>
      <c r="AO87" s="286">
        <f t="shared" si="14"/>
        <v>0</v>
      </c>
    </row>
    <row r="88" spans="1:41" s="286" customFormat="1" ht="27.75" customHeight="1">
      <c r="A88" s="287">
        <v>12</v>
      </c>
      <c r="B88" s="429"/>
      <c r="C88" s="318"/>
      <c r="D88" s="436" t="s">
        <v>345</v>
      </c>
      <c r="E88" s="437" t="s">
        <v>330</v>
      </c>
      <c r="F88" s="318"/>
      <c r="G88" s="318"/>
      <c r="H88" s="318"/>
      <c r="I88" s="318"/>
      <c r="J88" s="319"/>
      <c r="K88" s="318"/>
      <c r="L88" s="318"/>
      <c r="M88" s="318"/>
      <c r="N88" s="318"/>
      <c r="O88" s="318"/>
      <c r="P88" s="318"/>
      <c r="Q88" s="319"/>
      <c r="R88" s="318"/>
      <c r="S88" s="318"/>
      <c r="T88" s="318"/>
      <c r="U88" s="318"/>
      <c r="V88" s="318"/>
      <c r="W88" s="319"/>
      <c r="X88" s="318"/>
      <c r="Y88" s="318"/>
      <c r="Z88" s="318"/>
      <c r="AA88" s="318"/>
      <c r="AB88" s="318"/>
      <c r="AC88" s="318"/>
      <c r="AD88" s="319"/>
      <c r="AE88" s="318"/>
      <c r="AF88" s="318"/>
      <c r="AG88" s="318"/>
      <c r="AH88" s="318"/>
      <c r="AI88" s="318"/>
      <c r="AJ88" s="320"/>
      <c r="AK88" s="292">
        <f t="shared" si="16"/>
        <v>0</v>
      </c>
      <c r="AL88" s="432">
        <v>0.75</v>
      </c>
      <c r="AM88" s="429">
        <f t="shared" si="17"/>
        <v>1</v>
      </c>
      <c r="AN88" s="605"/>
      <c r="AO88" s="286">
        <f t="shared" si="14"/>
        <v>0</v>
      </c>
    </row>
    <row r="89" spans="1:41" s="286" customFormat="1" ht="27.75" customHeight="1">
      <c r="A89" s="410">
        <v>13</v>
      </c>
      <c r="B89" s="463"/>
      <c r="C89" s="304"/>
      <c r="D89" s="405" t="s">
        <v>312</v>
      </c>
      <c r="E89" s="308" t="s">
        <v>330</v>
      </c>
      <c r="F89" s="304"/>
      <c r="G89" s="304"/>
      <c r="H89" s="304"/>
      <c r="I89" s="304"/>
      <c r="J89" s="309"/>
      <c r="K89" s="304"/>
      <c r="L89" s="304"/>
      <c r="M89" s="304"/>
      <c r="N89" s="304"/>
      <c r="O89" s="304"/>
      <c r="P89" s="304"/>
      <c r="Q89" s="309"/>
      <c r="R89" s="304"/>
      <c r="S89" s="322"/>
      <c r="T89" s="304"/>
      <c r="U89" s="304"/>
      <c r="V89" s="304"/>
      <c r="W89" s="309"/>
      <c r="X89" s="304"/>
      <c r="Y89" s="304"/>
      <c r="Z89" s="304"/>
      <c r="AA89" s="304"/>
      <c r="AB89" s="304"/>
      <c r="AC89" s="304"/>
      <c r="AD89" s="309"/>
      <c r="AE89" s="304"/>
      <c r="AF89" s="304"/>
      <c r="AG89" s="304"/>
      <c r="AH89" s="304"/>
      <c r="AI89" s="304"/>
      <c r="AJ89" s="306"/>
      <c r="AK89" s="292">
        <f t="shared" si="16"/>
        <v>0</v>
      </c>
      <c r="AL89" s="432">
        <v>0.75</v>
      </c>
      <c r="AM89" s="429">
        <f t="shared" si="17"/>
        <v>1</v>
      </c>
      <c r="AN89" s="605"/>
      <c r="AO89" s="286">
        <f t="shared" si="14"/>
        <v>0</v>
      </c>
    </row>
    <row r="90" spans="1:41" s="286" customFormat="1" ht="27.75" customHeight="1">
      <c r="A90" s="287">
        <v>14</v>
      </c>
      <c r="B90" s="463"/>
      <c r="C90" s="304"/>
      <c r="D90" s="379" t="s">
        <v>34</v>
      </c>
      <c r="E90" s="433" t="s">
        <v>6</v>
      </c>
      <c r="F90" s="304"/>
      <c r="G90" s="304"/>
      <c r="H90" s="304"/>
      <c r="I90" s="304"/>
      <c r="J90" s="309"/>
      <c r="K90" s="304"/>
      <c r="L90" s="304"/>
      <c r="M90" s="304"/>
      <c r="N90" s="304"/>
      <c r="O90" s="304"/>
      <c r="P90" s="304"/>
      <c r="Q90" s="309"/>
      <c r="R90" s="304"/>
      <c r="S90" s="290"/>
      <c r="T90" s="304"/>
      <c r="U90" s="304"/>
      <c r="V90" s="304"/>
      <c r="W90" s="309"/>
      <c r="X90" s="304"/>
      <c r="Y90" s="304"/>
      <c r="Z90" s="304"/>
      <c r="AA90" s="304"/>
      <c r="AB90" s="304"/>
      <c r="AC90" s="304"/>
      <c r="AD90" s="309"/>
      <c r="AE90" s="304"/>
      <c r="AF90" s="304"/>
      <c r="AG90" s="304"/>
      <c r="AH90" s="304"/>
      <c r="AI90" s="304"/>
      <c r="AJ90" s="306"/>
      <c r="AK90" s="292">
        <f t="shared" si="16"/>
        <v>0</v>
      </c>
      <c r="AL90" s="432">
        <v>0.75</v>
      </c>
      <c r="AM90" s="429">
        <f t="shared" si="17"/>
        <v>1</v>
      </c>
      <c r="AN90" s="605"/>
      <c r="AO90" s="286">
        <f t="shared" si="14"/>
        <v>0</v>
      </c>
    </row>
    <row r="91" spans="1:41" s="286" customFormat="1" ht="27.75" customHeight="1">
      <c r="A91" s="410">
        <v>15</v>
      </c>
      <c r="B91" s="429"/>
      <c r="C91" s="304"/>
      <c r="D91" s="327" t="s">
        <v>305</v>
      </c>
      <c r="E91" s="433" t="s">
        <v>6</v>
      </c>
      <c r="F91" s="325"/>
      <c r="G91" s="325"/>
      <c r="H91" s="325"/>
      <c r="I91" s="304"/>
      <c r="J91" s="309"/>
      <c r="K91" s="325"/>
      <c r="L91" s="325"/>
      <c r="M91" s="325"/>
      <c r="N91" s="325"/>
      <c r="O91" s="325"/>
      <c r="P91" s="325"/>
      <c r="Q91" s="309"/>
      <c r="R91" s="325"/>
      <c r="S91" s="325"/>
      <c r="T91" s="325"/>
      <c r="U91" s="325"/>
      <c r="V91" s="325"/>
      <c r="W91" s="309"/>
      <c r="X91" s="325"/>
      <c r="Y91" s="325"/>
      <c r="Z91" s="325"/>
      <c r="AA91" s="325"/>
      <c r="AB91" s="325"/>
      <c r="AC91" s="325"/>
      <c r="AD91" s="309"/>
      <c r="AE91" s="325"/>
      <c r="AF91" s="325"/>
      <c r="AG91" s="325"/>
      <c r="AH91" s="325"/>
      <c r="AI91" s="325"/>
      <c r="AJ91" s="326"/>
      <c r="AK91" s="292">
        <f t="shared" si="16"/>
        <v>0</v>
      </c>
      <c r="AL91" s="432">
        <v>0.75</v>
      </c>
      <c r="AM91" s="429">
        <f t="shared" si="17"/>
        <v>1</v>
      </c>
      <c r="AN91" s="605"/>
      <c r="AO91" s="286">
        <f t="shared" si="14"/>
        <v>0</v>
      </c>
    </row>
    <row r="92" spans="1:41" s="286" customFormat="1" ht="27.75" customHeight="1">
      <c r="A92" s="287">
        <v>16</v>
      </c>
      <c r="B92" s="462"/>
      <c r="C92" s="313"/>
      <c r="D92" s="435" t="s">
        <v>306</v>
      </c>
      <c r="E92" s="298" t="s">
        <v>6</v>
      </c>
      <c r="F92" s="313"/>
      <c r="G92" s="313"/>
      <c r="H92" s="313"/>
      <c r="I92" s="313"/>
      <c r="J92" s="314"/>
      <c r="K92" s="313"/>
      <c r="L92" s="313"/>
      <c r="M92" s="313"/>
      <c r="N92" s="313"/>
      <c r="O92" s="313"/>
      <c r="P92" s="313"/>
      <c r="Q92" s="314"/>
      <c r="R92" s="313"/>
      <c r="S92" s="313"/>
      <c r="T92" s="313"/>
      <c r="U92" s="313"/>
      <c r="V92" s="313"/>
      <c r="W92" s="314"/>
      <c r="X92" s="313"/>
      <c r="Y92" s="313"/>
      <c r="Z92" s="313"/>
      <c r="AA92" s="313"/>
      <c r="AB92" s="313"/>
      <c r="AC92" s="313"/>
      <c r="AD92" s="314"/>
      <c r="AE92" s="313"/>
      <c r="AF92" s="313"/>
      <c r="AG92" s="313"/>
      <c r="AH92" s="313"/>
      <c r="AI92" s="313"/>
      <c r="AJ92" s="315"/>
      <c r="AK92" s="292">
        <f t="shared" si="16"/>
        <v>0</v>
      </c>
      <c r="AL92" s="432">
        <v>0.75</v>
      </c>
      <c r="AM92" s="429">
        <f t="shared" si="17"/>
        <v>1</v>
      </c>
      <c r="AN92" s="605"/>
      <c r="AO92" s="286">
        <f t="shared" si="14"/>
        <v>0</v>
      </c>
    </row>
    <row r="93" spans="1:41" s="286" customFormat="1" ht="27.75" customHeight="1">
      <c r="A93" s="410">
        <v>17</v>
      </c>
      <c r="B93" s="463"/>
      <c r="C93" s="318"/>
      <c r="D93" s="382" t="s">
        <v>35</v>
      </c>
      <c r="E93" s="433" t="s">
        <v>331</v>
      </c>
      <c r="F93" s="318"/>
      <c r="G93" s="318"/>
      <c r="H93" s="318"/>
      <c r="I93" s="318"/>
      <c r="J93" s="319"/>
      <c r="K93" s="318"/>
      <c r="L93" s="318"/>
      <c r="M93" s="318"/>
      <c r="N93" s="318"/>
      <c r="O93" s="318"/>
      <c r="P93" s="318"/>
      <c r="Q93" s="319"/>
      <c r="R93" s="318"/>
      <c r="S93" s="318"/>
      <c r="T93" s="318"/>
      <c r="U93" s="318"/>
      <c r="V93" s="318"/>
      <c r="W93" s="319"/>
      <c r="X93" s="318"/>
      <c r="Y93" s="318"/>
      <c r="Z93" s="318"/>
      <c r="AA93" s="318"/>
      <c r="AB93" s="318"/>
      <c r="AC93" s="318"/>
      <c r="AD93" s="319"/>
      <c r="AE93" s="318"/>
      <c r="AF93" s="318"/>
      <c r="AG93" s="318"/>
      <c r="AH93" s="318"/>
      <c r="AI93" s="318"/>
      <c r="AJ93" s="320"/>
      <c r="AK93" s="292">
        <f t="shared" si="16"/>
        <v>0</v>
      </c>
      <c r="AL93" s="432">
        <v>0.75</v>
      </c>
      <c r="AM93" s="429">
        <f t="shared" si="17"/>
        <v>1</v>
      </c>
      <c r="AN93" s="605"/>
      <c r="AO93" s="286">
        <f t="shared" si="14"/>
        <v>0</v>
      </c>
    </row>
    <row r="94" spans="1:41" s="286" customFormat="1" ht="27.75" customHeight="1">
      <c r="A94" s="287">
        <v>18</v>
      </c>
      <c r="B94" s="464"/>
      <c r="C94" s="290"/>
      <c r="D94" s="438" t="s">
        <v>303</v>
      </c>
      <c r="E94" s="433" t="s">
        <v>332</v>
      </c>
      <c r="F94" s="290"/>
      <c r="G94" s="290"/>
      <c r="H94" s="290"/>
      <c r="I94" s="290"/>
      <c r="J94" s="309"/>
      <c r="K94" s="290"/>
      <c r="L94" s="290"/>
      <c r="M94" s="290"/>
      <c r="N94" s="290"/>
      <c r="O94" s="290"/>
      <c r="P94" s="290"/>
      <c r="Q94" s="309"/>
      <c r="R94" s="290"/>
      <c r="S94" s="290"/>
      <c r="T94" s="290"/>
      <c r="U94" s="290"/>
      <c r="V94" s="290"/>
      <c r="W94" s="309"/>
      <c r="X94" s="290"/>
      <c r="Y94" s="290"/>
      <c r="Z94" s="290"/>
      <c r="AA94" s="290"/>
      <c r="AB94" s="290"/>
      <c r="AC94" s="290"/>
      <c r="AD94" s="309"/>
      <c r="AE94" s="290"/>
      <c r="AF94" s="290"/>
      <c r="AG94" s="290"/>
      <c r="AH94" s="290"/>
      <c r="AI94" s="290"/>
      <c r="AJ94" s="291"/>
      <c r="AK94" s="292">
        <f t="shared" si="16"/>
        <v>0</v>
      </c>
      <c r="AL94" s="432">
        <v>0.75</v>
      </c>
      <c r="AM94" s="429">
        <f t="shared" si="17"/>
        <v>1</v>
      </c>
      <c r="AN94" s="605"/>
      <c r="AO94" s="286">
        <f t="shared" si="14"/>
        <v>0</v>
      </c>
    </row>
    <row r="95" spans="1:41" s="286" customFormat="1" ht="27.75" customHeight="1">
      <c r="A95" s="439">
        <v>19</v>
      </c>
      <c r="B95" s="463"/>
      <c r="C95" s="313"/>
      <c r="D95" s="440" t="s">
        <v>313</v>
      </c>
      <c r="E95" s="441" t="s">
        <v>332</v>
      </c>
      <c r="F95" s="313"/>
      <c r="G95" s="313"/>
      <c r="H95" s="313"/>
      <c r="I95" s="313"/>
      <c r="J95" s="314"/>
      <c r="K95" s="313"/>
      <c r="L95" s="313"/>
      <c r="M95" s="313"/>
      <c r="N95" s="313"/>
      <c r="O95" s="313"/>
      <c r="P95" s="313"/>
      <c r="Q95" s="314"/>
      <c r="R95" s="313"/>
      <c r="S95" s="313"/>
      <c r="T95" s="313"/>
      <c r="U95" s="313"/>
      <c r="V95" s="313"/>
      <c r="W95" s="314"/>
      <c r="X95" s="313"/>
      <c r="Y95" s="333"/>
      <c r="Z95" s="313"/>
      <c r="AA95" s="313"/>
      <c r="AB95" s="313"/>
      <c r="AC95" s="313"/>
      <c r="AD95" s="314"/>
      <c r="AE95" s="313"/>
      <c r="AF95" s="313"/>
      <c r="AG95" s="313"/>
      <c r="AH95" s="313"/>
      <c r="AI95" s="313"/>
      <c r="AJ95" s="315"/>
      <c r="AK95" s="292">
        <f t="shared" si="16"/>
        <v>0</v>
      </c>
      <c r="AL95" s="432">
        <v>0.75</v>
      </c>
      <c r="AM95" s="429">
        <f t="shared" si="17"/>
        <v>1</v>
      </c>
      <c r="AN95" s="605"/>
      <c r="AO95" s="286">
        <f t="shared" si="14"/>
        <v>0</v>
      </c>
    </row>
    <row r="96" spans="1:41" s="286" customFormat="1" ht="27.75" customHeight="1">
      <c r="A96" s="287">
        <v>20</v>
      </c>
      <c r="B96" s="463"/>
      <c r="C96" s="318"/>
      <c r="D96" s="382" t="s">
        <v>346</v>
      </c>
      <c r="E96" s="433" t="s">
        <v>333</v>
      </c>
      <c r="F96" s="386"/>
      <c r="G96" s="318"/>
      <c r="H96" s="318"/>
      <c r="I96" s="318"/>
      <c r="J96" s="319"/>
      <c r="K96" s="318"/>
      <c r="L96" s="318"/>
      <c r="M96" s="318"/>
      <c r="N96" s="318"/>
      <c r="O96" s="318"/>
      <c r="P96" s="318"/>
      <c r="Q96" s="319"/>
      <c r="R96" s="318"/>
      <c r="S96" s="320"/>
      <c r="T96" s="335"/>
      <c r="U96" s="336"/>
      <c r="V96" s="318"/>
      <c r="W96" s="319"/>
      <c r="X96" s="318"/>
      <c r="Y96" s="318"/>
      <c r="Z96" s="318"/>
      <c r="AA96" s="318"/>
      <c r="AB96" s="318"/>
      <c r="AC96" s="318"/>
      <c r="AD96" s="319"/>
      <c r="AE96" s="318"/>
      <c r="AF96" s="318"/>
      <c r="AG96" s="318"/>
      <c r="AH96" s="318"/>
      <c r="AI96" s="318"/>
      <c r="AJ96" s="320"/>
      <c r="AK96" s="292">
        <f t="shared" si="16"/>
        <v>0</v>
      </c>
      <c r="AL96" s="432">
        <v>0.75</v>
      </c>
      <c r="AM96" s="429">
        <f t="shared" si="17"/>
        <v>1</v>
      </c>
      <c r="AN96" s="605"/>
      <c r="AO96" s="286">
        <f t="shared" si="14"/>
        <v>0</v>
      </c>
    </row>
    <row r="97" spans="1:43" s="286" customFormat="1" ht="27.75" customHeight="1">
      <c r="A97" s="410">
        <v>21</v>
      </c>
      <c r="B97" s="439"/>
      <c r="C97" s="290"/>
      <c r="D97" s="442" t="s">
        <v>298</v>
      </c>
      <c r="E97" s="433" t="s">
        <v>334</v>
      </c>
      <c r="F97" s="392"/>
      <c r="G97" s="290"/>
      <c r="H97" s="290"/>
      <c r="I97" s="290"/>
      <c r="J97" s="309"/>
      <c r="K97" s="290"/>
      <c r="L97" s="290"/>
      <c r="M97" s="290"/>
      <c r="N97" s="290"/>
      <c r="O97" s="290"/>
      <c r="P97" s="290"/>
      <c r="Q97" s="309"/>
      <c r="R97" s="290"/>
      <c r="S97" s="290"/>
      <c r="T97" s="304"/>
      <c r="U97" s="290"/>
      <c r="V97" s="290"/>
      <c r="W97" s="309"/>
      <c r="X97" s="290"/>
      <c r="Y97" s="290"/>
      <c r="Z97" s="290"/>
      <c r="AA97" s="290"/>
      <c r="AB97" s="290"/>
      <c r="AC97" s="290"/>
      <c r="AD97" s="309"/>
      <c r="AE97" s="290"/>
      <c r="AF97" s="290"/>
      <c r="AG97" s="290"/>
      <c r="AH97" s="290"/>
      <c r="AI97" s="290"/>
      <c r="AJ97" s="291"/>
      <c r="AK97" s="292">
        <f t="shared" si="16"/>
        <v>0</v>
      </c>
      <c r="AL97" s="432">
        <v>0.75</v>
      </c>
      <c r="AM97" s="429">
        <f t="shared" si="17"/>
        <v>1</v>
      </c>
      <c r="AN97" s="605"/>
      <c r="AO97" s="286">
        <f t="shared" si="14"/>
        <v>0</v>
      </c>
    </row>
    <row r="98" spans="1:43" s="286" customFormat="1" ht="27.75" customHeight="1">
      <c r="A98" s="287">
        <v>22</v>
      </c>
      <c r="B98" s="462"/>
      <c r="C98" s="333"/>
      <c r="D98" s="327" t="s">
        <v>36</v>
      </c>
      <c r="E98" s="434" t="s">
        <v>334</v>
      </c>
      <c r="F98" s="394"/>
      <c r="G98" s="333"/>
      <c r="H98" s="333"/>
      <c r="I98" s="333"/>
      <c r="J98" s="314"/>
      <c r="K98" s="333"/>
      <c r="L98" s="333"/>
      <c r="M98" s="333"/>
      <c r="N98" s="333"/>
      <c r="O98" s="333"/>
      <c r="P98" s="333"/>
      <c r="Q98" s="314"/>
      <c r="R98" s="333"/>
      <c r="S98" s="333"/>
      <c r="T98" s="333"/>
      <c r="U98" s="333"/>
      <c r="V98" s="333"/>
      <c r="W98" s="314"/>
      <c r="X98" s="333"/>
      <c r="Y98" s="333"/>
      <c r="Z98" s="333"/>
      <c r="AA98" s="333"/>
      <c r="AB98" s="333"/>
      <c r="AC98" s="333"/>
      <c r="AD98" s="314"/>
      <c r="AE98" s="333"/>
      <c r="AF98" s="333"/>
      <c r="AG98" s="333"/>
      <c r="AH98" s="333"/>
      <c r="AI98" s="333"/>
      <c r="AJ98" s="340"/>
      <c r="AK98" s="292">
        <f t="shared" si="16"/>
        <v>0</v>
      </c>
      <c r="AL98" s="432">
        <v>0.75</v>
      </c>
      <c r="AM98" s="429">
        <f t="shared" si="17"/>
        <v>1</v>
      </c>
      <c r="AN98" s="605"/>
      <c r="AO98" s="286">
        <f t="shared" si="14"/>
        <v>0</v>
      </c>
    </row>
    <row r="99" spans="1:43" s="286" customFormat="1" ht="27.75" customHeight="1" thickBot="1">
      <c r="A99" s="443">
        <v>23</v>
      </c>
      <c r="B99" s="429"/>
      <c r="C99" s="344"/>
      <c r="D99" s="327" t="s">
        <v>314</v>
      </c>
      <c r="E99" s="431" t="s">
        <v>334</v>
      </c>
      <c r="F99" s="397"/>
      <c r="G99" s="344"/>
      <c r="H99" s="344"/>
      <c r="I99" s="344"/>
      <c r="J99" s="345"/>
      <c r="K99" s="344"/>
      <c r="L99" s="344"/>
      <c r="M99" s="344"/>
      <c r="N99" s="344"/>
      <c r="O99" s="344"/>
      <c r="P99" s="344"/>
      <c r="Q99" s="345"/>
      <c r="R99" s="344"/>
      <c r="S99" s="344"/>
      <c r="T99" s="344"/>
      <c r="U99" s="344"/>
      <c r="V99" s="344"/>
      <c r="W99" s="345"/>
      <c r="X99" s="344"/>
      <c r="Y99" s="344"/>
      <c r="Z99" s="344"/>
      <c r="AA99" s="344"/>
      <c r="AB99" s="344"/>
      <c r="AC99" s="344"/>
      <c r="AD99" s="345"/>
      <c r="AE99" s="344"/>
      <c r="AF99" s="344"/>
      <c r="AG99" s="344"/>
      <c r="AH99" s="344"/>
      <c r="AI99" s="344"/>
      <c r="AJ99" s="346"/>
      <c r="AK99" s="292">
        <f t="shared" si="16"/>
        <v>0</v>
      </c>
      <c r="AL99" s="432">
        <v>0.75</v>
      </c>
      <c r="AM99" s="429">
        <f t="shared" si="17"/>
        <v>1</v>
      </c>
      <c r="AN99" s="605"/>
      <c r="AO99" s="286">
        <f t="shared" si="14"/>
        <v>0</v>
      </c>
    </row>
    <row r="100" spans="1:43" ht="27.75" customHeight="1" thickTop="1" thickBot="1">
      <c r="A100" s="606" t="s">
        <v>16</v>
      </c>
      <c r="B100" s="607"/>
      <c r="C100" s="607"/>
      <c r="D100" s="607"/>
      <c r="E100" s="608"/>
      <c r="F100" s="444" t="e">
        <f t="shared" ref="F100:AJ100" si="18">(COUNTIF(F80:F99, "1")+COUNTIF(F80:F99, "2")+COUNTIF(F80:F99, "3")+COUNTIF(F80:F99, "VL")+COUNTIF(F80:F99, "R"))/(SUM(COUNTIF(F80:F99, "x")+COUNTIF(F80:F99, "1")+COUNTIF(F80:F99, "2")+COUNTIF(F80:F99, "3")+COUNTIF(F80:F99, "VL")+COUNTIF(F80:F99, "R")))</f>
        <v>#DIV/0!</v>
      </c>
      <c r="G100" s="445" t="e">
        <f t="shared" si="18"/>
        <v>#DIV/0!</v>
      </c>
      <c r="H100" s="445" t="e">
        <f t="shared" si="18"/>
        <v>#DIV/0!</v>
      </c>
      <c r="I100" s="445" t="e">
        <f t="shared" si="18"/>
        <v>#DIV/0!</v>
      </c>
      <c r="J100" s="445" t="e">
        <f t="shared" si="18"/>
        <v>#DIV/0!</v>
      </c>
      <c r="K100" s="445" t="e">
        <f t="shared" si="18"/>
        <v>#DIV/0!</v>
      </c>
      <c r="L100" s="445" t="e">
        <f t="shared" si="18"/>
        <v>#DIV/0!</v>
      </c>
      <c r="M100" s="445" t="e">
        <f t="shared" si="18"/>
        <v>#DIV/0!</v>
      </c>
      <c r="N100" s="445" t="e">
        <f t="shared" si="18"/>
        <v>#DIV/0!</v>
      </c>
      <c r="O100" s="445" t="e">
        <f t="shared" si="18"/>
        <v>#DIV/0!</v>
      </c>
      <c r="P100" s="445" t="e">
        <f t="shared" si="18"/>
        <v>#DIV/0!</v>
      </c>
      <c r="Q100" s="445" t="e">
        <f t="shared" si="18"/>
        <v>#DIV/0!</v>
      </c>
      <c r="R100" s="445" t="e">
        <f t="shared" si="18"/>
        <v>#DIV/0!</v>
      </c>
      <c r="S100" s="445" t="e">
        <f t="shared" si="18"/>
        <v>#DIV/0!</v>
      </c>
      <c r="T100" s="445" t="e">
        <f t="shared" si="18"/>
        <v>#DIV/0!</v>
      </c>
      <c r="U100" s="445" t="e">
        <f t="shared" si="18"/>
        <v>#DIV/0!</v>
      </c>
      <c r="V100" s="445" t="e">
        <f t="shared" si="18"/>
        <v>#DIV/0!</v>
      </c>
      <c r="W100" s="445" t="e">
        <f t="shared" si="18"/>
        <v>#DIV/0!</v>
      </c>
      <c r="X100" s="445" t="e">
        <f t="shared" si="18"/>
        <v>#DIV/0!</v>
      </c>
      <c r="Y100" s="445" t="e">
        <f t="shared" si="18"/>
        <v>#DIV/0!</v>
      </c>
      <c r="Z100" s="445" t="e">
        <f t="shared" si="18"/>
        <v>#DIV/0!</v>
      </c>
      <c r="AA100" s="445" t="e">
        <f t="shared" si="18"/>
        <v>#DIV/0!</v>
      </c>
      <c r="AB100" s="446" t="e">
        <f t="shared" si="18"/>
        <v>#DIV/0!</v>
      </c>
      <c r="AC100" s="445" t="e">
        <f t="shared" si="18"/>
        <v>#DIV/0!</v>
      </c>
      <c r="AD100" s="445" t="e">
        <f t="shared" si="18"/>
        <v>#DIV/0!</v>
      </c>
      <c r="AE100" s="445" t="e">
        <f t="shared" si="18"/>
        <v>#DIV/0!</v>
      </c>
      <c r="AF100" s="445" t="e">
        <f t="shared" si="18"/>
        <v>#DIV/0!</v>
      </c>
      <c r="AG100" s="445" t="e">
        <f t="shared" si="18"/>
        <v>#DIV/0!</v>
      </c>
      <c r="AH100" s="445" t="e">
        <f t="shared" si="18"/>
        <v>#DIV/0!</v>
      </c>
      <c r="AI100" s="445" t="e">
        <f t="shared" si="18"/>
        <v>#DIV/0!</v>
      </c>
      <c r="AJ100" s="447" t="e">
        <f t="shared" si="18"/>
        <v>#DIV/0!</v>
      </c>
      <c r="AK100" s="350"/>
      <c r="AL100" s="448"/>
      <c r="AM100" s="449"/>
      <c r="AN100" s="352"/>
      <c r="AO100" s="286"/>
      <c r="AP100">
        <f>SUM(AO77:AO99)</f>
        <v>0</v>
      </c>
      <c r="AQ100">
        <f>SUM(AP100,AP76,AP52,AP26)</f>
        <v>0</v>
      </c>
    </row>
    <row r="101" spans="1:43" ht="15.75" thickTop="1"/>
    <row r="102" spans="1:43">
      <c r="AK102" s="262">
        <f>AVERAGE(AK79:AK99)</f>
        <v>0</v>
      </c>
    </row>
    <row r="105" spans="1:43">
      <c r="AK105" s="450"/>
    </row>
    <row r="106" spans="1:43">
      <c r="AK106" s="450"/>
      <c r="AN106" s="450"/>
    </row>
    <row r="107" spans="1:43">
      <c r="AN107" s="450"/>
    </row>
  </sheetData>
  <sheetProtection formatCells="0" formatColumns="0" formatRows="0" insertColumns="0" insertRows="0" insertHyperlinks="0" deleteColumns="0" deleteRows="0" sort="0" autoFilter="0" pivotTables="0"/>
  <mergeCells count="15">
    <mergeCell ref="A76:E76"/>
    <mergeCell ref="AN77:AN99"/>
    <mergeCell ref="A100:E100"/>
    <mergeCell ref="AN2:AN3"/>
    <mergeCell ref="AN4:AN25"/>
    <mergeCell ref="A26:E26"/>
    <mergeCell ref="AN27:AN51"/>
    <mergeCell ref="A52:E52"/>
    <mergeCell ref="AN53:AN75"/>
    <mergeCell ref="A1:A3"/>
    <mergeCell ref="D1:D3"/>
    <mergeCell ref="F1:AJ1"/>
    <mergeCell ref="AK1:AK3"/>
    <mergeCell ref="AL1:AL3"/>
    <mergeCell ref="AM1:AM3"/>
  </mergeCells>
  <conditionalFormatting sqref="AM54:AM55 AM4:AM25">
    <cfRule type="cellIs" dxfId="10042" priority="430" operator="equal">
      <formula>3</formula>
    </cfRule>
    <cfRule type="cellIs" dxfId="10041" priority="431" operator="equal">
      <formula>2</formula>
    </cfRule>
    <cfRule type="cellIs" dxfId="10040" priority="432" operator="equal">
      <formula>1</formula>
    </cfRule>
  </conditionalFormatting>
  <conditionalFormatting sqref="AM27:AM43 AM84 AM56:AM59">
    <cfRule type="cellIs" dxfId="10039" priority="427" operator="equal">
      <formula>3</formula>
    </cfRule>
    <cfRule type="cellIs" dxfId="10038" priority="428" operator="equal">
      <formula>2</formula>
    </cfRule>
    <cfRule type="cellIs" dxfId="10037" priority="429" operator="equal">
      <formula>1</formula>
    </cfRule>
  </conditionalFormatting>
  <conditionalFormatting sqref="AM44:AM47">
    <cfRule type="cellIs" dxfId="10036" priority="424" operator="equal">
      <formula>3</formula>
    </cfRule>
    <cfRule type="cellIs" dxfId="10035" priority="425" operator="equal">
      <formula>2</formula>
    </cfRule>
    <cfRule type="cellIs" dxfId="10034" priority="426" operator="equal">
      <formula>1</formula>
    </cfRule>
  </conditionalFormatting>
  <conditionalFormatting sqref="AM49:AM51">
    <cfRule type="cellIs" dxfId="10033" priority="421" operator="equal">
      <formula>3</formula>
    </cfRule>
    <cfRule type="cellIs" dxfId="10032" priority="422" operator="equal">
      <formula>2</formula>
    </cfRule>
    <cfRule type="cellIs" dxfId="10031" priority="423" operator="equal">
      <formula>1</formula>
    </cfRule>
  </conditionalFormatting>
  <conditionalFormatting sqref="AM48">
    <cfRule type="cellIs" dxfId="10030" priority="418" operator="equal">
      <formula>3</formula>
    </cfRule>
    <cfRule type="cellIs" dxfId="10029" priority="419" operator="equal">
      <formula>2</formula>
    </cfRule>
    <cfRule type="cellIs" dxfId="10028" priority="420" operator="equal">
      <formula>1</formula>
    </cfRule>
  </conditionalFormatting>
  <conditionalFormatting sqref="AM64:AM65">
    <cfRule type="cellIs" dxfId="10027" priority="415" operator="equal">
      <formula>3</formula>
    </cfRule>
    <cfRule type="cellIs" dxfId="10026" priority="416" operator="equal">
      <formula>2</formula>
    </cfRule>
    <cfRule type="cellIs" dxfId="10025" priority="417" operator="equal">
      <formula>1</formula>
    </cfRule>
  </conditionalFormatting>
  <conditionalFormatting sqref="AM60:AM63">
    <cfRule type="cellIs" dxfId="10024" priority="412" operator="equal">
      <formula>3</formula>
    </cfRule>
    <cfRule type="cellIs" dxfId="10023" priority="413" operator="equal">
      <formula>2</formula>
    </cfRule>
    <cfRule type="cellIs" dxfId="10022" priority="414" operator="equal">
      <formula>1</formula>
    </cfRule>
  </conditionalFormatting>
  <conditionalFormatting sqref="AM80:AM83">
    <cfRule type="cellIs" dxfId="10021" priority="409" operator="equal">
      <formula>3</formula>
    </cfRule>
    <cfRule type="cellIs" dxfId="10020" priority="410" operator="equal">
      <formula>2</formula>
    </cfRule>
    <cfRule type="cellIs" dxfId="10019" priority="411" operator="equal">
      <formula>1</formula>
    </cfRule>
  </conditionalFormatting>
  <conditionalFormatting sqref="AM66:AM69">
    <cfRule type="cellIs" dxfId="10018" priority="406" operator="equal">
      <formula>3</formula>
    </cfRule>
    <cfRule type="cellIs" dxfId="10017" priority="407" operator="equal">
      <formula>2</formula>
    </cfRule>
    <cfRule type="cellIs" dxfId="10016" priority="408" operator="equal">
      <formula>1</formula>
    </cfRule>
  </conditionalFormatting>
  <conditionalFormatting sqref="AM74:AM75">
    <cfRule type="cellIs" dxfId="10015" priority="403" operator="equal">
      <formula>3</formula>
    </cfRule>
    <cfRule type="cellIs" dxfId="10014" priority="404" operator="equal">
      <formula>2</formula>
    </cfRule>
    <cfRule type="cellIs" dxfId="10013" priority="405" operator="equal">
      <formula>1</formula>
    </cfRule>
  </conditionalFormatting>
  <conditionalFormatting sqref="AM70:AM73">
    <cfRule type="cellIs" dxfId="10012" priority="400" operator="equal">
      <formula>3</formula>
    </cfRule>
    <cfRule type="cellIs" dxfId="10011" priority="401" operator="equal">
      <formula>2</formula>
    </cfRule>
    <cfRule type="cellIs" dxfId="10010" priority="402" operator="equal">
      <formula>1</formula>
    </cfRule>
  </conditionalFormatting>
  <conditionalFormatting sqref="AM77:AM79">
    <cfRule type="cellIs" dxfId="10009" priority="397" operator="equal">
      <formula>3</formula>
    </cfRule>
    <cfRule type="cellIs" dxfId="10008" priority="398" operator="equal">
      <formula>2</formula>
    </cfRule>
    <cfRule type="cellIs" dxfId="10007" priority="399" operator="equal">
      <formula>1</formula>
    </cfRule>
  </conditionalFormatting>
  <conditionalFormatting sqref="AM85:AM86">
    <cfRule type="cellIs" dxfId="10006" priority="394" operator="equal">
      <formula>3</formula>
    </cfRule>
    <cfRule type="cellIs" dxfId="10005" priority="395" operator="equal">
      <formula>2</formula>
    </cfRule>
    <cfRule type="cellIs" dxfId="10004" priority="396" operator="equal">
      <formula>1</formula>
    </cfRule>
  </conditionalFormatting>
  <conditionalFormatting sqref="AM81:AM84">
    <cfRule type="cellIs" dxfId="10003" priority="391" operator="equal">
      <formula>3</formula>
    </cfRule>
    <cfRule type="cellIs" dxfId="10002" priority="392" operator="equal">
      <formula>2</formula>
    </cfRule>
    <cfRule type="cellIs" dxfId="10001" priority="393" operator="equal">
      <formula>1</formula>
    </cfRule>
  </conditionalFormatting>
  <conditionalFormatting sqref="AM89:AM91">
    <cfRule type="cellIs" dxfId="10000" priority="388" operator="equal">
      <formula>3</formula>
    </cfRule>
    <cfRule type="cellIs" dxfId="9999" priority="389" operator="equal">
      <formula>2</formula>
    </cfRule>
    <cfRule type="cellIs" dxfId="9998" priority="390" operator="equal">
      <formula>1</formula>
    </cfRule>
  </conditionalFormatting>
  <conditionalFormatting sqref="AM86:AM88">
    <cfRule type="cellIs" dxfId="9997" priority="385" operator="equal">
      <formula>3</formula>
    </cfRule>
    <cfRule type="cellIs" dxfId="9996" priority="386" operator="equal">
      <formula>2</formula>
    </cfRule>
    <cfRule type="cellIs" dxfId="9995" priority="387" operator="equal">
      <formula>1</formula>
    </cfRule>
  </conditionalFormatting>
  <conditionalFormatting sqref="AM92">
    <cfRule type="cellIs" dxfId="9994" priority="382" operator="equal">
      <formula>3</formula>
    </cfRule>
    <cfRule type="cellIs" dxfId="9993" priority="383" operator="equal">
      <formula>2</formula>
    </cfRule>
    <cfRule type="cellIs" dxfId="9992" priority="384" operator="equal">
      <formula>1</formula>
    </cfRule>
  </conditionalFormatting>
  <conditionalFormatting sqref="AM90:AM91">
    <cfRule type="cellIs" dxfId="9991" priority="379" operator="equal">
      <formula>3</formula>
    </cfRule>
    <cfRule type="cellIs" dxfId="9990" priority="380" operator="equal">
      <formula>2</formula>
    </cfRule>
    <cfRule type="cellIs" dxfId="9989" priority="381" operator="equal">
      <formula>1</formula>
    </cfRule>
  </conditionalFormatting>
  <conditionalFormatting sqref="AM93:AM95">
    <cfRule type="cellIs" dxfId="9988" priority="376" operator="equal">
      <formula>3</formula>
    </cfRule>
    <cfRule type="cellIs" dxfId="9987" priority="377" operator="equal">
      <formula>2</formula>
    </cfRule>
    <cfRule type="cellIs" dxfId="9986" priority="378" operator="equal">
      <formula>1</formula>
    </cfRule>
  </conditionalFormatting>
  <conditionalFormatting sqref="AM96:AM97">
    <cfRule type="cellIs" dxfId="9985" priority="373" operator="equal">
      <formula>3</formula>
    </cfRule>
    <cfRule type="cellIs" dxfId="9984" priority="374" operator="equal">
      <formula>2</formula>
    </cfRule>
    <cfRule type="cellIs" dxfId="9983" priority="375" operator="equal">
      <formula>1</formula>
    </cfRule>
  </conditionalFormatting>
  <conditionalFormatting sqref="AM94:AM95">
    <cfRule type="cellIs" dxfId="9982" priority="370" operator="equal">
      <formula>3</formula>
    </cfRule>
    <cfRule type="cellIs" dxfId="9981" priority="371" operator="equal">
      <formula>2</formula>
    </cfRule>
    <cfRule type="cellIs" dxfId="9980" priority="372" operator="equal">
      <formula>1</formula>
    </cfRule>
  </conditionalFormatting>
  <conditionalFormatting sqref="AM97:AM99">
    <cfRule type="cellIs" dxfId="9979" priority="367" operator="equal">
      <formula>3</formula>
    </cfRule>
    <cfRule type="cellIs" dxfId="9978" priority="368" operator="equal">
      <formula>2</formula>
    </cfRule>
    <cfRule type="cellIs" dxfId="9977" priority="369" operator="equal">
      <formula>1</formula>
    </cfRule>
  </conditionalFormatting>
  <conditionalFormatting sqref="AM4:AM52 AM54:AM75">
    <cfRule type="cellIs" dxfId="9976" priority="213" operator="greaterThan">
      <formula>40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rgb="FF00B050"/>
  </sheetPr>
  <dimension ref="A1:BA134"/>
  <sheetViews>
    <sheetView showGridLines="0" zoomScale="55" zoomScaleNormal="55" workbookViewId="0">
      <pane xSplit="6" ySplit="4" topLeftCell="G5" activePane="bottomRight" state="frozen"/>
      <selection activeCell="I30" sqref="I30"/>
      <selection pane="topRight" activeCell="I30" sqref="I30"/>
      <selection pane="bottomLeft" activeCell="I30" sqref="I30"/>
      <selection pane="bottomRight" activeCell="G88" sqref="G88"/>
    </sheetView>
  </sheetViews>
  <sheetFormatPr defaultColWidth="9.42578125" defaultRowHeight="25.35" customHeight="1"/>
  <cols>
    <col min="1" max="1" width="9.42578125" style="2"/>
    <col min="2" max="2" width="7.42578125" style="45" customWidth="1"/>
    <col min="3" max="3" width="5.5703125" style="45" customWidth="1"/>
    <col min="4" max="4" width="5.5703125" style="2" customWidth="1"/>
    <col min="5" max="5" width="45.5703125" style="2" customWidth="1"/>
    <col min="6" max="6" width="9.42578125" style="2" customWidth="1"/>
    <col min="7" max="26" width="6.42578125" style="2" customWidth="1"/>
    <col min="27" max="27" width="6.5703125" style="2" customWidth="1"/>
    <col min="28" max="36" width="6.42578125" style="2" customWidth="1"/>
    <col min="37" max="37" width="6.5703125" style="2" hidden="1" customWidth="1"/>
    <col min="38" max="38" width="6.42578125" style="2" customWidth="1"/>
    <col min="39" max="40" width="15.5703125" style="2" customWidth="1"/>
    <col min="41" max="42" width="5.5703125" style="2" customWidth="1"/>
    <col min="43" max="44" width="5.5703125" style="2" hidden="1" customWidth="1"/>
    <col min="45" max="45" width="7.5703125" style="2" hidden="1" customWidth="1"/>
    <col min="46" max="46" width="10.5703125" style="18" hidden="1" customWidth="1"/>
    <col min="47" max="47" width="5.5703125" style="2" hidden="1" customWidth="1"/>
    <col min="48" max="48" width="5.5703125" style="18" hidden="1" customWidth="1"/>
    <col min="49" max="49" width="13" style="2" hidden="1" customWidth="1"/>
    <col min="50" max="50" width="14.42578125" style="2" hidden="1" customWidth="1"/>
    <col min="51" max="51" width="11.42578125" style="2" hidden="1" customWidth="1"/>
    <col min="52" max="53" width="9.42578125" style="2" hidden="1" customWidth="1"/>
    <col min="54" max="16384" width="9.42578125" style="2"/>
  </cols>
  <sheetData>
    <row r="1" spans="1:53" ht="25.35" customHeight="1">
      <c r="B1" s="46"/>
      <c r="C1" s="46"/>
      <c r="F1" s="41">
        <f>G3-1</f>
        <v>44592</v>
      </c>
    </row>
    <row r="2" spans="1:53" ht="25.35" customHeight="1">
      <c r="B2" s="46" t="e">
        <f>IF(OR(#REF!="NJL",#REF!="JED",#REF!="CCB"),"CNG",IF(OR(#REF!="PRC",#REF!="CJA",#REF!="CLC"),"ALB",IF(OR(#REF!="JMC",#REF!="VPL",#REF!="RSJ",#REF!="JBL"),"EEV",IF(OR(#REF!="ARC",#REF!="NJL"),"MSA",IF(OR(#REF!="ADMIN"),"ADMN","")))))</f>
        <v>#REF!</v>
      </c>
      <c r="C2" s="46"/>
      <c r="D2" s="578" t="s">
        <v>53</v>
      </c>
      <c r="E2" s="578"/>
      <c r="F2" s="68" t="s">
        <v>13</v>
      </c>
      <c r="G2" s="636" t="s">
        <v>209</v>
      </c>
      <c r="H2" s="636"/>
      <c r="I2" s="636"/>
      <c r="J2" s="636"/>
      <c r="K2" s="636"/>
      <c r="L2" s="636"/>
      <c r="M2" s="636"/>
      <c r="N2" s="636"/>
      <c r="O2" s="636"/>
      <c r="P2" s="636"/>
      <c r="Q2" s="636"/>
      <c r="R2" s="636"/>
      <c r="S2" s="636"/>
      <c r="T2" s="636"/>
      <c r="U2" s="636"/>
      <c r="V2" s="636"/>
      <c r="W2" s="636"/>
      <c r="X2" s="636"/>
      <c r="Y2" s="636"/>
      <c r="Z2" s="636"/>
      <c r="AA2" s="636"/>
      <c r="AB2" s="636"/>
      <c r="AC2" s="636"/>
      <c r="AD2" s="636"/>
      <c r="AE2" s="636"/>
      <c r="AF2" s="636"/>
      <c r="AG2" s="636"/>
      <c r="AH2" s="636"/>
      <c r="AI2" s="636"/>
      <c r="AJ2" s="636"/>
      <c r="AK2" s="636"/>
      <c r="AL2" s="22"/>
      <c r="AM2" s="69" t="s">
        <v>57</v>
      </c>
      <c r="AN2" s="70" t="s">
        <v>16</v>
      </c>
      <c r="AT2" s="2"/>
      <c r="AV2" s="2"/>
    </row>
    <row r="3" spans="1:53" ht="25.35" customHeight="1">
      <c r="B3" s="46"/>
      <c r="C3" s="46"/>
      <c r="D3" s="578"/>
      <c r="E3" s="578"/>
      <c r="F3" s="71" t="s">
        <v>14</v>
      </c>
      <c r="G3" s="72">
        <v>44593</v>
      </c>
      <c r="H3" s="72">
        <f>G3+1</f>
        <v>44594</v>
      </c>
      <c r="I3" s="72">
        <f t="shared" ref="I3:AH3" si="0">H3+1</f>
        <v>44595</v>
      </c>
      <c r="J3" s="72">
        <f t="shared" si="0"/>
        <v>44596</v>
      </c>
      <c r="K3" s="72">
        <f t="shared" si="0"/>
        <v>44597</v>
      </c>
      <c r="L3" s="72">
        <f t="shared" si="0"/>
        <v>44598</v>
      </c>
      <c r="M3" s="72">
        <f t="shared" si="0"/>
        <v>44599</v>
      </c>
      <c r="N3" s="72">
        <f t="shared" si="0"/>
        <v>44600</v>
      </c>
      <c r="O3" s="72">
        <f t="shared" si="0"/>
        <v>44601</v>
      </c>
      <c r="P3" s="72">
        <f t="shared" si="0"/>
        <v>44602</v>
      </c>
      <c r="Q3" s="72">
        <f t="shared" si="0"/>
        <v>44603</v>
      </c>
      <c r="R3" s="72">
        <f t="shared" si="0"/>
        <v>44604</v>
      </c>
      <c r="S3" s="72">
        <f t="shared" si="0"/>
        <v>44605</v>
      </c>
      <c r="T3" s="72">
        <f t="shared" si="0"/>
        <v>44606</v>
      </c>
      <c r="U3" s="72">
        <f t="shared" si="0"/>
        <v>44607</v>
      </c>
      <c r="V3" s="72">
        <f t="shared" si="0"/>
        <v>44608</v>
      </c>
      <c r="W3" s="72">
        <f t="shared" si="0"/>
        <v>44609</v>
      </c>
      <c r="X3" s="72">
        <f t="shared" si="0"/>
        <v>44610</v>
      </c>
      <c r="Y3" s="72">
        <f t="shared" si="0"/>
        <v>44611</v>
      </c>
      <c r="Z3" s="72">
        <f t="shared" si="0"/>
        <v>44612</v>
      </c>
      <c r="AA3" s="72">
        <f t="shared" si="0"/>
        <v>44613</v>
      </c>
      <c r="AB3" s="72">
        <f t="shared" si="0"/>
        <v>44614</v>
      </c>
      <c r="AC3" s="72">
        <f t="shared" si="0"/>
        <v>44615</v>
      </c>
      <c r="AD3" s="72">
        <f t="shared" si="0"/>
        <v>44616</v>
      </c>
      <c r="AE3" s="72">
        <f t="shared" si="0"/>
        <v>44617</v>
      </c>
      <c r="AF3" s="72">
        <f t="shared" si="0"/>
        <v>44618</v>
      </c>
      <c r="AG3" s="72">
        <f t="shared" si="0"/>
        <v>44619</v>
      </c>
      <c r="AH3" s="72">
        <f t="shared" si="0"/>
        <v>44620</v>
      </c>
      <c r="AI3" s="72">
        <v>29</v>
      </c>
      <c r="AJ3" s="72">
        <f>AI3+1</f>
        <v>30</v>
      </c>
      <c r="AK3" s="72">
        <f>AJ3+1</f>
        <v>31</v>
      </c>
      <c r="AL3" s="72">
        <v>31</v>
      </c>
      <c r="AM3" s="73" t="s">
        <v>58</v>
      </c>
      <c r="AN3" s="637" t="s">
        <v>56</v>
      </c>
      <c r="AT3" s="2"/>
      <c r="AV3" s="2"/>
    </row>
    <row r="4" spans="1:53" ht="25.35" customHeight="1" thickBot="1">
      <c r="B4" s="46"/>
      <c r="C4" s="46"/>
      <c r="D4" s="578"/>
      <c r="E4" s="578"/>
      <c r="F4" s="71" t="s">
        <v>15</v>
      </c>
      <c r="G4" s="74" t="s">
        <v>199</v>
      </c>
      <c r="H4" s="74" t="s">
        <v>200</v>
      </c>
      <c r="I4" s="74" t="s">
        <v>201</v>
      </c>
      <c r="J4" s="74" t="s">
        <v>202</v>
      </c>
      <c r="K4" s="74" t="s">
        <v>196</v>
      </c>
      <c r="L4" s="74" t="s">
        <v>197</v>
      </c>
      <c r="M4" s="74" t="s">
        <v>198</v>
      </c>
      <c r="N4" s="74" t="s">
        <v>199</v>
      </c>
      <c r="O4" s="74" t="s">
        <v>200</v>
      </c>
      <c r="P4" s="74" t="s">
        <v>201</v>
      </c>
      <c r="Q4" s="74" t="s">
        <v>202</v>
      </c>
      <c r="R4" s="74" t="s">
        <v>196</v>
      </c>
      <c r="S4" s="74" t="s">
        <v>197</v>
      </c>
      <c r="T4" s="74" t="s">
        <v>198</v>
      </c>
      <c r="U4" s="74" t="s">
        <v>199</v>
      </c>
      <c r="V4" s="74" t="s">
        <v>200</v>
      </c>
      <c r="W4" s="74" t="s">
        <v>201</v>
      </c>
      <c r="X4" s="74" t="s">
        <v>202</v>
      </c>
      <c r="Y4" s="74" t="s">
        <v>196</v>
      </c>
      <c r="Z4" s="74" t="s">
        <v>197</v>
      </c>
      <c r="AA4" s="74" t="s">
        <v>198</v>
      </c>
      <c r="AB4" s="74" t="s">
        <v>199</v>
      </c>
      <c r="AC4" s="74" t="s">
        <v>200</v>
      </c>
      <c r="AD4" s="74" t="s">
        <v>201</v>
      </c>
      <c r="AE4" s="74" t="s">
        <v>202</v>
      </c>
      <c r="AF4" s="74" t="s">
        <v>196</v>
      </c>
      <c r="AG4" s="74" t="s">
        <v>197</v>
      </c>
      <c r="AH4" s="74" t="s">
        <v>198</v>
      </c>
      <c r="AI4" s="74" t="s">
        <v>199</v>
      </c>
      <c r="AJ4" s="74" t="s">
        <v>200</v>
      </c>
      <c r="AK4" s="74" t="s">
        <v>201</v>
      </c>
      <c r="AL4" s="74" t="s">
        <v>202</v>
      </c>
      <c r="AM4" s="73" t="s">
        <v>59</v>
      </c>
      <c r="AN4" s="637"/>
      <c r="AT4" s="2"/>
      <c r="AV4" s="2"/>
    </row>
    <row r="5" spans="1:53" ht="25.35" hidden="1" customHeight="1">
      <c r="B5" s="75" t="e">
        <f>#REF!</f>
        <v>#REF!</v>
      </c>
      <c r="D5" s="76">
        <v>1</v>
      </c>
      <c r="E5" s="77" t="s">
        <v>37</v>
      </c>
      <c r="F5" s="78" t="s">
        <v>142</v>
      </c>
      <c r="G5" s="16"/>
      <c r="H5" s="16"/>
      <c r="I5" s="16"/>
      <c r="J5" s="16"/>
      <c r="K5" s="17"/>
      <c r="L5" s="16"/>
      <c r="M5" s="17"/>
      <c r="N5" s="16"/>
      <c r="O5" s="16"/>
      <c r="P5" s="16"/>
      <c r="Q5" s="16"/>
      <c r="R5" s="17"/>
      <c r="S5" s="16"/>
      <c r="T5" s="16"/>
      <c r="U5" s="16"/>
      <c r="V5" s="16"/>
      <c r="W5" s="16"/>
      <c r="X5" s="17"/>
      <c r="Y5" s="16"/>
      <c r="Z5" s="16"/>
      <c r="AA5" s="16"/>
      <c r="AB5" s="16"/>
      <c r="AC5" s="16"/>
      <c r="AD5" s="16"/>
      <c r="AE5" s="17"/>
      <c r="AF5" s="16"/>
      <c r="AG5" s="16"/>
      <c r="AH5" s="16"/>
      <c r="AI5" s="16"/>
      <c r="AJ5" s="16"/>
      <c r="AK5" s="16"/>
      <c r="AL5" s="16"/>
      <c r="AM5" s="79"/>
      <c r="AN5" s="80"/>
      <c r="AQ5" s="54">
        <f>MATCH(AR5,$C$5:$C$122,0)+5</f>
        <v>11</v>
      </c>
      <c r="AR5" s="55" t="s">
        <v>164</v>
      </c>
      <c r="AS5" s="56" t="str">
        <f>"g"&amp;AQ5</f>
        <v>g11</v>
      </c>
      <c r="AT5" s="56" t="str">
        <f>AS5&amp;":"&amp;AS6</f>
        <v>g11:AJ33</v>
      </c>
      <c r="AU5" s="56" t="str">
        <f>"e"&amp;AQ5&amp;":"&amp;"e"&amp;AQ6</f>
        <v>e11:e33</v>
      </c>
      <c r="AV5" s="56"/>
      <c r="AW5" s="59" t="str">
        <f>"BO"&amp;AZ5&amp;":"&amp;"BO"&amp;BA5</f>
        <v>BO5:BO27</v>
      </c>
      <c r="AX5" s="59" t="str">
        <f>"BP"&amp;AZ5&amp;":"&amp;"CT"&amp;BA5</f>
        <v>BP5:CT27</v>
      </c>
      <c r="AY5" s="60" t="str">
        <f>"am"&amp;AQ5&amp;":"&amp;"am"&amp;AQ6</f>
        <v>am11:am33</v>
      </c>
      <c r="AZ5" s="134">
        <v>5</v>
      </c>
      <c r="BA5" s="134">
        <f>AQ6-AQ5+AZ5</f>
        <v>27</v>
      </c>
    </row>
    <row r="6" spans="1:53" ht="25.35" hidden="1" customHeight="1">
      <c r="D6" s="76">
        <v>2</v>
      </c>
      <c r="E6" s="77" t="s">
        <v>61</v>
      </c>
      <c r="F6" s="78" t="s">
        <v>142</v>
      </c>
      <c r="G6" s="81"/>
      <c r="H6" s="16"/>
      <c r="I6" s="16"/>
      <c r="J6" s="16"/>
      <c r="K6" s="17"/>
      <c r="L6" s="16"/>
      <c r="M6" s="17"/>
      <c r="N6" s="16"/>
      <c r="O6" s="16"/>
      <c r="P6" s="16"/>
      <c r="Q6" s="16"/>
      <c r="R6" s="17"/>
      <c r="S6" s="16"/>
      <c r="T6" s="16"/>
      <c r="U6" s="16"/>
      <c r="V6" s="16"/>
      <c r="W6" s="16"/>
      <c r="X6" s="17"/>
      <c r="Y6" s="16"/>
      <c r="Z6" s="16"/>
      <c r="AA6" s="16"/>
      <c r="AB6" s="16"/>
      <c r="AC6" s="16"/>
      <c r="AD6" s="16"/>
      <c r="AE6" s="17"/>
      <c r="AF6" s="16"/>
      <c r="AG6" s="16"/>
      <c r="AH6" s="16"/>
      <c r="AI6" s="16"/>
      <c r="AJ6" s="16"/>
      <c r="AK6" s="16"/>
      <c r="AL6" s="16"/>
      <c r="AM6" s="82"/>
      <c r="AN6" s="83"/>
      <c r="AO6" s="1"/>
      <c r="AP6" s="1"/>
      <c r="AQ6" s="126">
        <f>MATCH(AR6,$C$5:$C$122,0)+3</f>
        <v>33</v>
      </c>
      <c r="AR6" s="127" t="s">
        <v>165</v>
      </c>
      <c r="AS6" s="128" t="str">
        <f>"AJ"&amp;AQ6</f>
        <v>AJ33</v>
      </c>
      <c r="AT6" s="128"/>
      <c r="AU6" s="128"/>
      <c r="AV6" s="129"/>
      <c r="AW6" s="58"/>
      <c r="AX6" s="58"/>
      <c r="AY6" s="61"/>
      <c r="AZ6" s="134"/>
      <c r="BA6" s="134"/>
    </row>
    <row r="7" spans="1:53" ht="25.35" hidden="1" customHeight="1">
      <c r="D7" s="76">
        <v>3</v>
      </c>
      <c r="E7" s="84" t="s">
        <v>19</v>
      </c>
      <c r="F7" s="85" t="s">
        <v>143</v>
      </c>
      <c r="G7" s="81">
        <f>COUNT(G11:G33)</f>
        <v>0</v>
      </c>
      <c r="H7" s="16">
        <f t="shared" ref="H7:AL7" si="1">COUNT(H11:H33)</f>
        <v>0</v>
      </c>
      <c r="I7" s="16">
        <f t="shared" si="1"/>
        <v>0</v>
      </c>
      <c r="J7" s="16">
        <f t="shared" si="1"/>
        <v>0</v>
      </c>
      <c r="K7" s="16">
        <f t="shared" si="1"/>
        <v>0</v>
      </c>
      <c r="L7" s="16">
        <f t="shared" si="1"/>
        <v>0</v>
      </c>
      <c r="M7" s="16">
        <f t="shared" si="1"/>
        <v>0</v>
      </c>
      <c r="N7" s="16">
        <f t="shared" si="1"/>
        <v>0</v>
      </c>
      <c r="O7" s="16">
        <f t="shared" si="1"/>
        <v>0</v>
      </c>
      <c r="P7" s="16">
        <f t="shared" si="1"/>
        <v>0</v>
      </c>
      <c r="Q7" s="16">
        <f t="shared" si="1"/>
        <v>0</v>
      </c>
      <c r="R7" s="16">
        <f t="shared" si="1"/>
        <v>0</v>
      </c>
      <c r="S7" s="16">
        <f t="shared" si="1"/>
        <v>0</v>
      </c>
      <c r="T7" s="16">
        <f t="shared" si="1"/>
        <v>0</v>
      </c>
      <c r="U7" s="16">
        <f t="shared" si="1"/>
        <v>0</v>
      </c>
      <c r="V7" s="16">
        <f t="shared" si="1"/>
        <v>0</v>
      </c>
      <c r="W7" s="16">
        <f t="shared" si="1"/>
        <v>0</v>
      </c>
      <c r="X7" s="16">
        <f t="shared" si="1"/>
        <v>0</v>
      </c>
      <c r="Y7" s="16">
        <f t="shared" si="1"/>
        <v>0</v>
      </c>
      <c r="Z7" s="16">
        <f t="shared" si="1"/>
        <v>0</v>
      </c>
      <c r="AA7" s="16">
        <f t="shared" si="1"/>
        <v>0</v>
      </c>
      <c r="AB7" s="16">
        <f t="shared" si="1"/>
        <v>0</v>
      </c>
      <c r="AC7" s="16">
        <f t="shared" si="1"/>
        <v>0</v>
      </c>
      <c r="AD7" s="16">
        <f t="shared" si="1"/>
        <v>0</v>
      </c>
      <c r="AE7" s="16">
        <f t="shared" si="1"/>
        <v>0</v>
      </c>
      <c r="AF7" s="16">
        <f t="shared" si="1"/>
        <v>0</v>
      </c>
      <c r="AG7" s="16">
        <f t="shared" si="1"/>
        <v>0</v>
      </c>
      <c r="AH7" s="16">
        <f t="shared" si="1"/>
        <v>0</v>
      </c>
      <c r="AI7" s="16">
        <f t="shared" si="1"/>
        <v>0</v>
      </c>
      <c r="AJ7" s="16">
        <f t="shared" si="1"/>
        <v>0</v>
      </c>
      <c r="AK7" s="16">
        <f t="shared" si="1"/>
        <v>0</v>
      </c>
      <c r="AL7" s="16">
        <f t="shared" si="1"/>
        <v>0</v>
      </c>
      <c r="AM7" s="82"/>
      <c r="AN7" s="86"/>
      <c r="AO7" s="1"/>
      <c r="AP7" s="1"/>
      <c r="AQ7" s="54">
        <f>MATCH(AR7,$C$5:$C$122,0)+5</f>
        <v>39</v>
      </c>
      <c r="AR7" s="55" t="s">
        <v>166</v>
      </c>
      <c r="AS7" s="56" t="str">
        <f>"g"&amp;AQ7</f>
        <v>g39</v>
      </c>
      <c r="AT7" s="56" t="str">
        <f>AS7&amp;":"&amp;AS8</f>
        <v>g39:AJ60</v>
      </c>
      <c r="AU7" s="56" t="str">
        <f>"e"&amp;AQ7&amp;":"&amp;"e"&amp;AQ8</f>
        <v>e39:e60</v>
      </c>
      <c r="AV7" s="130"/>
      <c r="AW7" s="59" t="str">
        <f>"BO"&amp;AZ7&amp;":"&amp;"BO"&amp;BA7</f>
        <v>BO29:BO50</v>
      </c>
      <c r="AX7" s="59" t="str">
        <f>"BP"&amp;AZ7&amp;":"&amp;"CT"&amp;BA7</f>
        <v>BP29:CT50</v>
      </c>
      <c r="AY7" s="60" t="str">
        <f>"am"&amp;AQ7&amp;":"&amp;"am"&amp;AQ8</f>
        <v>am39:am60</v>
      </c>
      <c r="AZ7" s="134">
        <f>BA5+2</f>
        <v>29</v>
      </c>
      <c r="BA7" s="134">
        <f>AQ8-AQ7+AZ7</f>
        <v>50</v>
      </c>
    </row>
    <row r="8" spans="1:53" ht="25.35" hidden="1" customHeight="1">
      <c r="D8" s="76">
        <v>4</v>
      </c>
      <c r="E8" s="84" t="s">
        <v>38</v>
      </c>
      <c r="F8" s="85" t="s">
        <v>143</v>
      </c>
      <c r="G8" s="87">
        <f>IFERROR(IF(G9=1,F$1+1,G$3),"")</f>
        <v>44593</v>
      </c>
      <c r="H8" s="88">
        <f>IFERROR(IF(H9=1,G$3+1,H$3),"")</f>
        <v>44594</v>
      </c>
      <c r="I8" s="88">
        <f t="shared" ref="I8:AL8" si="2">IFERROR(IF(I9=1,H$3+1,I$3),"")</f>
        <v>44595</v>
      </c>
      <c r="J8" s="88">
        <f t="shared" si="2"/>
        <v>44596</v>
      </c>
      <c r="K8" s="88">
        <f t="shared" si="2"/>
        <v>44597</v>
      </c>
      <c r="L8" s="88">
        <f t="shared" si="2"/>
        <v>44598</v>
      </c>
      <c r="M8" s="88">
        <f t="shared" si="2"/>
        <v>44599</v>
      </c>
      <c r="N8" s="88">
        <f t="shared" si="2"/>
        <v>44600</v>
      </c>
      <c r="O8" s="88">
        <f t="shared" si="2"/>
        <v>44601</v>
      </c>
      <c r="P8" s="88">
        <f t="shared" si="2"/>
        <v>44602</v>
      </c>
      <c r="Q8" s="88">
        <f t="shared" si="2"/>
        <v>44603</v>
      </c>
      <c r="R8" s="88">
        <f t="shared" si="2"/>
        <v>44604</v>
      </c>
      <c r="S8" s="88">
        <f t="shared" si="2"/>
        <v>44605</v>
      </c>
      <c r="T8" s="88">
        <f t="shared" si="2"/>
        <v>44606</v>
      </c>
      <c r="U8" s="88">
        <f t="shared" si="2"/>
        <v>44607</v>
      </c>
      <c r="V8" s="88">
        <f t="shared" si="2"/>
        <v>44608</v>
      </c>
      <c r="W8" s="88">
        <f t="shared" si="2"/>
        <v>44609</v>
      </c>
      <c r="X8" s="88">
        <f t="shared" si="2"/>
        <v>44610</v>
      </c>
      <c r="Y8" s="88">
        <f t="shared" si="2"/>
        <v>44611</v>
      </c>
      <c r="Z8" s="88">
        <f t="shared" si="2"/>
        <v>44612</v>
      </c>
      <c r="AA8" s="88">
        <f t="shared" si="2"/>
        <v>44613</v>
      </c>
      <c r="AB8" s="88">
        <f t="shared" si="2"/>
        <v>44614</v>
      </c>
      <c r="AC8" s="88">
        <f t="shared" si="2"/>
        <v>44615</v>
      </c>
      <c r="AD8" s="88">
        <f t="shared" si="2"/>
        <v>44616</v>
      </c>
      <c r="AE8" s="88">
        <f t="shared" si="2"/>
        <v>44617</v>
      </c>
      <c r="AF8" s="88">
        <f t="shared" si="2"/>
        <v>44618</v>
      </c>
      <c r="AG8" s="88">
        <f t="shared" si="2"/>
        <v>44619</v>
      </c>
      <c r="AH8" s="88">
        <f t="shared" si="2"/>
        <v>44620</v>
      </c>
      <c r="AI8" s="88">
        <f t="shared" si="2"/>
        <v>29</v>
      </c>
      <c r="AJ8" s="88">
        <f t="shared" si="2"/>
        <v>30</v>
      </c>
      <c r="AK8" s="88">
        <f t="shared" si="2"/>
        <v>31</v>
      </c>
      <c r="AL8" s="88">
        <f t="shared" si="2"/>
        <v>31</v>
      </c>
      <c r="AM8" s="82"/>
      <c r="AN8" s="86"/>
      <c r="AO8" s="1"/>
      <c r="AP8" s="1"/>
      <c r="AQ8" s="126">
        <f>MATCH(AR8,$C$5:$C$122,0)+3</f>
        <v>60</v>
      </c>
      <c r="AR8" s="131" t="s">
        <v>167</v>
      </c>
      <c r="AS8" s="128" t="str">
        <f>"AJ"&amp;AQ8</f>
        <v>AJ60</v>
      </c>
      <c r="AT8" s="128"/>
      <c r="AU8" s="128"/>
      <c r="AV8" s="129"/>
      <c r="AW8" s="58"/>
      <c r="AX8" s="58"/>
      <c r="AY8" s="61"/>
      <c r="AZ8" s="134"/>
      <c r="BA8" s="134"/>
    </row>
    <row r="9" spans="1:53" ht="25.35" hidden="1" customHeight="1">
      <c r="B9" s="47">
        <f>COUNTIF(E11:E34,"&lt;&gt;")+4</f>
        <v>26</v>
      </c>
      <c r="D9" s="76">
        <v>5</v>
      </c>
      <c r="E9" s="84" t="s">
        <v>21</v>
      </c>
      <c r="F9" s="85" t="s">
        <v>143</v>
      </c>
      <c r="G9" s="145" t="str">
        <f>IF(G7&gt;10,"OK","")</f>
        <v/>
      </c>
      <c r="H9" s="143" t="str">
        <f t="shared" ref="H9:AL9" si="3">IF(H7&gt;10,"OK","")</f>
        <v/>
      </c>
      <c r="I9" s="143" t="str">
        <f t="shared" si="3"/>
        <v/>
      </c>
      <c r="J9" s="143" t="str">
        <f t="shared" si="3"/>
        <v/>
      </c>
      <c r="K9" s="143" t="str">
        <f t="shared" si="3"/>
        <v/>
      </c>
      <c r="L9" s="143" t="str">
        <f t="shared" si="3"/>
        <v/>
      </c>
      <c r="M9" s="143" t="str">
        <f t="shared" si="3"/>
        <v/>
      </c>
      <c r="N9" s="143" t="str">
        <f t="shared" si="3"/>
        <v/>
      </c>
      <c r="O9" s="143" t="str">
        <f t="shared" si="3"/>
        <v/>
      </c>
      <c r="P9" s="143" t="str">
        <f t="shared" si="3"/>
        <v/>
      </c>
      <c r="Q9" s="143" t="str">
        <f t="shared" si="3"/>
        <v/>
      </c>
      <c r="R9" s="143" t="str">
        <f t="shared" si="3"/>
        <v/>
      </c>
      <c r="S9" s="143" t="str">
        <f t="shared" si="3"/>
        <v/>
      </c>
      <c r="T9" s="143" t="str">
        <f t="shared" si="3"/>
        <v/>
      </c>
      <c r="U9" s="143" t="str">
        <f t="shared" si="3"/>
        <v/>
      </c>
      <c r="V9" s="143" t="str">
        <f t="shared" si="3"/>
        <v/>
      </c>
      <c r="W9" s="143" t="str">
        <f t="shared" si="3"/>
        <v/>
      </c>
      <c r="X9" s="143" t="str">
        <f t="shared" si="3"/>
        <v/>
      </c>
      <c r="Y9" s="143" t="str">
        <f t="shared" si="3"/>
        <v/>
      </c>
      <c r="Z9" s="143" t="str">
        <f t="shared" si="3"/>
        <v/>
      </c>
      <c r="AA9" s="143" t="str">
        <f t="shared" si="3"/>
        <v/>
      </c>
      <c r="AB9" s="143" t="str">
        <f t="shared" si="3"/>
        <v/>
      </c>
      <c r="AC9" s="143" t="str">
        <f t="shared" si="3"/>
        <v/>
      </c>
      <c r="AD9" s="143" t="str">
        <f t="shared" si="3"/>
        <v/>
      </c>
      <c r="AE9" s="143" t="str">
        <f t="shared" si="3"/>
        <v/>
      </c>
      <c r="AF9" s="143" t="str">
        <f t="shared" si="3"/>
        <v/>
      </c>
      <c r="AG9" s="143" t="str">
        <f t="shared" si="3"/>
        <v/>
      </c>
      <c r="AH9" s="143" t="str">
        <f t="shared" si="3"/>
        <v/>
      </c>
      <c r="AI9" s="143" t="str">
        <f t="shared" si="3"/>
        <v/>
      </c>
      <c r="AJ9" s="143" t="str">
        <f t="shared" si="3"/>
        <v/>
      </c>
      <c r="AK9" s="143" t="str">
        <f t="shared" si="3"/>
        <v/>
      </c>
      <c r="AL9" s="143" t="str">
        <f t="shared" si="3"/>
        <v/>
      </c>
      <c r="AM9" s="82"/>
      <c r="AN9" s="86"/>
      <c r="AO9" s="1"/>
      <c r="AP9" s="1"/>
      <c r="AQ9" s="54">
        <f>MATCH(AR9,$C$5:$C$122,0)+5</f>
        <v>67</v>
      </c>
      <c r="AR9" s="56" t="s">
        <v>168</v>
      </c>
      <c r="AS9" s="56" t="str">
        <f>"g"&amp;AQ9</f>
        <v>g67</v>
      </c>
      <c r="AT9" s="56" t="str">
        <f>AS9&amp;":"&amp;AS10</f>
        <v>g67:AJ87</v>
      </c>
      <c r="AU9" s="56" t="str">
        <f>"e"&amp;AQ9&amp;":"&amp;"e"&amp;AQ10</f>
        <v>e67:e87</v>
      </c>
      <c r="AV9" s="130"/>
      <c r="AW9" s="59" t="str">
        <f>"BO"&amp;AZ9&amp;":"&amp;"BO"&amp;BA9</f>
        <v>BO52:BO72</v>
      </c>
      <c r="AX9" s="59" t="str">
        <f>"BP"&amp;AZ9&amp;":"&amp;"CT"&amp;BA9</f>
        <v>BP52:CT72</v>
      </c>
      <c r="AY9" s="60" t="str">
        <f>"am"&amp;AQ9&amp;":"&amp;"am"&amp;AQ10</f>
        <v>am67:am87</v>
      </c>
      <c r="AZ9" s="134">
        <f>BA7+2</f>
        <v>52</v>
      </c>
      <c r="BA9" s="134">
        <f>AQ10-AQ9+AZ9</f>
        <v>72</v>
      </c>
    </row>
    <row r="10" spans="1:53" ht="25.35" customHeight="1" thickBot="1">
      <c r="C10" s="47" t="s">
        <v>164</v>
      </c>
      <c r="D10" s="638" t="s">
        <v>141</v>
      </c>
      <c r="E10" s="638"/>
      <c r="F10" s="142"/>
      <c r="G10" s="32" t="str">
        <f t="shared" ref="G10:AJ10" si="4">IF(G9&lt;&gt;"",IF(G10&lt;&gt;"",G10,$B$5),"")</f>
        <v/>
      </c>
      <c r="H10" s="31" t="str">
        <f t="shared" si="4"/>
        <v/>
      </c>
      <c r="I10" s="31" t="str">
        <f t="shared" si="4"/>
        <v/>
      </c>
      <c r="J10" s="31" t="str">
        <f t="shared" si="4"/>
        <v/>
      </c>
      <c r="K10" s="31" t="str">
        <f t="shared" si="4"/>
        <v/>
      </c>
      <c r="L10" s="31" t="str">
        <f t="shared" si="4"/>
        <v/>
      </c>
      <c r="M10" s="31" t="str">
        <f t="shared" si="4"/>
        <v/>
      </c>
      <c r="N10" s="63" t="str">
        <f t="shared" si="4"/>
        <v/>
      </c>
      <c r="O10" s="31" t="str">
        <f t="shared" si="4"/>
        <v/>
      </c>
      <c r="P10" s="31" t="str">
        <f t="shared" si="4"/>
        <v/>
      </c>
      <c r="Q10" s="31" t="str">
        <f t="shared" si="4"/>
        <v/>
      </c>
      <c r="R10" s="31" t="str">
        <f t="shared" si="4"/>
        <v/>
      </c>
      <c r="S10" s="31" t="str">
        <f t="shared" si="4"/>
        <v/>
      </c>
      <c r="T10" s="31" t="str">
        <f t="shared" si="4"/>
        <v/>
      </c>
      <c r="U10" s="31" t="str">
        <f t="shared" si="4"/>
        <v/>
      </c>
      <c r="V10" s="31" t="str">
        <f t="shared" si="4"/>
        <v/>
      </c>
      <c r="W10" s="31" t="str">
        <f t="shared" si="4"/>
        <v/>
      </c>
      <c r="X10" s="31" t="str">
        <f t="shared" si="4"/>
        <v/>
      </c>
      <c r="Y10" s="31" t="str">
        <f t="shared" si="4"/>
        <v/>
      </c>
      <c r="Z10" s="31" t="str">
        <f t="shared" si="4"/>
        <v/>
      </c>
      <c r="AA10" s="31" t="str">
        <f t="shared" si="4"/>
        <v/>
      </c>
      <c r="AB10" s="31" t="str">
        <f t="shared" si="4"/>
        <v/>
      </c>
      <c r="AC10" s="31" t="str">
        <f t="shared" si="4"/>
        <v/>
      </c>
      <c r="AD10" s="31" t="str">
        <f t="shared" si="4"/>
        <v/>
      </c>
      <c r="AE10" s="31" t="str">
        <f t="shared" si="4"/>
        <v/>
      </c>
      <c r="AF10" s="31" t="str">
        <f t="shared" si="4"/>
        <v/>
      </c>
      <c r="AG10" s="31" t="str">
        <f t="shared" si="4"/>
        <v/>
      </c>
      <c r="AH10" s="31" t="str">
        <f t="shared" si="4"/>
        <v/>
      </c>
      <c r="AI10" s="31" t="str">
        <f t="shared" si="4"/>
        <v/>
      </c>
      <c r="AJ10" s="31" t="str">
        <f t="shared" si="4"/>
        <v/>
      </c>
      <c r="AK10" s="44" t="e">
        <f>IF(AND(AK8=#REF!,AK7&gt;6),#REF!,"")</f>
        <v>#REF!</v>
      </c>
      <c r="AL10" s="27" t="str">
        <f>IF(AL9&lt;&gt;"",IF(AL10&lt;&gt;"",AL10,$B$5),"")</f>
        <v/>
      </c>
      <c r="AM10" s="82"/>
      <c r="AN10" s="86"/>
      <c r="AO10" s="1"/>
      <c r="AP10" s="1"/>
      <c r="AQ10" s="126">
        <f>MATCH(AR10,$C$5:$C$122,0)+3</f>
        <v>87</v>
      </c>
      <c r="AR10" s="128" t="s">
        <v>169</v>
      </c>
      <c r="AS10" s="128" t="str">
        <f>"AJ"&amp;AQ10</f>
        <v>AJ87</v>
      </c>
      <c r="AT10" s="128"/>
      <c r="AU10" s="128"/>
      <c r="AV10" s="129"/>
      <c r="AW10" s="58"/>
      <c r="AX10" s="58"/>
      <c r="AY10" s="61"/>
      <c r="AZ10" s="134"/>
      <c r="BA10" s="134"/>
    </row>
    <row r="11" spans="1:53" ht="25.35" customHeight="1">
      <c r="A11" s="639" t="s">
        <v>184</v>
      </c>
      <c r="B11" s="639"/>
      <c r="C11" s="49" t="s">
        <v>55</v>
      </c>
      <c r="D11" s="91">
        <v>1</v>
      </c>
      <c r="E11" s="92" t="s">
        <v>159</v>
      </c>
      <c r="F11" s="93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8"/>
      <c r="AJ11" s="38"/>
      <c r="AK11" s="139"/>
      <c r="AL11" s="38"/>
      <c r="AM11" s="94" t="str">
        <f>IF((COUNTIF(G11:AJ11, "x")+COUNTIF(G11:AJ11, "1")+COUNTIF(G11:AJ11, "2")+COUNTIF(G11:AJ11, "3"))=0, "", (COUNTIF(G11:AJ11, "1")+COUNTIF(G11:AJ11, "2")+COUNTIF(G11:AJ11, "3"))/(COUNTIF(G11:AJ11, "x")+COUNTIF(G11:AJ11, "1")+COUNTIF(G11:AJ11, "2")+COUNTIF(G11:AJ11, "3")))</f>
        <v/>
      </c>
      <c r="AN11" s="640" t="str">
        <f ca="1">IFERROR(AVERAGE(INDIRECT(AY5)),"")</f>
        <v/>
      </c>
      <c r="AO11" s="1">
        <f t="shared" ref="AO11:AO33" si="5">COUNTIF(G11:AJ11, 1)+COUNTIF(G11:AJ11, 2)+COUNTIF(G11:AJ11,3)</f>
        <v>0</v>
      </c>
      <c r="AP11" s="1"/>
      <c r="AQ11" s="54">
        <f>MATCH(AR11,$C$5:$C$122,0)+5</f>
        <v>94</v>
      </c>
      <c r="AR11" s="56" t="s">
        <v>170</v>
      </c>
      <c r="AS11" s="56" t="str">
        <f>"g"&amp;AQ11</f>
        <v>g94</v>
      </c>
      <c r="AT11" s="56" t="str">
        <f>AS11&amp;":"&amp;AS12</f>
        <v>g94:aj116</v>
      </c>
      <c r="AU11" s="56" t="str">
        <f>"e"&amp;AQ11&amp;":"&amp;"e"&amp;AQ12</f>
        <v>e94:e116</v>
      </c>
      <c r="AV11" s="130"/>
      <c r="AW11" s="59" t="str">
        <f>"BO"&amp;AZ11&amp;":"&amp;"BO"&amp;BA11</f>
        <v>BO74:BO96</v>
      </c>
      <c r="AX11" s="59" t="str">
        <f>"BP"&amp;AZ11&amp;":"&amp;"CT"&amp;BA11</f>
        <v>BP74:CT96</v>
      </c>
      <c r="AY11" s="60" t="str">
        <f>"am"&amp;AQ11&amp;":"&amp;"am"&amp;AQ12</f>
        <v>am94:am116</v>
      </c>
      <c r="AZ11" s="134">
        <f>BA9+2</f>
        <v>74</v>
      </c>
      <c r="BA11" s="134">
        <f>AQ12-AQ11+AZ11</f>
        <v>96</v>
      </c>
    </row>
    <row r="12" spans="1:53" ht="25.35" customHeight="1">
      <c r="A12" s="639"/>
      <c r="B12" s="639"/>
      <c r="C12" s="49" t="s">
        <v>55</v>
      </c>
      <c r="D12" s="95">
        <f>IF(E12&lt;&gt;"",D11+1)</f>
        <v>2</v>
      </c>
      <c r="E12" s="96" t="s">
        <v>11</v>
      </c>
      <c r="F12" s="97"/>
      <c r="G12" s="33"/>
      <c r="H12" s="33"/>
      <c r="I12" s="33"/>
      <c r="J12" s="33"/>
      <c r="K12" s="33"/>
      <c r="L12" s="33"/>
      <c r="M12" s="33"/>
      <c r="N12" s="52"/>
      <c r="O12" s="52"/>
      <c r="P12" s="52"/>
      <c r="Q12" s="52"/>
      <c r="R12" s="52"/>
      <c r="S12" s="52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5"/>
      <c r="AJ12" s="35"/>
      <c r="AK12" s="39"/>
      <c r="AL12" s="35"/>
      <c r="AM12" s="94" t="str">
        <f t="shared" ref="AM12:AM33" si="6">IF((COUNTIF(G12:AJ12, "x")+COUNTIF(G12:AJ12, "1")+COUNTIF(G12:AJ12, "2")+COUNTIF(G12:AJ12, "3"))=0, "", (COUNTIF(G12:AJ12, "1")+COUNTIF(G12:AJ12, "2")+COUNTIF(G12:AJ12, "3"))/(COUNTIF(G12:AJ12, "x")+COUNTIF(G12:AJ12, "1")+COUNTIF(G12:AJ12, "2")+COUNTIF(G12:AJ12, "3")))</f>
        <v/>
      </c>
      <c r="AN12" s="640"/>
      <c r="AO12" s="1">
        <f t="shared" si="5"/>
        <v>0</v>
      </c>
      <c r="AP12" s="1"/>
      <c r="AQ12" s="126">
        <f>MATCH(AR12,$C$5:$C$122,0)+3</f>
        <v>116</v>
      </c>
      <c r="AR12" s="58" t="s">
        <v>171</v>
      </c>
      <c r="AS12" s="128" t="str">
        <f>"aj"&amp;AQ12</f>
        <v>aj116</v>
      </c>
      <c r="AT12" s="58"/>
      <c r="AU12" s="58"/>
      <c r="AV12" s="58"/>
      <c r="AW12" s="58"/>
      <c r="AX12" s="58"/>
      <c r="AY12" s="61"/>
      <c r="AZ12" s="134"/>
      <c r="BA12" s="134"/>
    </row>
    <row r="13" spans="1:53" ht="25.35" customHeight="1">
      <c r="A13" s="639"/>
      <c r="B13" s="639"/>
      <c r="C13" s="49" t="s">
        <v>55</v>
      </c>
      <c r="D13" s="95">
        <v>3</v>
      </c>
      <c r="E13" s="98" t="s">
        <v>174</v>
      </c>
      <c r="F13" s="97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52"/>
      <c r="R13" s="52"/>
      <c r="S13" s="52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9"/>
      <c r="AL13" s="33"/>
      <c r="AM13" s="94" t="str">
        <f>IF((COUNTIF(G13:AJ13, "x")+COUNTIF(G13:AJ13, "1")+COUNTIF(G13:AJ13, "2")+COUNTIF(G13:AJ13, "3"))=0, "", (COUNTIF(G13:AJ13, "1")+COUNTIF(G13:AJ13, "2")+COUNTIF(G13:AJ13, "3"))/(COUNTIF(G13:AJ13, "x")+COUNTIF(G13:AJ13, "1")+COUNTIF(G13:AJ13, "2")+COUNTIF(G13:AJ13, "3")))</f>
        <v/>
      </c>
      <c r="AN13" s="640"/>
      <c r="AO13" s="1">
        <f t="shared" si="5"/>
        <v>0</v>
      </c>
      <c r="AP13" s="1"/>
      <c r="AQ13" s="132"/>
      <c r="AR13" s="59"/>
      <c r="AS13" s="57"/>
      <c r="AT13" s="57"/>
      <c r="AU13" s="57"/>
      <c r="AV13" s="57"/>
      <c r="AW13" s="57"/>
      <c r="AX13" s="57"/>
      <c r="AY13" s="57"/>
      <c r="AZ13" s="133"/>
    </row>
    <row r="14" spans="1:53" ht="25.35" customHeight="1">
      <c r="A14" s="639"/>
      <c r="B14" s="639"/>
      <c r="C14" s="49" t="s">
        <v>55</v>
      </c>
      <c r="D14" s="95">
        <v>4</v>
      </c>
      <c r="E14" s="99" t="s">
        <v>188</v>
      </c>
      <c r="F14" s="97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52"/>
      <c r="R14" s="52"/>
      <c r="S14" s="52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5"/>
      <c r="AJ14" s="35"/>
      <c r="AK14" s="39"/>
      <c r="AL14" s="35"/>
      <c r="AM14" s="94" t="str">
        <f t="shared" si="6"/>
        <v/>
      </c>
      <c r="AN14" s="640"/>
      <c r="AO14" s="1">
        <f t="shared" si="5"/>
        <v>0</v>
      </c>
      <c r="AP14" s="1"/>
      <c r="AQ14" s="1"/>
      <c r="AR14" s="57"/>
      <c r="AS14" s="57"/>
      <c r="AT14" s="57"/>
      <c r="AU14" s="57"/>
      <c r="AV14" s="57"/>
      <c r="AW14" s="57"/>
      <c r="AX14" s="57"/>
      <c r="AY14" s="133"/>
      <c r="AZ14" s="133"/>
    </row>
    <row r="15" spans="1:53" ht="25.35" customHeight="1">
      <c r="A15" s="639"/>
      <c r="B15" s="639"/>
      <c r="C15" s="49" t="s">
        <v>55</v>
      </c>
      <c r="D15" s="95">
        <v>5</v>
      </c>
      <c r="E15" s="100" t="s">
        <v>122</v>
      </c>
      <c r="F15" s="101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52"/>
      <c r="R15" s="52"/>
      <c r="S15" s="52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5"/>
      <c r="AJ15" s="35"/>
      <c r="AK15" s="39"/>
      <c r="AL15" s="35"/>
      <c r="AM15" s="94" t="str">
        <f t="shared" si="6"/>
        <v/>
      </c>
      <c r="AN15" s="640"/>
      <c r="AO15" s="1">
        <f t="shared" si="5"/>
        <v>0</v>
      </c>
      <c r="AP15" s="1"/>
      <c r="AQ15" s="1"/>
      <c r="AT15" s="2"/>
      <c r="AV15" s="2"/>
    </row>
    <row r="16" spans="1:53" ht="25.35" customHeight="1">
      <c r="A16" s="639"/>
      <c r="B16" s="639"/>
      <c r="C16" s="49" t="s">
        <v>55</v>
      </c>
      <c r="D16" s="95">
        <v>6</v>
      </c>
      <c r="E16" s="100" t="s">
        <v>132</v>
      </c>
      <c r="F16" s="102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52"/>
      <c r="R16" s="52"/>
      <c r="S16" s="52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5"/>
      <c r="AJ16" s="35"/>
      <c r="AK16" s="39"/>
      <c r="AL16" s="35"/>
      <c r="AM16" s="94" t="str">
        <f t="shared" si="6"/>
        <v/>
      </c>
      <c r="AN16" s="640"/>
      <c r="AO16" s="1">
        <f t="shared" si="5"/>
        <v>0</v>
      </c>
      <c r="AP16" s="1"/>
      <c r="AT16" s="2"/>
      <c r="AV16" s="2"/>
    </row>
    <row r="17" spans="1:48" ht="25.35" customHeight="1">
      <c r="A17" s="639"/>
      <c r="B17" s="639"/>
      <c r="C17" s="48" t="s">
        <v>55</v>
      </c>
      <c r="D17" s="95">
        <v>7</v>
      </c>
      <c r="E17" s="100" t="s">
        <v>135</v>
      </c>
      <c r="F17" s="102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52"/>
      <c r="R17" s="52"/>
      <c r="S17" s="52"/>
      <c r="T17" s="33"/>
      <c r="U17" s="33"/>
      <c r="V17" s="33"/>
      <c r="W17" s="33"/>
      <c r="X17" s="33"/>
      <c r="Y17" s="33"/>
      <c r="Z17" s="33"/>
      <c r="AA17" s="33"/>
      <c r="AB17" s="43"/>
      <c r="AC17" s="33"/>
      <c r="AD17" s="33"/>
      <c r="AE17" s="33"/>
      <c r="AF17" s="33"/>
      <c r="AG17" s="33"/>
      <c r="AH17" s="33"/>
      <c r="AI17" s="35"/>
      <c r="AJ17" s="35"/>
      <c r="AK17" s="39"/>
      <c r="AL17" s="35"/>
      <c r="AM17" s="94" t="str">
        <f t="shared" si="6"/>
        <v/>
      </c>
      <c r="AN17" s="640"/>
      <c r="AO17" s="1">
        <f t="shared" si="5"/>
        <v>0</v>
      </c>
      <c r="AP17" s="1"/>
      <c r="AQ17" s="1"/>
      <c r="AT17" s="2"/>
      <c r="AV17" s="2"/>
    </row>
    <row r="18" spans="1:48" ht="25.35" customHeight="1">
      <c r="A18" s="639"/>
      <c r="B18" s="639"/>
      <c r="C18" s="48" t="s">
        <v>55</v>
      </c>
      <c r="D18" s="95">
        <v>8</v>
      </c>
      <c r="E18" s="100" t="s">
        <v>136</v>
      </c>
      <c r="F18" s="102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52"/>
      <c r="R18" s="52"/>
      <c r="S18" s="52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5"/>
      <c r="AJ18" s="33"/>
      <c r="AK18" s="39"/>
      <c r="AL18" s="33"/>
      <c r="AM18" s="94" t="str">
        <f t="shared" si="6"/>
        <v/>
      </c>
      <c r="AN18" s="640"/>
      <c r="AO18" s="1">
        <f t="shared" si="5"/>
        <v>0</v>
      </c>
      <c r="AP18" s="1"/>
      <c r="AQ18" s="1"/>
      <c r="AT18" s="2"/>
      <c r="AV18" s="2"/>
    </row>
    <row r="19" spans="1:48" ht="25.35" customHeight="1">
      <c r="A19" s="639"/>
      <c r="B19" s="639"/>
      <c r="C19" s="48" t="s">
        <v>55</v>
      </c>
      <c r="D19" s="95">
        <v>9</v>
      </c>
      <c r="E19" s="100" t="s">
        <v>130</v>
      </c>
      <c r="F19" s="97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52"/>
      <c r="R19" s="52"/>
      <c r="S19" s="52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5"/>
      <c r="AJ19" s="35"/>
      <c r="AK19" s="39"/>
      <c r="AL19" s="35"/>
      <c r="AM19" s="94" t="str">
        <f t="shared" si="6"/>
        <v/>
      </c>
      <c r="AN19" s="640"/>
      <c r="AO19" s="1">
        <f t="shared" si="5"/>
        <v>0</v>
      </c>
      <c r="AP19" s="1"/>
      <c r="AQ19" s="1"/>
      <c r="AT19" s="2"/>
      <c r="AV19" s="2"/>
    </row>
    <row r="20" spans="1:48" ht="25.35" customHeight="1">
      <c r="A20" s="639"/>
      <c r="B20" s="639"/>
      <c r="C20" s="49" t="s">
        <v>55</v>
      </c>
      <c r="D20" s="95">
        <v>10</v>
      </c>
      <c r="E20" s="96" t="s">
        <v>49</v>
      </c>
      <c r="F20" s="97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52"/>
      <c r="R20" s="52"/>
      <c r="S20" s="52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5"/>
      <c r="AJ20" s="35"/>
      <c r="AK20" s="39"/>
      <c r="AL20" s="35"/>
      <c r="AM20" s="94" t="str">
        <f t="shared" si="6"/>
        <v/>
      </c>
      <c r="AN20" s="640"/>
      <c r="AO20" s="1">
        <f t="shared" si="5"/>
        <v>0</v>
      </c>
      <c r="AP20" s="1"/>
      <c r="AQ20" s="1"/>
      <c r="AT20" s="2"/>
      <c r="AV20" s="2"/>
    </row>
    <row r="21" spans="1:48" ht="25.35" customHeight="1">
      <c r="A21" s="639"/>
      <c r="B21" s="639"/>
      <c r="C21" s="48" t="s">
        <v>60</v>
      </c>
      <c r="D21" s="95">
        <v>11</v>
      </c>
      <c r="E21" s="100" t="s">
        <v>32</v>
      </c>
      <c r="F21" s="101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52"/>
      <c r="R21" s="52"/>
      <c r="S21" s="52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5"/>
      <c r="AJ21" s="35"/>
      <c r="AK21" s="39"/>
      <c r="AL21" s="35"/>
      <c r="AM21" s="94" t="str">
        <f t="shared" si="6"/>
        <v/>
      </c>
      <c r="AN21" s="640"/>
      <c r="AO21" s="1">
        <f t="shared" si="5"/>
        <v>0</v>
      </c>
      <c r="AP21" s="1"/>
      <c r="AQ21" s="1"/>
      <c r="AT21" s="2"/>
      <c r="AV21" s="2"/>
    </row>
    <row r="22" spans="1:48" ht="25.35" customHeight="1">
      <c r="A22" s="639"/>
      <c r="B22" s="639"/>
      <c r="C22" s="48" t="s">
        <v>60</v>
      </c>
      <c r="D22" s="95">
        <v>12</v>
      </c>
      <c r="E22" s="100" t="s">
        <v>25</v>
      </c>
      <c r="F22" s="102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52"/>
      <c r="R22" s="52"/>
      <c r="S22" s="52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5"/>
      <c r="AJ22" s="35"/>
      <c r="AK22" s="39"/>
      <c r="AL22" s="35"/>
      <c r="AM22" s="94" t="str">
        <f t="shared" si="6"/>
        <v/>
      </c>
      <c r="AN22" s="640"/>
      <c r="AO22" s="1">
        <f t="shared" si="5"/>
        <v>0</v>
      </c>
      <c r="AP22" s="1"/>
      <c r="AQ22" s="1"/>
      <c r="AT22" s="2"/>
      <c r="AV22" s="2"/>
    </row>
    <row r="23" spans="1:48" ht="25.35" customHeight="1">
      <c r="A23" s="639"/>
      <c r="B23" s="639"/>
      <c r="C23" s="48" t="s">
        <v>60</v>
      </c>
      <c r="D23" s="95">
        <v>13</v>
      </c>
      <c r="E23" s="100" t="s">
        <v>26</v>
      </c>
      <c r="F23" s="101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52"/>
      <c r="R23" s="52"/>
      <c r="S23" s="52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5"/>
      <c r="AJ23" s="35"/>
      <c r="AK23" s="64"/>
      <c r="AL23" s="35"/>
      <c r="AM23" s="94" t="str">
        <f t="shared" si="6"/>
        <v/>
      </c>
      <c r="AN23" s="640"/>
      <c r="AO23" s="1">
        <f t="shared" si="5"/>
        <v>0</v>
      </c>
      <c r="AP23" s="1"/>
      <c r="AQ23" s="1"/>
      <c r="AT23" s="2"/>
      <c r="AV23" s="2"/>
    </row>
    <row r="24" spans="1:48" ht="25.35" customHeight="1">
      <c r="A24" s="639"/>
      <c r="B24" s="639"/>
      <c r="C24" s="48" t="s">
        <v>60</v>
      </c>
      <c r="D24" s="95">
        <v>14</v>
      </c>
      <c r="E24" s="100" t="s">
        <v>175</v>
      </c>
      <c r="F24" s="97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52"/>
      <c r="R24" s="52"/>
      <c r="S24" s="52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5"/>
      <c r="AJ24" s="35"/>
      <c r="AK24" s="39"/>
      <c r="AL24" s="35"/>
      <c r="AM24" s="94" t="str">
        <f t="shared" si="6"/>
        <v/>
      </c>
      <c r="AN24" s="640"/>
      <c r="AO24" s="1">
        <f t="shared" si="5"/>
        <v>0</v>
      </c>
      <c r="AP24" s="1"/>
      <c r="AQ24" s="1"/>
      <c r="AT24" s="2"/>
      <c r="AV24" s="2"/>
    </row>
    <row r="25" spans="1:48" ht="25.35" customHeight="1">
      <c r="A25" s="639"/>
      <c r="B25" s="639"/>
      <c r="C25" s="48" t="s">
        <v>60</v>
      </c>
      <c r="D25" s="95">
        <v>15</v>
      </c>
      <c r="E25" s="100" t="s">
        <v>154</v>
      </c>
      <c r="F25" s="10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5"/>
      <c r="AJ25" s="35"/>
      <c r="AK25" s="39"/>
      <c r="AL25" s="35"/>
      <c r="AM25" s="94" t="str">
        <f t="shared" si="6"/>
        <v/>
      </c>
      <c r="AN25" s="640"/>
      <c r="AO25" s="1">
        <f t="shared" si="5"/>
        <v>0</v>
      </c>
      <c r="AP25" s="1"/>
      <c r="AQ25" s="1"/>
      <c r="AT25" s="2"/>
      <c r="AV25" s="2"/>
    </row>
    <row r="26" spans="1:48" ht="25.35" customHeight="1">
      <c r="A26" s="639"/>
      <c r="B26" s="639"/>
      <c r="C26" s="48" t="s">
        <v>60</v>
      </c>
      <c r="D26" s="95">
        <v>16</v>
      </c>
      <c r="E26" s="100" t="s">
        <v>7</v>
      </c>
      <c r="F26" s="10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9"/>
      <c r="AL26" s="33"/>
      <c r="AM26" s="94" t="str">
        <f t="shared" si="6"/>
        <v/>
      </c>
      <c r="AN26" s="640"/>
      <c r="AO26" s="1">
        <f t="shared" si="5"/>
        <v>0</v>
      </c>
      <c r="AP26" s="1"/>
      <c r="AQ26" s="1"/>
      <c r="AT26" s="2"/>
      <c r="AV26" s="2"/>
    </row>
    <row r="27" spans="1:48" ht="25.35" customHeight="1">
      <c r="A27" s="639"/>
      <c r="B27" s="639"/>
      <c r="C27" s="48" t="s">
        <v>60</v>
      </c>
      <c r="D27" s="95">
        <v>17</v>
      </c>
      <c r="E27" s="100" t="s">
        <v>40</v>
      </c>
      <c r="F27" s="97"/>
      <c r="G27" s="33"/>
      <c r="H27" s="33"/>
      <c r="I27" s="33"/>
      <c r="J27" s="33"/>
      <c r="K27" s="33"/>
      <c r="L27" s="33"/>
      <c r="M27" s="33"/>
      <c r="N27" s="52"/>
      <c r="O27" s="52"/>
      <c r="P27" s="52"/>
      <c r="Q27" s="52"/>
      <c r="R27" s="52"/>
      <c r="S27" s="52"/>
      <c r="T27" s="33"/>
      <c r="U27" s="33"/>
      <c r="V27" s="33"/>
      <c r="W27" s="33"/>
      <c r="X27" s="33"/>
      <c r="Y27" s="33"/>
      <c r="Z27" s="33"/>
      <c r="AA27" s="33"/>
      <c r="AB27" s="52"/>
      <c r="AC27" s="52"/>
      <c r="AD27" s="33"/>
      <c r="AE27" s="52"/>
      <c r="AF27" s="52"/>
      <c r="AG27" s="52"/>
      <c r="AH27" s="52"/>
      <c r="AI27" s="33"/>
      <c r="AJ27" s="53"/>
      <c r="AK27" s="39"/>
      <c r="AL27" s="53"/>
      <c r="AM27" s="94" t="str">
        <f t="shared" si="6"/>
        <v/>
      </c>
      <c r="AN27" s="640"/>
      <c r="AO27" s="1">
        <f t="shared" si="5"/>
        <v>0</v>
      </c>
      <c r="AP27" s="1"/>
      <c r="AQ27" s="1"/>
      <c r="AT27" s="2"/>
      <c r="AV27" s="2"/>
    </row>
    <row r="28" spans="1:48" ht="25.35" customHeight="1">
      <c r="A28" s="639"/>
      <c r="B28" s="639"/>
      <c r="C28" s="48" t="s">
        <v>60</v>
      </c>
      <c r="D28" s="95">
        <v>18</v>
      </c>
      <c r="E28" s="100" t="s">
        <v>4</v>
      </c>
      <c r="F28" s="103"/>
      <c r="G28" s="33"/>
      <c r="H28" s="33"/>
      <c r="I28" s="33"/>
      <c r="J28" s="33"/>
      <c r="K28" s="33"/>
      <c r="L28" s="33"/>
      <c r="M28" s="33"/>
      <c r="N28" s="52"/>
      <c r="O28" s="52"/>
      <c r="P28" s="52"/>
      <c r="Q28" s="52"/>
      <c r="R28" s="52"/>
      <c r="S28" s="52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5"/>
      <c r="AJ28" s="33"/>
      <c r="AK28" s="39"/>
      <c r="AL28" s="33"/>
      <c r="AM28" s="94" t="str">
        <f t="shared" si="6"/>
        <v/>
      </c>
      <c r="AN28" s="640"/>
      <c r="AO28" s="1">
        <f t="shared" si="5"/>
        <v>0</v>
      </c>
      <c r="AP28" s="1"/>
      <c r="AQ28" s="1"/>
      <c r="AT28" s="2"/>
      <c r="AV28" s="2"/>
    </row>
    <row r="29" spans="1:48" ht="25.35" customHeight="1">
      <c r="A29" s="639"/>
      <c r="B29" s="639"/>
      <c r="C29" s="48" t="s">
        <v>60</v>
      </c>
      <c r="D29" s="95">
        <v>19</v>
      </c>
      <c r="E29" s="96" t="s">
        <v>147</v>
      </c>
      <c r="F29" s="103"/>
      <c r="G29" s="33"/>
      <c r="H29" s="33"/>
      <c r="I29" s="33"/>
      <c r="J29" s="33"/>
      <c r="K29" s="33"/>
      <c r="L29" s="33"/>
      <c r="M29" s="33"/>
      <c r="N29" s="52"/>
      <c r="O29" s="52"/>
      <c r="P29" s="52"/>
      <c r="Q29" s="52"/>
      <c r="R29" s="52"/>
      <c r="S29" s="52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5"/>
      <c r="AJ29" s="35"/>
      <c r="AK29" s="39"/>
      <c r="AL29" s="35"/>
      <c r="AM29" s="94" t="str">
        <f t="shared" si="6"/>
        <v/>
      </c>
      <c r="AN29" s="640"/>
      <c r="AO29" s="1">
        <f t="shared" si="5"/>
        <v>0</v>
      </c>
      <c r="AP29" s="1"/>
      <c r="AQ29" s="1"/>
      <c r="AT29" s="2"/>
      <c r="AV29" s="2"/>
    </row>
    <row r="30" spans="1:48" ht="25.35" customHeight="1">
      <c r="A30" s="639"/>
      <c r="B30" s="639"/>
      <c r="C30" s="48" t="s">
        <v>60</v>
      </c>
      <c r="D30" s="95">
        <v>20</v>
      </c>
      <c r="E30" s="100" t="s">
        <v>9</v>
      </c>
      <c r="F30" s="101"/>
      <c r="G30" s="33"/>
      <c r="H30" s="33"/>
      <c r="I30" s="33"/>
      <c r="J30" s="33"/>
      <c r="K30" s="33"/>
      <c r="L30" s="33"/>
      <c r="M30" s="33"/>
      <c r="N30" s="52"/>
      <c r="O30" s="52"/>
      <c r="P30" s="52"/>
      <c r="Q30" s="52"/>
      <c r="R30" s="52"/>
      <c r="S30" s="52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5"/>
      <c r="AJ30" s="35"/>
      <c r="AK30" s="39"/>
      <c r="AL30" s="35"/>
      <c r="AM30" s="94" t="str">
        <f>IF((COUNTIF(E30:AJ30, "x")+COUNTIF(E30:AJ30, "1")+COUNTIF(E30:AJ30, "2")+COUNTIF(E30:AJ30, "3"))=0, "", (COUNTIF(E30:AJ30, "1")+COUNTIF(E30:AJ30, "2")+COUNTIF(E30:AJ30, "3"))/(COUNTIF(E30:AJ30, "x")+COUNTIF(E30:AJ30, "1")+COUNTIF(E30:AJ30, "2")+COUNTIF(E30:AJ30, "3")))</f>
        <v/>
      </c>
      <c r="AN30" s="640"/>
      <c r="AO30" s="1">
        <f>COUNTIF(E30:AJ30, 1)+COUNTIF(E30:AJ30, 2)+COUNTIF(E30:AJ30,3)</f>
        <v>0</v>
      </c>
      <c r="AP30" s="1"/>
      <c r="AQ30" s="1"/>
      <c r="AT30" s="2"/>
      <c r="AV30" s="2"/>
    </row>
    <row r="31" spans="1:48" ht="25.35" customHeight="1">
      <c r="A31" s="639"/>
      <c r="B31" s="639"/>
      <c r="C31" s="48" t="s">
        <v>60</v>
      </c>
      <c r="D31" s="95">
        <v>21</v>
      </c>
      <c r="E31" s="100" t="s">
        <v>28</v>
      </c>
      <c r="F31" s="103"/>
      <c r="G31" s="33"/>
      <c r="H31" s="33"/>
      <c r="I31" s="33"/>
      <c r="J31" s="33"/>
      <c r="K31" s="33"/>
      <c r="L31" s="33"/>
      <c r="M31" s="33"/>
      <c r="N31" s="52"/>
      <c r="O31" s="52"/>
      <c r="P31" s="52"/>
      <c r="Q31" s="52"/>
      <c r="R31" s="52"/>
      <c r="S31" s="52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9"/>
      <c r="AL31" s="33"/>
      <c r="AM31" s="94" t="str">
        <f t="shared" si="6"/>
        <v/>
      </c>
      <c r="AN31" s="640"/>
      <c r="AO31" s="1">
        <f t="shared" si="5"/>
        <v>0</v>
      </c>
      <c r="AP31" s="1"/>
      <c r="AQ31" s="1"/>
      <c r="AT31" s="2"/>
      <c r="AV31" s="2"/>
    </row>
    <row r="32" spans="1:48" ht="25.35" customHeight="1">
      <c r="A32" s="639"/>
      <c r="B32" s="639"/>
      <c r="C32" s="48" t="s">
        <v>60</v>
      </c>
      <c r="D32" s="95">
        <v>22</v>
      </c>
      <c r="E32" s="100" t="s">
        <v>131</v>
      </c>
      <c r="F32" s="103"/>
      <c r="G32" s="33"/>
      <c r="H32" s="33"/>
      <c r="I32" s="33"/>
      <c r="J32" s="33"/>
      <c r="K32" s="33"/>
      <c r="L32" s="33"/>
      <c r="M32" s="33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33"/>
      <c r="AC32" s="33"/>
      <c r="AD32" s="33"/>
      <c r="AE32" s="33"/>
      <c r="AF32" s="33"/>
      <c r="AG32" s="33"/>
      <c r="AH32" s="33"/>
      <c r="AI32" s="33"/>
      <c r="AJ32" s="33"/>
      <c r="AK32" s="39"/>
      <c r="AL32" s="33"/>
      <c r="AM32" s="94" t="str">
        <f t="shared" si="6"/>
        <v/>
      </c>
      <c r="AN32" s="640"/>
      <c r="AO32" s="1">
        <f t="shared" si="5"/>
        <v>0</v>
      </c>
      <c r="AP32" s="1"/>
      <c r="AQ32" s="1"/>
      <c r="AT32" s="2"/>
      <c r="AV32" s="2"/>
    </row>
    <row r="33" spans="1:48" ht="25.35" customHeight="1" thickBot="1">
      <c r="A33" s="639"/>
      <c r="B33" s="639"/>
      <c r="C33" s="48" t="s">
        <v>60</v>
      </c>
      <c r="D33" s="104">
        <v>23</v>
      </c>
      <c r="E33" s="105"/>
      <c r="F33" s="106"/>
      <c r="G33" s="33"/>
      <c r="H33" s="33"/>
      <c r="I33" s="33"/>
      <c r="J33" s="33"/>
      <c r="K33" s="33"/>
      <c r="L33" s="33"/>
      <c r="M33" s="33"/>
      <c r="N33" s="52"/>
      <c r="O33" s="52"/>
      <c r="P33" s="52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9"/>
      <c r="AL33" s="33"/>
      <c r="AM33" s="94" t="str">
        <f t="shared" si="6"/>
        <v/>
      </c>
      <c r="AN33" s="640"/>
      <c r="AO33" s="1">
        <f t="shared" si="5"/>
        <v>0</v>
      </c>
      <c r="AP33" s="1"/>
      <c r="AQ33" s="1"/>
      <c r="AT33" s="2"/>
      <c r="AV33" s="2"/>
    </row>
    <row r="34" spans="1:48" ht="25.35" customHeight="1" thickBot="1">
      <c r="B34" s="107"/>
      <c r="C34" s="151" t="s">
        <v>165</v>
      </c>
      <c r="D34" s="20"/>
      <c r="E34" s="20"/>
      <c r="F34" s="20"/>
      <c r="G34" s="24" t="s">
        <v>163</v>
      </c>
      <c r="H34" s="24" t="s">
        <v>163</v>
      </c>
      <c r="I34" s="24" t="s">
        <v>163</v>
      </c>
      <c r="J34" s="24" t="s">
        <v>163</v>
      </c>
      <c r="K34" s="24" t="s">
        <v>163</v>
      </c>
      <c r="L34" s="40" t="s">
        <v>163</v>
      </c>
      <c r="M34" s="40" t="s">
        <v>163</v>
      </c>
      <c r="N34" s="40" t="s">
        <v>163</v>
      </c>
      <c r="O34" s="40" t="s">
        <v>163</v>
      </c>
      <c r="P34" s="40" t="s">
        <v>163</v>
      </c>
      <c r="Q34" s="40" t="s">
        <v>163</v>
      </c>
      <c r="R34" s="40" t="s">
        <v>163</v>
      </c>
      <c r="S34" s="40" t="s">
        <v>163</v>
      </c>
      <c r="T34" s="40" t="s">
        <v>163</v>
      </c>
      <c r="U34" s="40" t="s">
        <v>163</v>
      </c>
      <c r="V34" s="40" t="s">
        <v>163</v>
      </c>
      <c r="W34" s="40" t="s">
        <v>163</v>
      </c>
      <c r="X34" s="40" t="s">
        <v>163</v>
      </c>
      <c r="Y34" s="40" t="s">
        <v>163</v>
      </c>
      <c r="Z34" s="40" t="s">
        <v>163</v>
      </c>
      <c r="AA34" s="40" t="s">
        <v>163</v>
      </c>
      <c r="AB34" s="40" t="s">
        <v>163</v>
      </c>
      <c r="AC34" s="40" t="s">
        <v>163</v>
      </c>
      <c r="AD34" s="40" t="s">
        <v>163</v>
      </c>
      <c r="AE34" s="40" t="s">
        <v>163</v>
      </c>
      <c r="AF34" s="40" t="s">
        <v>163</v>
      </c>
      <c r="AG34" s="40" t="s">
        <v>163</v>
      </c>
      <c r="AH34" s="40" t="s">
        <v>163</v>
      </c>
      <c r="AI34" s="40" t="s">
        <v>163</v>
      </c>
      <c r="AJ34" s="40" t="s">
        <v>163</v>
      </c>
      <c r="AK34" s="40" t="s">
        <v>163</v>
      </c>
      <c r="AL34" s="150" t="s">
        <v>163</v>
      </c>
      <c r="AM34" s="23" t="s">
        <v>163</v>
      </c>
      <c r="AN34" s="23"/>
      <c r="AO34" s="23"/>
      <c r="AP34" s="23"/>
      <c r="AQ34" s="23"/>
      <c r="AT34" s="2"/>
      <c r="AV34" s="2"/>
    </row>
    <row r="35" spans="1:48" ht="25.35" hidden="1" customHeight="1">
      <c r="B35" s="108"/>
      <c r="C35" s="49"/>
      <c r="D35" s="76">
        <v>1</v>
      </c>
      <c r="E35" s="77" t="s">
        <v>17</v>
      </c>
      <c r="F35" s="78" t="s">
        <v>142</v>
      </c>
      <c r="G35" s="16" t="s">
        <v>163</v>
      </c>
      <c r="H35" s="109" t="s">
        <v>163</v>
      </c>
      <c r="I35" s="109" t="s">
        <v>163</v>
      </c>
      <c r="J35" s="109" t="s">
        <v>163</v>
      </c>
      <c r="K35" s="109" t="s">
        <v>163</v>
      </c>
      <c r="L35" s="109" t="s">
        <v>163</v>
      </c>
      <c r="M35" s="109" t="s">
        <v>163</v>
      </c>
      <c r="N35" s="109" t="s">
        <v>163</v>
      </c>
      <c r="O35" s="109" t="s">
        <v>163</v>
      </c>
      <c r="P35" s="109" t="s">
        <v>163</v>
      </c>
      <c r="Q35" s="109" t="s">
        <v>163</v>
      </c>
      <c r="R35" s="109" t="s">
        <v>163</v>
      </c>
      <c r="S35" s="109" t="s">
        <v>163</v>
      </c>
      <c r="T35" s="109" t="s">
        <v>163</v>
      </c>
      <c r="U35" s="109" t="s">
        <v>163</v>
      </c>
      <c r="V35" s="109" t="s">
        <v>163</v>
      </c>
      <c r="W35" s="109" t="s">
        <v>163</v>
      </c>
      <c r="X35" s="109" t="s">
        <v>163</v>
      </c>
      <c r="Y35" s="109" t="s">
        <v>163</v>
      </c>
      <c r="Z35" s="109" t="s">
        <v>163</v>
      </c>
      <c r="AA35" s="109" t="s">
        <v>163</v>
      </c>
      <c r="AB35" s="109" t="s">
        <v>163</v>
      </c>
      <c r="AC35" s="109" t="s">
        <v>163</v>
      </c>
      <c r="AD35" s="109" t="s">
        <v>163</v>
      </c>
      <c r="AE35" s="109" t="s">
        <v>163</v>
      </c>
      <c r="AF35" s="109" t="s">
        <v>163</v>
      </c>
      <c r="AG35" s="109" t="s">
        <v>163</v>
      </c>
      <c r="AH35" s="109" t="s">
        <v>163</v>
      </c>
      <c r="AI35" s="109" t="s">
        <v>163</v>
      </c>
      <c r="AJ35" s="109" t="s">
        <v>163</v>
      </c>
      <c r="AK35" s="16" t="s">
        <v>163</v>
      </c>
      <c r="AL35" s="109" t="s">
        <v>163</v>
      </c>
      <c r="AM35" s="82"/>
      <c r="AN35" s="86"/>
      <c r="AO35" s="1"/>
      <c r="AP35" s="1"/>
      <c r="AQ35" s="1"/>
      <c r="AT35" s="2"/>
      <c r="AV35" s="2"/>
    </row>
    <row r="36" spans="1:48" ht="25.35" hidden="1" customHeight="1">
      <c r="B36" s="108"/>
      <c r="C36" s="49"/>
      <c r="D36" s="76">
        <v>2</v>
      </c>
      <c r="E36" s="77" t="s">
        <v>29</v>
      </c>
      <c r="F36" s="85" t="s">
        <v>143</v>
      </c>
      <c r="G36" s="16">
        <f t="shared" ref="G36:AL36" si="7">COUNT(G39:G60)</f>
        <v>0</v>
      </c>
      <c r="H36" s="16">
        <f t="shared" si="7"/>
        <v>0</v>
      </c>
      <c r="I36" s="16">
        <f t="shared" si="7"/>
        <v>0</v>
      </c>
      <c r="J36" s="16">
        <f t="shared" si="7"/>
        <v>0</v>
      </c>
      <c r="K36" s="16">
        <f t="shared" si="7"/>
        <v>0</v>
      </c>
      <c r="L36" s="16">
        <f t="shared" si="7"/>
        <v>0</v>
      </c>
      <c r="M36" s="16">
        <f t="shared" si="7"/>
        <v>0</v>
      </c>
      <c r="N36" s="16">
        <f t="shared" si="7"/>
        <v>0</v>
      </c>
      <c r="O36" s="16">
        <f t="shared" si="7"/>
        <v>0</v>
      </c>
      <c r="P36" s="16">
        <f t="shared" si="7"/>
        <v>0</v>
      </c>
      <c r="Q36" s="16">
        <f t="shared" si="7"/>
        <v>0</v>
      </c>
      <c r="R36" s="16">
        <f t="shared" si="7"/>
        <v>0</v>
      </c>
      <c r="S36" s="16">
        <f>COUNT(S40:S60)</f>
        <v>0</v>
      </c>
      <c r="T36" s="16">
        <f t="shared" si="7"/>
        <v>0</v>
      </c>
      <c r="U36" s="16">
        <f t="shared" si="7"/>
        <v>0</v>
      </c>
      <c r="V36" s="16">
        <f t="shared" si="7"/>
        <v>0</v>
      </c>
      <c r="W36" s="16">
        <f t="shared" si="7"/>
        <v>0</v>
      </c>
      <c r="X36" s="16">
        <f t="shared" si="7"/>
        <v>0</v>
      </c>
      <c r="Y36" s="16">
        <f t="shared" si="7"/>
        <v>0</v>
      </c>
      <c r="Z36" s="16">
        <f t="shared" si="7"/>
        <v>0</v>
      </c>
      <c r="AA36" s="16">
        <f t="shared" si="7"/>
        <v>0</v>
      </c>
      <c r="AB36" s="16">
        <f t="shared" si="7"/>
        <v>0</v>
      </c>
      <c r="AC36" s="16">
        <f t="shared" si="7"/>
        <v>0</v>
      </c>
      <c r="AD36" s="16">
        <f t="shared" si="7"/>
        <v>0</v>
      </c>
      <c r="AE36" s="16">
        <f t="shared" si="7"/>
        <v>0</v>
      </c>
      <c r="AF36" s="16">
        <f t="shared" si="7"/>
        <v>0</v>
      </c>
      <c r="AG36" s="16">
        <f t="shared" si="7"/>
        <v>0</v>
      </c>
      <c r="AH36" s="16">
        <f t="shared" si="7"/>
        <v>0</v>
      </c>
      <c r="AI36" s="16">
        <f t="shared" si="7"/>
        <v>0</v>
      </c>
      <c r="AJ36" s="16">
        <f t="shared" si="7"/>
        <v>0</v>
      </c>
      <c r="AK36" s="16">
        <f t="shared" si="7"/>
        <v>0</v>
      </c>
      <c r="AL36" s="16">
        <f t="shared" si="7"/>
        <v>0</v>
      </c>
      <c r="AM36" s="82"/>
      <c r="AN36" s="86"/>
      <c r="AO36" s="1"/>
      <c r="AP36" s="1"/>
      <c r="AQ36" s="1"/>
      <c r="AT36" s="2"/>
      <c r="AV36" s="2"/>
    </row>
    <row r="37" spans="1:48" ht="25.35" hidden="1" customHeight="1">
      <c r="B37" s="110"/>
      <c r="C37" s="49"/>
      <c r="D37" s="76">
        <v>3</v>
      </c>
      <c r="E37" s="84" t="s">
        <v>30</v>
      </c>
      <c r="F37" s="85" t="s">
        <v>143</v>
      </c>
      <c r="G37" s="143" t="str">
        <f>IF(G36&gt;10,"OK","")</f>
        <v/>
      </c>
      <c r="H37" s="143" t="str">
        <f t="shared" ref="H37:AJ37" si="8">IF(H36&gt;10,"OK","")</f>
        <v/>
      </c>
      <c r="I37" s="143" t="str">
        <f t="shared" si="8"/>
        <v/>
      </c>
      <c r="J37" s="143" t="str">
        <f t="shared" si="8"/>
        <v/>
      </c>
      <c r="K37" s="143" t="str">
        <f t="shared" si="8"/>
        <v/>
      </c>
      <c r="L37" s="143" t="str">
        <f t="shared" si="8"/>
        <v/>
      </c>
      <c r="M37" s="143" t="str">
        <f t="shared" si="8"/>
        <v/>
      </c>
      <c r="N37" s="143" t="str">
        <f t="shared" si="8"/>
        <v/>
      </c>
      <c r="O37" s="143" t="str">
        <f t="shared" si="8"/>
        <v/>
      </c>
      <c r="P37" s="143" t="str">
        <f t="shared" si="8"/>
        <v/>
      </c>
      <c r="Q37" s="143" t="str">
        <f t="shared" si="8"/>
        <v/>
      </c>
      <c r="R37" s="143" t="str">
        <f t="shared" si="8"/>
        <v/>
      </c>
      <c r="S37" s="143" t="str">
        <f t="shared" si="8"/>
        <v/>
      </c>
      <c r="T37" s="143" t="str">
        <f t="shared" si="8"/>
        <v/>
      </c>
      <c r="U37" s="143" t="str">
        <f t="shared" si="8"/>
        <v/>
      </c>
      <c r="V37" s="143" t="str">
        <f t="shared" si="8"/>
        <v/>
      </c>
      <c r="W37" s="143" t="str">
        <f t="shared" si="8"/>
        <v/>
      </c>
      <c r="X37" s="143" t="str">
        <f t="shared" si="8"/>
        <v/>
      </c>
      <c r="Y37" s="143" t="str">
        <f t="shared" si="8"/>
        <v/>
      </c>
      <c r="Z37" s="143" t="str">
        <f t="shared" si="8"/>
        <v/>
      </c>
      <c r="AA37" s="143" t="str">
        <f t="shared" si="8"/>
        <v/>
      </c>
      <c r="AB37" s="143" t="str">
        <f t="shared" si="8"/>
        <v/>
      </c>
      <c r="AC37" s="143" t="str">
        <f t="shared" si="8"/>
        <v/>
      </c>
      <c r="AD37" s="143" t="str">
        <f t="shared" si="8"/>
        <v/>
      </c>
      <c r="AE37" s="143" t="str">
        <f t="shared" si="8"/>
        <v/>
      </c>
      <c r="AF37" s="143" t="str">
        <f t="shared" si="8"/>
        <v/>
      </c>
      <c r="AG37" s="143" t="str">
        <f t="shared" si="8"/>
        <v/>
      </c>
      <c r="AH37" s="143" t="str">
        <f t="shared" si="8"/>
        <v/>
      </c>
      <c r="AI37" s="143" t="str">
        <f t="shared" si="8"/>
        <v/>
      </c>
      <c r="AJ37" s="143" t="str">
        <f t="shared" si="8"/>
        <v/>
      </c>
      <c r="AK37" s="143" t="e">
        <f>MODE(AK39:AK60)</f>
        <v>#N/A</v>
      </c>
      <c r="AL37" s="143" t="str">
        <f>IF(AL36&gt;10,"OK","")</f>
        <v/>
      </c>
      <c r="AM37" s="82"/>
      <c r="AN37" s="86"/>
      <c r="AO37" s="1"/>
      <c r="AP37" s="1"/>
      <c r="AQ37" s="1"/>
      <c r="AT37" s="2"/>
      <c r="AV37" s="2"/>
    </row>
    <row r="38" spans="1:48" ht="25.35" customHeight="1" thickBot="1">
      <c r="B38" s="110"/>
      <c r="C38" s="47" t="s">
        <v>166</v>
      </c>
      <c r="D38" s="638" t="s">
        <v>141</v>
      </c>
      <c r="E38" s="638"/>
      <c r="F38" s="142"/>
      <c r="G38" s="32" t="str">
        <f>IF(G37&lt;&gt;"",IF(G38&lt;&gt;"",G38,$B$5),"")</f>
        <v/>
      </c>
      <c r="H38" s="31" t="str">
        <f t="shared" ref="H38:S38" si="9">IF(H37&lt;&gt;"",IF(H38&lt;&gt;"",H38,$B$5),"")</f>
        <v/>
      </c>
      <c r="I38" s="31" t="str">
        <f t="shared" si="9"/>
        <v/>
      </c>
      <c r="J38" s="31" t="str">
        <f t="shared" si="9"/>
        <v/>
      </c>
      <c r="K38" s="31" t="str">
        <f t="shared" si="9"/>
        <v/>
      </c>
      <c r="L38" s="31" t="str">
        <f t="shared" si="9"/>
        <v/>
      </c>
      <c r="M38" s="31" t="str">
        <f t="shared" si="9"/>
        <v/>
      </c>
      <c r="N38" s="31" t="str">
        <f t="shared" si="9"/>
        <v/>
      </c>
      <c r="O38" s="31" t="str">
        <f t="shared" si="9"/>
        <v/>
      </c>
      <c r="P38" s="31" t="str">
        <f t="shared" si="9"/>
        <v/>
      </c>
      <c r="Q38" s="31" t="str">
        <f t="shared" si="9"/>
        <v/>
      </c>
      <c r="R38" s="31" t="str">
        <f t="shared" si="9"/>
        <v/>
      </c>
      <c r="S38" s="31" t="str">
        <f t="shared" si="9"/>
        <v/>
      </c>
      <c r="T38" s="31" t="str">
        <f>IF(T37&lt;&gt;"",IF(T38&lt;&gt;"",T38,$B$5),"")</f>
        <v/>
      </c>
      <c r="U38" s="31" t="str">
        <f t="shared" ref="U38:AJ38" si="10">IF(U37&lt;&gt;"",IF(U38&lt;&gt;"",U38,$B$5),"")</f>
        <v/>
      </c>
      <c r="V38" s="31" t="str">
        <f t="shared" si="10"/>
        <v/>
      </c>
      <c r="W38" s="31" t="str">
        <f t="shared" si="10"/>
        <v/>
      </c>
      <c r="X38" s="31" t="str">
        <f t="shared" si="10"/>
        <v/>
      </c>
      <c r="Y38" s="31" t="str">
        <f t="shared" si="10"/>
        <v/>
      </c>
      <c r="Z38" s="31" t="str">
        <f t="shared" si="10"/>
        <v/>
      </c>
      <c r="AA38" s="31" t="str">
        <f t="shared" si="10"/>
        <v/>
      </c>
      <c r="AB38" s="31" t="str">
        <f t="shared" si="10"/>
        <v/>
      </c>
      <c r="AC38" s="31" t="str">
        <f t="shared" si="10"/>
        <v/>
      </c>
      <c r="AD38" s="31" t="str">
        <f t="shared" si="10"/>
        <v/>
      </c>
      <c r="AE38" s="31" t="str">
        <f t="shared" si="10"/>
        <v/>
      </c>
      <c r="AF38" s="31" t="str">
        <f t="shared" si="10"/>
        <v/>
      </c>
      <c r="AG38" s="31" t="str">
        <f t="shared" si="10"/>
        <v/>
      </c>
      <c r="AH38" s="31" t="str">
        <f t="shared" si="10"/>
        <v/>
      </c>
      <c r="AI38" s="31" t="str">
        <f t="shared" si="10"/>
        <v/>
      </c>
      <c r="AJ38" s="31" t="str">
        <f t="shared" si="10"/>
        <v/>
      </c>
      <c r="AK38" s="44"/>
      <c r="AL38" s="27" t="str">
        <f>IF(AL37&lt;&gt;"",IF(AL38&lt;&gt;"",AL38,$B$5),"")</f>
        <v/>
      </c>
      <c r="AM38" s="82"/>
      <c r="AN38" s="86"/>
      <c r="AO38" s="1"/>
      <c r="AP38" s="1"/>
      <c r="AQ38" s="1"/>
      <c r="AT38" s="2"/>
      <c r="AV38" s="2"/>
    </row>
    <row r="39" spans="1:48" ht="25.35" customHeight="1">
      <c r="A39" s="639" t="s">
        <v>185</v>
      </c>
      <c r="B39" s="639"/>
      <c r="C39" s="49" t="s">
        <v>55</v>
      </c>
      <c r="D39" s="91">
        <v>1</v>
      </c>
      <c r="E39" s="92" t="s">
        <v>124</v>
      </c>
      <c r="F39" s="93"/>
      <c r="G39" s="144"/>
      <c r="H39" s="144"/>
      <c r="I39" s="144"/>
      <c r="J39" s="36"/>
      <c r="K39" s="144"/>
      <c r="L39" s="36"/>
      <c r="M39" s="144"/>
      <c r="N39" s="144"/>
      <c r="O39" s="144"/>
      <c r="P39" s="144"/>
      <c r="Q39" s="36"/>
      <c r="R39" s="144"/>
      <c r="S39" s="36"/>
      <c r="T39" s="144"/>
      <c r="U39" s="144"/>
      <c r="V39" s="144"/>
      <c r="W39" s="144"/>
      <c r="X39" s="144"/>
      <c r="Y39" s="144"/>
      <c r="Z39" s="36"/>
      <c r="AA39" s="144"/>
      <c r="AB39" s="144"/>
      <c r="AC39" s="144"/>
      <c r="AD39" s="36"/>
      <c r="AE39" s="36"/>
      <c r="AF39" s="36"/>
      <c r="AG39" s="36"/>
      <c r="AH39" s="36"/>
      <c r="AI39" s="38"/>
      <c r="AJ39" s="38"/>
      <c r="AK39" s="139" t="s">
        <v>163</v>
      </c>
      <c r="AL39" s="38"/>
      <c r="AM39" s="94" t="str">
        <f t="shared" ref="AM39:AM60" si="11">IF((COUNTIF(G39:AJ39, "x")+COUNTIF(G39:AJ39, "1")+COUNTIF(G39:AJ39, "2")+COUNTIF(G39:AJ39, "3"))=0, "", (COUNTIF(G39:AJ39, "1")+COUNTIF(G39:AJ39, "2")+COUNTIF(G39:AJ39, "3"))/(COUNTIF(G39:AJ39, "x")+COUNTIF(G39:AJ39, "1")+COUNTIF(G39:AJ39, "2")+COUNTIF(G39:AJ39, "3")))</f>
        <v/>
      </c>
      <c r="AN39" s="640" t="str">
        <f ca="1">IFERROR(AVERAGE(INDIRECT(AY7)),"")</f>
        <v/>
      </c>
      <c r="AO39" s="1">
        <f t="shared" ref="AO39:AO60" si="12">COUNTIF(G39:AJ39, 1)+COUNTIF(G39:AJ39, 2)+COUNTIF(G39:AJ39,3)</f>
        <v>0</v>
      </c>
      <c r="AP39" s="1"/>
      <c r="AQ39" s="1"/>
      <c r="AT39" s="2"/>
      <c r="AV39" s="2"/>
    </row>
    <row r="40" spans="1:48" ht="25.35" customHeight="1">
      <c r="A40" s="639"/>
      <c r="B40" s="639"/>
      <c r="C40" s="49" t="s">
        <v>55</v>
      </c>
      <c r="D40" s="95">
        <f>D39+1</f>
        <v>2</v>
      </c>
      <c r="E40" s="99" t="s">
        <v>117</v>
      </c>
      <c r="F40" s="101"/>
      <c r="G40" s="140"/>
      <c r="H40" s="140"/>
      <c r="I40" s="140"/>
      <c r="J40" s="33"/>
      <c r="K40" s="140"/>
      <c r="L40" s="52"/>
      <c r="M40" s="140"/>
      <c r="N40" s="140"/>
      <c r="O40" s="140"/>
      <c r="P40" s="140"/>
      <c r="Q40" s="33"/>
      <c r="R40" s="140"/>
      <c r="S40" s="33"/>
      <c r="T40" s="140"/>
      <c r="U40" s="140"/>
      <c r="V40" s="140"/>
      <c r="W40" s="140"/>
      <c r="X40" s="140"/>
      <c r="Y40" s="140"/>
      <c r="Z40" s="52"/>
      <c r="AA40" s="33"/>
      <c r="AB40" s="33"/>
      <c r="AC40" s="33"/>
      <c r="AD40" s="33"/>
      <c r="AE40" s="33"/>
      <c r="AF40" s="33"/>
      <c r="AG40" s="33"/>
      <c r="AH40" s="33"/>
      <c r="AI40" s="35"/>
      <c r="AJ40" s="35"/>
      <c r="AK40" s="39" t="s">
        <v>163</v>
      </c>
      <c r="AL40" s="35"/>
      <c r="AM40" s="94" t="str">
        <f t="shared" si="11"/>
        <v/>
      </c>
      <c r="AN40" s="640"/>
      <c r="AO40" s="1">
        <f t="shared" si="12"/>
        <v>0</v>
      </c>
      <c r="AP40" s="1"/>
      <c r="AQ40" s="1"/>
      <c r="AT40" s="2"/>
      <c r="AV40" s="2"/>
    </row>
    <row r="41" spans="1:48" ht="25.35" customHeight="1">
      <c r="A41" s="639"/>
      <c r="B41" s="639"/>
      <c r="C41" s="49" t="s">
        <v>55</v>
      </c>
      <c r="D41" s="95">
        <f t="shared" ref="D41:D60" si="13">D40+1</f>
        <v>3</v>
      </c>
      <c r="E41" s="99" t="s">
        <v>172</v>
      </c>
      <c r="F41" s="97"/>
      <c r="G41" s="140"/>
      <c r="H41" s="140"/>
      <c r="I41" s="140"/>
      <c r="J41" s="33"/>
      <c r="K41" s="140"/>
      <c r="L41" s="33"/>
      <c r="M41" s="140"/>
      <c r="N41" s="140"/>
      <c r="O41" s="140"/>
      <c r="P41" s="140"/>
      <c r="Q41" s="33"/>
      <c r="R41" s="140"/>
      <c r="S41" s="33"/>
      <c r="T41" s="140"/>
      <c r="U41" s="140"/>
      <c r="V41" s="140"/>
      <c r="W41" s="140"/>
      <c r="X41" s="140"/>
      <c r="Y41" s="140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9" t="s">
        <v>163</v>
      </c>
      <c r="AL41" s="33"/>
      <c r="AM41" s="94" t="str">
        <f t="shared" si="11"/>
        <v/>
      </c>
      <c r="AN41" s="640"/>
      <c r="AO41" s="1">
        <f t="shared" si="12"/>
        <v>0</v>
      </c>
      <c r="AP41" s="1"/>
      <c r="AQ41" s="1"/>
      <c r="AT41" s="2"/>
      <c r="AV41" s="2"/>
    </row>
    <row r="42" spans="1:48" ht="25.35" customHeight="1">
      <c r="A42" s="639"/>
      <c r="B42" s="639"/>
      <c r="C42" s="49" t="s">
        <v>55</v>
      </c>
      <c r="D42" s="95">
        <f t="shared" si="13"/>
        <v>4</v>
      </c>
      <c r="E42" s="98" t="s">
        <v>176</v>
      </c>
      <c r="F42" s="97"/>
      <c r="G42" s="140"/>
      <c r="H42" s="140"/>
      <c r="I42" s="140"/>
      <c r="J42" s="33"/>
      <c r="K42" s="140"/>
      <c r="L42" s="33"/>
      <c r="M42" s="140"/>
      <c r="N42" s="140"/>
      <c r="O42" s="140"/>
      <c r="P42" s="140"/>
      <c r="Q42" s="33"/>
      <c r="R42" s="140"/>
      <c r="S42" s="33"/>
      <c r="T42" s="140"/>
      <c r="U42" s="140"/>
      <c r="V42" s="140"/>
      <c r="W42" s="140"/>
      <c r="X42" s="140"/>
      <c r="Y42" s="140"/>
      <c r="Z42" s="33"/>
      <c r="AA42" s="33"/>
      <c r="AB42" s="33"/>
      <c r="AC42" s="33"/>
      <c r="AD42" s="33"/>
      <c r="AE42" s="33"/>
      <c r="AF42" s="33"/>
      <c r="AG42" s="33"/>
      <c r="AH42" s="33"/>
      <c r="AI42" s="35"/>
      <c r="AJ42" s="35"/>
      <c r="AK42" s="39" t="s">
        <v>163</v>
      </c>
      <c r="AL42" s="35"/>
      <c r="AM42" s="94" t="str">
        <f t="shared" si="11"/>
        <v/>
      </c>
      <c r="AN42" s="640"/>
      <c r="AO42" s="1">
        <f t="shared" si="12"/>
        <v>0</v>
      </c>
      <c r="AP42" s="1"/>
      <c r="AQ42" s="1"/>
      <c r="AT42" s="2"/>
      <c r="AV42" s="2"/>
    </row>
    <row r="43" spans="1:48" ht="25.35" customHeight="1">
      <c r="A43" s="639"/>
      <c r="B43" s="639"/>
      <c r="C43" s="49" t="s">
        <v>55</v>
      </c>
      <c r="D43" s="95">
        <f t="shared" si="13"/>
        <v>5</v>
      </c>
      <c r="E43" s="98" t="s">
        <v>157</v>
      </c>
      <c r="F43" s="97"/>
      <c r="G43" s="140"/>
      <c r="H43" s="140"/>
      <c r="I43" s="140"/>
      <c r="J43" s="33"/>
      <c r="K43" s="140"/>
      <c r="L43" s="33"/>
      <c r="M43" s="140"/>
      <c r="N43" s="140"/>
      <c r="O43" s="140"/>
      <c r="P43" s="140"/>
      <c r="Q43" s="33"/>
      <c r="R43" s="140"/>
      <c r="S43" s="33"/>
      <c r="T43" s="140"/>
      <c r="U43" s="140"/>
      <c r="V43" s="140"/>
      <c r="W43" s="140"/>
      <c r="X43" s="140"/>
      <c r="Y43" s="140"/>
      <c r="Z43" s="33"/>
      <c r="AA43" s="33"/>
      <c r="AB43" s="33"/>
      <c r="AC43" s="33"/>
      <c r="AD43" s="33"/>
      <c r="AE43" s="33"/>
      <c r="AF43" s="33"/>
      <c r="AG43" s="33"/>
      <c r="AH43" s="33"/>
      <c r="AI43" s="35"/>
      <c r="AJ43" s="35"/>
      <c r="AK43" s="39" t="s">
        <v>163</v>
      </c>
      <c r="AL43" s="35"/>
      <c r="AM43" s="94" t="str">
        <f t="shared" si="11"/>
        <v/>
      </c>
      <c r="AN43" s="640"/>
      <c r="AO43" s="1">
        <f t="shared" si="12"/>
        <v>0</v>
      </c>
      <c r="AP43" s="1"/>
      <c r="AQ43" s="1"/>
      <c r="AT43" s="2"/>
      <c r="AV43" s="2"/>
    </row>
    <row r="44" spans="1:48" ht="25.35" customHeight="1">
      <c r="A44" s="639"/>
      <c r="B44" s="639"/>
      <c r="C44" s="49" t="s">
        <v>55</v>
      </c>
      <c r="D44" s="95">
        <f t="shared" si="13"/>
        <v>6</v>
      </c>
      <c r="E44" s="98" t="s">
        <v>150</v>
      </c>
      <c r="F44" s="97"/>
      <c r="G44" s="33"/>
      <c r="H44" s="33"/>
      <c r="I44" s="33"/>
      <c r="J44" s="33"/>
      <c r="K44" s="33"/>
      <c r="L44" s="33"/>
      <c r="M44" s="140"/>
      <c r="N44" s="140"/>
      <c r="O44" s="140"/>
      <c r="P44" s="140"/>
      <c r="Q44" s="33"/>
      <c r="R44" s="140"/>
      <c r="S44" s="33"/>
      <c r="T44" s="140"/>
      <c r="U44" s="140"/>
      <c r="V44" s="140"/>
      <c r="W44" s="140"/>
      <c r="X44" s="140"/>
      <c r="Y44" s="140"/>
      <c r="Z44" s="33"/>
      <c r="AA44" s="33"/>
      <c r="AB44" s="33"/>
      <c r="AC44" s="33"/>
      <c r="AD44" s="33"/>
      <c r="AE44" s="33"/>
      <c r="AF44" s="33"/>
      <c r="AG44" s="33"/>
      <c r="AH44" s="33"/>
      <c r="AI44" s="35"/>
      <c r="AJ44" s="35"/>
      <c r="AK44" s="39" t="s">
        <v>163</v>
      </c>
      <c r="AL44" s="35"/>
      <c r="AM44" s="94" t="str">
        <f t="shared" si="11"/>
        <v/>
      </c>
      <c r="AN44" s="640"/>
      <c r="AO44" s="1">
        <f t="shared" si="12"/>
        <v>0</v>
      </c>
      <c r="AP44" s="1"/>
      <c r="AQ44" s="1"/>
      <c r="AT44" s="2"/>
      <c r="AV44" s="2"/>
    </row>
    <row r="45" spans="1:48" ht="25.35" customHeight="1">
      <c r="A45" s="639"/>
      <c r="B45" s="639"/>
      <c r="C45" s="49" t="s">
        <v>55</v>
      </c>
      <c r="D45" s="95">
        <f t="shared" si="13"/>
        <v>7</v>
      </c>
      <c r="E45" s="100" t="s">
        <v>149</v>
      </c>
      <c r="F45" s="97"/>
      <c r="G45" s="33"/>
      <c r="H45" s="33"/>
      <c r="I45" s="33"/>
      <c r="J45" s="33"/>
      <c r="K45" s="33"/>
      <c r="L45" s="33"/>
      <c r="M45" s="140"/>
      <c r="N45" s="140"/>
      <c r="O45" s="140"/>
      <c r="P45" s="140"/>
      <c r="Q45" s="33"/>
      <c r="R45" s="140"/>
      <c r="S45" s="33"/>
      <c r="T45" s="140"/>
      <c r="U45" s="140"/>
      <c r="V45" s="140"/>
      <c r="W45" s="140"/>
      <c r="X45" s="140"/>
      <c r="Y45" s="140"/>
      <c r="Z45" s="33"/>
      <c r="AA45" s="33"/>
      <c r="AB45" s="33"/>
      <c r="AC45" s="33"/>
      <c r="AD45" s="33"/>
      <c r="AE45" s="33"/>
      <c r="AF45" s="33"/>
      <c r="AG45" s="33"/>
      <c r="AH45" s="33"/>
      <c r="AI45" s="35"/>
      <c r="AJ45" s="35"/>
      <c r="AK45" s="39" t="s">
        <v>163</v>
      </c>
      <c r="AL45" s="35"/>
      <c r="AM45" s="94" t="str">
        <f t="shared" si="11"/>
        <v/>
      </c>
      <c r="AN45" s="640"/>
      <c r="AO45" s="1">
        <f t="shared" si="12"/>
        <v>0</v>
      </c>
      <c r="AP45" s="1"/>
      <c r="AQ45" s="1"/>
      <c r="AT45" s="2"/>
      <c r="AV45" s="2"/>
    </row>
    <row r="46" spans="1:48" ht="25.35" customHeight="1">
      <c r="A46" s="639"/>
      <c r="B46" s="639"/>
      <c r="C46" s="49" t="s">
        <v>55</v>
      </c>
      <c r="D46" s="95">
        <f t="shared" si="13"/>
        <v>8</v>
      </c>
      <c r="E46" s="100" t="s">
        <v>140</v>
      </c>
      <c r="F46" s="97"/>
      <c r="G46" s="33"/>
      <c r="H46" s="33"/>
      <c r="I46" s="33"/>
      <c r="J46" s="33"/>
      <c r="K46" s="33"/>
      <c r="L46" s="52"/>
      <c r="M46" s="140"/>
      <c r="N46" s="140"/>
      <c r="O46" s="140"/>
      <c r="P46" s="140"/>
      <c r="Q46" s="33"/>
      <c r="R46" s="140"/>
      <c r="S46" s="52"/>
      <c r="T46" s="140"/>
      <c r="U46" s="140"/>
      <c r="V46" s="140"/>
      <c r="W46" s="140"/>
      <c r="X46" s="140"/>
      <c r="Y46" s="140"/>
      <c r="Z46" s="52"/>
      <c r="AA46" s="33"/>
      <c r="AB46" s="33"/>
      <c r="AC46" s="33"/>
      <c r="AD46" s="33"/>
      <c r="AE46" s="33"/>
      <c r="AF46" s="33"/>
      <c r="AG46" s="33"/>
      <c r="AH46" s="33"/>
      <c r="AI46" s="35"/>
      <c r="AJ46" s="35"/>
      <c r="AK46" s="39" t="s">
        <v>163</v>
      </c>
      <c r="AL46" s="35"/>
      <c r="AM46" s="94" t="str">
        <f t="shared" si="11"/>
        <v/>
      </c>
      <c r="AN46" s="640"/>
      <c r="AO46" s="1">
        <f t="shared" si="12"/>
        <v>0</v>
      </c>
      <c r="AP46" s="1"/>
      <c r="AQ46" s="1"/>
      <c r="AT46" s="2"/>
      <c r="AV46" s="2"/>
    </row>
    <row r="47" spans="1:48" ht="25.35" customHeight="1">
      <c r="A47" s="639"/>
      <c r="B47" s="639"/>
      <c r="C47" s="49" t="s">
        <v>60</v>
      </c>
      <c r="D47" s="95">
        <f t="shared" si="13"/>
        <v>9</v>
      </c>
      <c r="E47" s="100" t="s">
        <v>148</v>
      </c>
      <c r="F47" s="102"/>
      <c r="G47" s="33"/>
      <c r="H47" s="33"/>
      <c r="I47" s="140"/>
      <c r="J47" s="33"/>
      <c r="K47" s="140"/>
      <c r="L47" s="33"/>
      <c r="M47" s="140"/>
      <c r="N47" s="140"/>
      <c r="O47" s="140"/>
      <c r="P47" s="140"/>
      <c r="Q47" s="33"/>
      <c r="R47" s="140"/>
      <c r="S47" s="140"/>
      <c r="T47" s="140"/>
      <c r="U47" s="140"/>
      <c r="V47" s="140"/>
      <c r="W47" s="140"/>
      <c r="X47" s="140"/>
      <c r="Y47" s="140"/>
      <c r="Z47" s="33"/>
      <c r="AA47" s="33"/>
      <c r="AB47" s="33"/>
      <c r="AC47" s="33"/>
      <c r="AD47" s="33"/>
      <c r="AE47" s="33"/>
      <c r="AF47" s="33"/>
      <c r="AG47" s="33"/>
      <c r="AH47" s="33"/>
      <c r="AI47" s="35"/>
      <c r="AJ47" s="33"/>
      <c r="AK47" s="39" t="s">
        <v>163</v>
      </c>
      <c r="AL47" s="33"/>
      <c r="AM47" s="94" t="str">
        <f t="shared" si="11"/>
        <v/>
      </c>
      <c r="AN47" s="640"/>
      <c r="AO47" s="1">
        <f t="shared" si="12"/>
        <v>0</v>
      </c>
      <c r="AP47" s="1"/>
      <c r="AQ47" s="1"/>
      <c r="AT47" s="2"/>
      <c r="AV47" s="2"/>
    </row>
    <row r="48" spans="1:48" ht="25.35" customHeight="1">
      <c r="A48" s="639"/>
      <c r="B48" s="639"/>
      <c r="C48" s="49" t="s">
        <v>60</v>
      </c>
      <c r="D48" s="95">
        <f t="shared" si="13"/>
        <v>10</v>
      </c>
      <c r="E48" s="100" t="s">
        <v>123</v>
      </c>
      <c r="F48" s="102"/>
      <c r="G48" s="140"/>
      <c r="H48" s="140"/>
      <c r="I48" s="140"/>
      <c r="J48" s="33"/>
      <c r="K48" s="140"/>
      <c r="L48" s="140"/>
      <c r="M48" s="140"/>
      <c r="N48" s="140"/>
      <c r="O48" s="140"/>
      <c r="P48" s="140"/>
      <c r="Q48" s="33"/>
      <c r="R48" s="140"/>
      <c r="S48" s="140"/>
      <c r="T48" s="140"/>
      <c r="U48" s="140"/>
      <c r="V48" s="140"/>
      <c r="W48" s="140"/>
      <c r="X48" s="140"/>
      <c r="Y48" s="140"/>
      <c r="Z48" s="33"/>
      <c r="AA48" s="33"/>
      <c r="AB48" s="33"/>
      <c r="AC48" s="33"/>
      <c r="AD48" s="33"/>
      <c r="AE48" s="33"/>
      <c r="AF48" s="33"/>
      <c r="AG48" s="33"/>
      <c r="AH48" s="33"/>
      <c r="AI48" s="35"/>
      <c r="AJ48" s="35"/>
      <c r="AK48" s="39" t="s">
        <v>163</v>
      </c>
      <c r="AL48" s="35"/>
      <c r="AM48" s="94" t="str">
        <f t="shared" si="11"/>
        <v/>
      </c>
      <c r="AN48" s="640"/>
      <c r="AO48" s="1">
        <f t="shared" si="12"/>
        <v>0</v>
      </c>
      <c r="AP48" s="1"/>
      <c r="AQ48" s="1"/>
      <c r="AT48" s="2"/>
      <c r="AV48" s="2"/>
    </row>
    <row r="49" spans="1:48" ht="25.35" customHeight="1">
      <c r="A49" s="639"/>
      <c r="B49" s="639"/>
      <c r="C49" s="48" t="s">
        <v>60</v>
      </c>
      <c r="D49" s="95">
        <f t="shared" si="13"/>
        <v>11</v>
      </c>
      <c r="E49" s="96" t="s">
        <v>127</v>
      </c>
      <c r="F49" s="111"/>
      <c r="G49" s="33"/>
      <c r="H49" s="33"/>
      <c r="I49" s="140"/>
      <c r="J49" s="33"/>
      <c r="K49" s="140"/>
      <c r="L49" s="33"/>
      <c r="M49" s="140"/>
      <c r="N49" s="140"/>
      <c r="O49" s="140"/>
      <c r="P49" s="140"/>
      <c r="Q49" s="33"/>
      <c r="R49" s="140"/>
      <c r="S49" s="33"/>
      <c r="T49" s="140"/>
      <c r="U49" s="140"/>
      <c r="V49" s="140"/>
      <c r="W49" s="140"/>
      <c r="X49" s="140"/>
      <c r="Y49" s="140"/>
      <c r="Z49" s="33"/>
      <c r="AA49" s="33"/>
      <c r="AB49" s="33"/>
      <c r="AC49" s="33"/>
      <c r="AD49" s="33"/>
      <c r="AE49" s="33"/>
      <c r="AF49" s="33"/>
      <c r="AG49" s="33"/>
      <c r="AH49" s="33"/>
      <c r="AI49" s="35"/>
      <c r="AJ49" s="35"/>
      <c r="AK49" s="39" t="s">
        <v>163</v>
      </c>
      <c r="AL49" s="35"/>
      <c r="AM49" s="94" t="str">
        <f t="shared" si="11"/>
        <v/>
      </c>
      <c r="AN49" s="640"/>
      <c r="AO49" s="1">
        <f t="shared" si="12"/>
        <v>0</v>
      </c>
      <c r="AP49" s="1"/>
      <c r="AQ49" s="1"/>
      <c r="AT49" s="2"/>
      <c r="AV49" s="2"/>
    </row>
    <row r="50" spans="1:48" ht="25.35" customHeight="1">
      <c r="A50" s="639"/>
      <c r="B50" s="639"/>
      <c r="C50" s="48" t="s">
        <v>60</v>
      </c>
      <c r="D50" s="95">
        <f t="shared" si="13"/>
        <v>12</v>
      </c>
      <c r="E50" s="96" t="s">
        <v>33</v>
      </c>
      <c r="F50" s="111"/>
      <c r="G50" s="33"/>
      <c r="H50" s="33"/>
      <c r="I50" s="140"/>
      <c r="J50" s="33"/>
      <c r="K50" s="140"/>
      <c r="L50" s="33"/>
      <c r="M50" s="140"/>
      <c r="N50" s="140"/>
      <c r="O50" s="140"/>
      <c r="P50" s="140"/>
      <c r="Q50" s="33"/>
      <c r="R50" s="140"/>
      <c r="S50" s="33"/>
      <c r="T50" s="140"/>
      <c r="U50" s="140"/>
      <c r="V50" s="140"/>
      <c r="W50" s="140"/>
      <c r="X50" s="140"/>
      <c r="Y50" s="140"/>
      <c r="Z50" s="33"/>
      <c r="AA50" s="33"/>
      <c r="AB50" s="33"/>
      <c r="AC50" s="33"/>
      <c r="AD50" s="33"/>
      <c r="AE50" s="33"/>
      <c r="AF50" s="33"/>
      <c r="AG50" s="33"/>
      <c r="AH50" s="33"/>
      <c r="AI50" s="35"/>
      <c r="AJ50" s="35"/>
      <c r="AK50" s="39" t="s">
        <v>163</v>
      </c>
      <c r="AL50" s="35"/>
      <c r="AM50" s="94" t="str">
        <f t="shared" si="11"/>
        <v/>
      </c>
      <c r="AN50" s="640"/>
      <c r="AO50" s="1">
        <f t="shared" si="12"/>
        <v>0</v>
      </c>
      <c r="AP50" s="1"/>
      <c r="AQ50" s="1"/>
      <c r="AT50" s="2"/>
      <c r="AV50" s="2"/>
    </row>
    <row r="51" spans="1:48" ht="25.35" customHeight="1">
      <c r="A51" s="639"/>
      <c r="B51" s="639"/>
      <c r="C51" s="48" t="s">
        <v>60</v>
      </c>
      <c r="D51" s="95">
        <f t="shared" si="13"/>
        <v>13</v>
      </c>
      <c r="E51" s="96" t="s">
        <v>177</v>
      </c>
      <c r="F51" s="111"/>
      <c r="G51" s="33"/>
      <c r="H51" s="33"/>
      <c r="I51" s="140"/>
      <c r="J51" s="33"/>
      <c r="K51" s="140"/>
      <c r="L51" s="33"/>
      <c r="M51" s="140"/>
      <c r="N51" s="140"/>
      <c r="O51" s="140"/>
      <c r="P51" s="140"/>
      <c r="Q51" s="33"/>
      <c r="R51" s="140"/>
      <c r="S51" s="33"/>
      <c r="T51" s="140"/>
      <c r="U51" s="140"/>
      <c r="V51" s="140"/>
      <c r="W51" s="140"/>
      <c r="X51" s="140"/>
      <c r="Y51" s="140"/>
      <c r="Z51" s="33"/>
      <c r="AA51" s="33"/>
      <c r="AB51" s="33"/>
      <c r="AC51" s="33"/>
      <c r="AD51" s="33"/>
      <c r="AE51" s="33"/>
      <c r="AF51" s="33"/>
      <c r="AG51" s="33"/>
      <c r="AH51" s="33"/>
      <c r="AI51" s="35"/>
      <c r="AJ51" s="35"/>
      <c r="AK51" s="39" t="s">
        <v>163</v>
      </c>
      <c r="AL51" s="35"/>
      <c r="AM51" s="94" t="str">
        <f t="shared" si="11"/>
        <v/>
      </c>
      <c r="AN51" s="640"/>
      <c r="AO51" s="1">
        <f t="shared" si="12"/>
        <v>0</v>
      </c>
      <c r="AP51" s="1"/>
      <c r="AQ51" s="1"/>
      <c r="AT51" s="2"/>
      <c r="AV51" s="2"/>
    </row>
    <row r="52" spans="1:48" ht="25.35" customHeight="1">
      <c r="A52" s="639"/>
      <c r="B52" s="639"/>
      <c r="C52" s="48" t="s">
        <v>60</v>
      </c>
      <c r="D52" s="95">
        <f t="shared" si="13"/>
        <v>14</v>
      </c>
      <c r="E52" s="96" t="s">
        <v>181</v>
      </c>
      <c r="F52" s="111"/>
      <c r="G52" s="33"/>
      <c r="H52" s="33"/>
      <c r="I52" s="33"/>
      <c r="J52" s="33"/>
      <c r="K52" s="140"/>
      <c r="L52" s="52"/>
      <c r="M52" s="140"/>
      <c r="N52" s="140"/>
      <c r="O52" s="140"/>
      <c r="P52" s="33"/>
      <c r="Q52" s="33"/>
      <c r="R52" s="140"/>
      <c r="S52" s="140"/>
      <c r="T52" s="140"/>
      <c r="U52" s="33"/>
      <c r="V52" s="140"/>
      <c r="W52" s="140"/>
      <c r="X52" s="140"/>
      <c r="Y52" s="140"/>
      <c r="Z52" s="52"/>
      <c r="AA52" s="33"/>
      <c r="AB52" s="33"/>
      <c r="AC52" s="33"/>
      <c r="AD52" s="33"/>
      <c r="AE52" s="33"/>
      <c r="AF52" s="33"/>
      <c r="AG52" s="33"/>
      <c r="AH52" s="33"/>
      <c r="AI52" s="35"/>
      <c r="AJ52" s="35"/>
      <c r="AK52" s="112" t="s">
        <v>163</v>
      </c>
      <c r="AL52" s="35"/>
      <c r="AM52" s="94" t="str">
        <f t="shared" si="11"/>
        <v/>
      </c>
      <c r="AN52" s="640"/>
      <c r="AO52" s="1">
        <f t="shared" si="12"/>
        <v>0</v>
      </c>
      <c r="AP52" s="1"/>
      <c r="AQ52" s="1"/>
      <c r="AT52" s="2"/>
      <c r="AV52" s="2"/>
    </row>
    <row r="53" spans="1:48" ht="25.35" customHeight="1">
      <c r="A53" s="639"/>
      <c r="B53" s="639"/>
      <c r="C53" s="48" t="s">
        <v>60</v>
      </c>
      <c r="D53" s="95">
        <f t="shared" si="13"/>
        <v>15</v>
      </c>
      <c r="E53" s="100" t="s">
        <v>158</v>
      </c>
      <c r="F53" s="101"/>
      <c r="G53" s="33"/>
      <c r="H53" s="33"/>
      <c r="I53" s="35"/>
      <c r="J53" s="33"/>
      <c r="K53" s="35"/>
      <c r="L53" s="33"/>
      <c r="M53" s="33"/>
      <c r="N53" s="33"/>
      <c r="O53" s="33"/>
      <c r="P53" s="35"/>
      <c r="Q53" s="33"/>
      <c r="R53" s="140"/>
      <c r="S53" s="33"/>
      <c r="T53" s="140"/>
      <c r="U53" s="140"/>
      <c r="V53" s="140"/>
      <c r="W53" s="140"/>
      <c r="X53" s="140"/>
      <c r="Y53" s="140"/>
      <c r="Z53" s="33"/>
      <c r="AA53" s="33"/>
      <c r="AB53" s="33"/>
      <c r="AC53" s="33"/>
      <c r="AD53" s="33"/>
      <c r="AE53" s="33"/>
      <c r="AF53" s="33"/>
      <c r="AG53" s="33"/>
      <c r="AH53" s="141"/>
      <c r="AI53" s="35"/>
      <c r="AJ53" s="35"/>
      <c r="AK53" s="39" t="s">
        <v>163</v>
      </c>
      <c r="AL53" s="35"/>
      <c r="AM53" s="94" t="str">
        <f t="shared" si="11"/>
        <v/>
      </c>
      <c r="AN53" s="640"/>
      <c r="AO53" s="1">
        <f t="shared" si="12"/>
        <v>0</v>
      </c>
      <c r="AP53" s="1"/>
      <c r="AQ53" s="1"/>
      <c r="AT53" s="2"/>
      <c r="AV53" s="2"/>
    </row>
    <row r="54" spans="1:48" ht="25.35" customHeight="1">
      <c r="A54" s="639"/>
      <c r="B54" s="639"/>
      <c r="C54" s="48" t="s">
        <v>60</v>
      </c>
      <c r="D54" s="95">
        <f t="shared" si="13"/>
        <v>16</v>
      </c>
      <c r="E54" s="100" t="s">
        <v>62</v>
      </c>
      <c r="F54" s="102"/>
      <c r="G54" s="33"/>
      <c r="H54" s="33"/>
      <c r="I54" s="33"/>
      <c r="J54" s="33"/>
      <c r="K54" s="140"/>
      <c r="L54" s="33"/>
      <c r="M54" s="140"/>
      <c r="N54" s="140"/>
      <c r="O54" s="140"/>
      <c r="P54" s="33"/>
      <c r="Q54" s="33"/>
      <c r="R54" s="140"/>
      <c r="S54" s="140"/>
      <c r="T54" s="140"/>
      <c r="U54" s="33"/>
      <c r="V54" s="140"/>
      <c r="W54" s="140"/>
      <c r="X54" s="140"/>
      <c r="Y54" s="140"/>
      <c r="Z54" s="33"/>
      <c r="AA54" s="33"/>
      <c r="AB54" s="33"/>
      <c r="AC54" s="33"/>
      <c r="AD54" s="33"/>
      <c r="AE54" s="33"/>
      <c r="AF54" s="33"/>
      <c r="AG54" s="33"/>
      <c r="AH54" s="33"/>
      <c r="AI54" s="35"/>
      <c r="AJ54" s="35"/>
      <c r="AK54" s="39" t="s">
        <v>163</v>
      </c>
      <c r="AL54" s="35"/>
      <c r="AM54" s="94" t="str">
        <f t="shared" si="11"/>
        <v/>
      </c>
      <c r="AN54" s="640"/>
      <c r="AO54" s="1">
        <f t="shared" si="12"/>
        <v>0</v>
      </c>
      <c r="AP54" s="1"/>
      <c r="AQ54" s="1"/>
      <c r="AT54" s="2"/>
      <c r="AV54" s="2"/>
    </row>
    <row r="55" spans="1:48" ht="25.35" customHeight="1">
      <c r="A55" s="639"/>
      <c r="B55" s="639"/>
      <c r="C55" s="48" t="s">
        <v>60</v>
      </c>
      <c r="D55" s="95">
        <f t="shared" si="13"/>
        <v>17</v>
      </c>
      <c r="E55" s="96" t="s">
        <v>121</v>
      </c>
      <c r="F55" s="101"/>
      <c r="G55" s="140"/>
      <c r="H55" s="140"/>
      <c r="I55" s="140"/>
      <c r="J55" s="33"/>
      <c r="K55" s="140"/>
      <c r="L55" s="140"/>
      <c r="M55" s="140"/>
      <c r="N55" s="140"/>
      <c r="O55" s="140"/>
      <c r="P55" s="140"/>
      <c r="Q55" s="33"/>
      <c r="R55" s="140"/>
      <c r="S55" s="140"/>
      <c r="T55" s="140"/>
      <c r="U55" s="140"/>
      <c r="V55" s="140"/>
      <c r="W55" s="140"/>
      <c r="X55" s="140"/>
      <c r="Y55" s="140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9" t="s">
        <v>163</v>
      </c>
      <c r="AL55" s="33"/>
      <c r="AM55" s="94" t="str">
        <f t="shared" si="11"/>
        <v/>
      </c>
      <c r="AN55" s="640"/>
      <c r="AO55" s="1">
        <f t="shared" si="12"/>
        <v>0</v>
      </c>
      <c r="AP55" s="1"/>
      <c r="AQ55" s="1"/>
      <c r="AT55" s="2"/>
      <c r="AV55" s="2"/>
    </row>
    <row r="56" spans="1:48" ht="25.35" customHeight="1">
      <c r="A56" s="639"/>
      <c r="B56" s="639"/>
      <c r="C56" s="48" t="s">
        <v>60</v>
      </c>
      <c r="D56" s="95">
        <f t="shared" si="13"/>
        <v>18</v>
      </c>
      <c r="E56" s="100" t="s">
        <v>3</v>
      </c>
      <c r="F56" s="97"/>
      <c r="G56" s="33"/>
      <c r="H56" s="33"/>
      <c r="I56" s="33"/>
      <c r="J56" s="33"/>
      <c r="K56" s="140"/>
      <c r="L56" s="33"/>
      <c r="M56" s="140"/>
      <c r="N56" s="140"/>
      <c r="O56" s="140"/>
      <c r="P56" s="140"/>
      <c r="Q56" s="33"/>
      <c r="R56" s="140"/>
      <c r="S56" s="33"/>
      <c r="T56" s="140"/>
      <c r="U56" s="140"/>
      <c r="V56" s="140"/>
      <c r="W56" s="140"/>
      <c r="X56" s="140"/>
      <c r="Y56" s="140"/>
      <c r="Z56" s="33"/>
      <c r="AA56" s="52"/>
      <c r="AB56" s="52"/>
      <c r="AC56" s="52"/>
      <c r="AD56" s="52"/>
      <c r="AE56" s="52"/>
      <c r="AF56" s="52"/>
      <c r="AG56" s="141"/>
      <c r="AH56" s="52"/>
      <c r="AI56" s="33"/>
      <c r="AJ56" s="53"/>
      <c r="AK56" s="39" t="s">
        <v>163</v>
      </c>
      <c r="AL56" s="53"/>
      <c r="AM56" s="94" t="str">
        <f t="shared" si="11"/>
        <v/>
      </c>
      <c r="AN56" s="640"/>
      <c r="AO56" s="1">
        <f t="shared" si="12"/>
        <v>0</v>
      </c>
      <c r="AP56" s="1"/>
      <c r="AQ56" s="1"/>
      <c r="AT56" s="2"/>
      <c r="AV56" s="2"/>
    </row>
    <row r="57" spans="1:48" ht="25.35" customHeight="1">
      <c r="A57" s="639"/>
      <c r="B57" s="639"/>
      <c r="C57" s="48" t="s">
        <v>60</v>
      </c>
      <c r="D57" s="95">
        <f t="shared" si="13"/>
        <v>19</v>
      </c>
      <c r="E57" s="96" t="s">
        <v>36</v>
      </c>
      <c r="F57" s="103"/>
      <c r="G57" s="33"/>
      <c r="H57" s="33"/>
      <c r="I57" s="33"/>
      <c r="J57" s="33"/>
      <c r="K57" s="140"/>
      <c r="L57" s="33"/>
      <c r="M57" s="140"/>
      <c r="N57" s="140"/>
      <c r="O57" s="140"/>
      <c r="P57" s="140"/>
      <c r="Q57" s="33"/>
      <c r="R57" s="140"/>
      <c r="S57" s="140"/>
      <c r="T57" s="140"/>
      <c r="U57" s="140"/>
      <c r="V57" s="140"/>
      <c r="W57" s="140"/>
      <c r="X57" s="140"/>
      <c r="Y57" s="140"/>
      <c r="Z57" s="52"/>
      <c r="AA57" s="140"/>
      <c r="AB57" s="140"/>
      <c r="AC57" s="140"/>
      <c r="AD57" s="140"/>
      <c r="AE57" s="140"/>
      <c r="AF57" s="33"/>
      <c r="AG57" s="33"/>
      <c r="AH57" s="33"/>
      <c r="AI57" s="35"/>
      <c r="AJ57" s="33"/>
      <c r="AK57" s="39" t="s">
        <v>163</v>
      </c>
      <c r="AL57" s="33"/>
      <c r="AM57" s="94" t="str">
        <f t="shared" si="11"/>
        <v/>
      </c>
      <c r="AN57" s="640"/>
      <c r="AO57" s="1">
        <f t="shared" si="12"/>
        <v>0</v>
      </c>
      <c r="AP57" s="1"/>
      <c r="AQ57" s="1"/>
      <c r="AT57" s="2"/>
      <c r="AV57" s="2"/>
    </row>
    <row r="58" spans="1:48" ht="25.35" customHeight="1">
      <c r="A58" s="639"/>
      <c r="B58" s="639"/>
      <c r="C58" s="48" t="s">
        <v>60</v>
      </c>
      <c r="D58" s="95">
        <f t="shared" si="13"/>
        <v>20</v>
      </c>
      <c r="E58" s="146" t="s">
        <v>203</v>
      </c>
      <c r="F58" s="103"/>
      <c r="G58" s="33"/>
      <c r="H58" s="33"/>
      <c r="I58" s="33"/>
      <c r="J58" s="33"/>
      <c r="K58" s="140"/>
      <c r="L58" s="33"/>
      <c r="M58" s="140"/>
      <c r="N58" s="140"/>
      <c r="O58" s="140"/>
      <c r="P58" s="140"/>
      <c r="Q58" s="33"/>
      <c r="R58" s="140"/>
      <c r="S58" s="140"/>
      <c r="T58" s="140"/>
      <c r="U58" s="140"/>
      <c r="V58" s="140"/>
      <c r="W58" s="140"/>
      <c r="X58" s="140"/>
      <c r="Y58" s="140"/>
      <c r="Z58" s="33"/>
      <c r="AA58" s="33"/>
      <c r="AB58" s="33"/>
      <c r="AC58" s="33"/>
      <c r="AD58" s="33"/>
      <c r="AE58" s="33"/>
      <c r="AF58" s="33"/>
      <c r="AG58" s="33"/>
      <c r="AH58" s="33"/>
      <c r="AI58" s="35"/>
      <c r="AJ58" s="35"/>
      <c r="AK58" s="39" t="s">
        <v>163</v>
      </c>
      <c r="AL58" s="35"/>
      <c r="AM58" s="94" t="str">
        <f t="shared" si="11"/>
        <v/>
      </c>
      <c r="AN58" s="640"/>
      <c r="AO58" s="1">
        <f t="shared" si="12"/>
        <v>0</v>
      </c>
      <c r="AP58" s="1"/>
      <c r="AQ58" s="1"/>
      <c r="AT58" s="2"/>
      <c r="AV58" s="2"/>
    </row>
    <row r="59" spans="1:48" ht="25.35" customHeight="1">
      <c r="A59" s="639"/>
      <c r="B59" s="639"/>
      <c r="C59" s="48" t="s">
        <v>60</v>
      </c>
      <c r="D59" s="147">
        <f t="shared" si="13"/>
        <v>21</v>
      </c>
      <c r="E59" s="148" t="s">
        <v>152</v>
      </c>
      <c r="F59" s="78"/>
      <c r="G59" s="33"/>
      <c r="H59" s="33"/>
      <c r="I59" s="33"/>
      <c r="J59" s="33"/>
      <c r="K59" s="140"/>
      <c r="L59" s="33"/>
      <c r="M59" s="140"/>
      <c r="N59" s="140"/>
      <c r="O59" s="140"/>
      <c r="P59" s="140"/>
      <c r="Q59" s="33"/>
      <c r="R59" s="140"/>
      <c r="S59" s="33"/>
      <c r="T59" s="140"/>
      <c r="U59" s="140"/>
      <c r="V59" s="140"/>
      <c r="W59" s="140"/>
      <c r="X59" s="140"/>
      <c r="Y59" s="140"/>
      <c r="Z59" s="33"/>
      <c r="AA59" s="33"/>
      <c r="AB59" s="33"/>
      <c r="AC59" s="33"/>
      <c r="AD59" s="33"/>
      <c r="AE59" s="33"/>
      <c r="AF59" s="33"/>
      <c r="AG59" s="33"/>
      <c r="AH59" s="33"/>
      <c r="AI59" s="35"/>
      <c r="AJ59" s="35"/>
      <c r="AK59" s="39" t="s">
        <v>163</v>
      </c>
      <c r="AL59" s="35"/>
      <c r="AM59" s="94" t="str">
        <f t="shared" si="11"/>
        <v/>
      </c>
      <c r="AN59" s="640"/>
      <c r="AO59" s="1">
        <f t="shared" si="12"/>
        <v>0</v>
      </c>
      <c r="AP59" s="1"/>
      <c r="AQ59" s="1"/>
      <c r="AT59" s="2"/>
      <c r="AV59" s="2"/>
    </row>
    <row r="60" spans="1:48" ht="25.35" customHeight="1" thickBot="1">
      <c r="A60" s="639"/>
      <c r="B60" s="639"/>
      <c r="C60" s="48" t="s">
        <v>60</v>
      </c>
      <c r="D60" s="95">
        <f t="shared" si="13"/>
        <v>22</v>
      </c>
      <c r="E60" s="113" t="s">
        <v>151</v>
      </c>
      <c r="F60" s="149"/>
      <c r="G60" s="33"/>
      <c r="H60" s="33"/>
      <c r="I60" s="33"/>
      <c r="J60" s="33"/>
      <c r="K60" s="140"/>
      <c r="L60" s="33"/>
      <c r="M60" s="140"/>
      <c r="N60" s="140"/>
      <c r="O60" s="140"/>
      <c r="P60" s="140"/>
      <c r="Q60" s="33"/>
      <c r="R60" s="140"/>
      <c r="S60" s="33"/>
      <c r="T60" s="140"/>
      <c r="U60" s="140"/>
      <c r="V60" s="140"/>
      <c r="W60" s="140"/>
      <c r="X60" s="140"/>
      <c r="Y60" s="140"/>
      <c r="Z60" s="33"/>
      <c r="AA60" s="33"/>
      <c r="AB60" s="33"/>
      <c r="AC60" s="33"/>
      <c r="AD60" s="33"/>
      <c r="AE60" s="33"/>
      <c r="AF60" s="33"/>
      <c r="AG60" s="33"/>
      <c r="AH60" s="33"/>
      <c r="AI60" s="35"/>
      <c r="AJ60" s="35"/>
      <c r="AK60" s="39" t="s">
        <v>163</v>
      </c>
      <c r="AL60" s="35"/>
      <c r="AM60" s="94" t="str">
        <f t="shared" si="11"/>
        <v/>
      </c>
      <c r="AN60" s="640"/>
      <c r="AO60" s="1">
        <f t="shared" si="12"/>
        <v>0</v>
      </c>
      <c r="AP60" s="1"/>
      <c r="AQ60" s="1"/>
      <c r="AT60" s="2"/>
      <c r="AV60" s="2"/>
    </row>
    <row r="61" spans="1:48" ht="25.35" customHeight="1">
      <c r="B61" s="2"/>
      <c r="C61" s="50" t="s">
        <v>167</v>
      </c>
      <c r="D61" s="20"/>
      <c r="E61" s="20"/>
      <c r="F61" s="20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8" t="s">
        <v>163</v>
      </c>
      <c r="AN61" s="29"/>
      <c r="AO61" s="1"/>
      <c r="AP61" s="1"/>
      <c r="AQ61" s="1"/>
      <c r="AT61" s="2"/>
      <c r="AV61" s="2"/>
    </row>
    <row r="62" spans="1:48" ht="25.35" hidden="1" customHeight="1">
      <c r="B62" s="2"/>
      <c r="C62" s="48"/>
      <c r="D62" s="76">
        <v>1</v>
      </c>
      <c r="E62" s="77" t="s">
        <v>0</v>
      </c>
      <c r="F62" s="78" t="s">
        <v>142</v>
      </c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82"/>
      <c r="AN62" s="86"/>
      <c r="AO62" s="1"/>
      <c r="AP62" s="1"/>
      <c r="AQ62" s="1"/>
      <c r="AT62" s="2"/>
      <c r="AV62" s="2"/>
    </row>
    <row r="63" spans="1:48" ht="25.35" hidden="1" customHeight="1">
      <c r="B63" s="108"/>
      <c r="C63" s="48"/>
      <c r="D63" s="76">
        <v>2</v>
      </c>
      <c r="E63" s="77" t="s">
        <v>18</v>
      </c>
      <c r="F63" s="85" t="s">
        <v>142</v>
      </c>
      <c r="G63" s="16">
        <f t="shared" ref="G63:AL63" si="14">COUNT(G67:G87)</f>
        <v>0</v>
      </c>
      <c r="H63" s="16">
        <f t="shared" si="14"/>
        <v>0</v>
      </c>
      <c r="I63" s="16">
        <f t="shared" si="14"/>
        <v>0</v>
      </c>
      <c r="J63" s="16">
        <f t="shared" si="14"/>
        <v>0</v>
      </c>
      <c r="K63" s="16">
        <f t="shared" si="14"/>
        <v>0</v>
      </c>
      <c r="L63" s="16">
        <f t="shared" si="14"/>
        <v>0</v>
      </c>
      <c r="M63" s="16">
        <f t="shared" si="14"/>
        <v>0</v>
      </c>
      <c r="N63" s="16">
        <f t="shared" si="14"/>
        <v>0</v>
      </c>
      <c r="O63" s="16">
        <f t="shared" si="14"/>
        <v>0</v>
      </c>
      <c r="P63" s="16">
        <f t="shared" si="14"/>
        <v>0</v>
      </c>
      <c r="Q63" s="16">
        <f t="shared" si="14"/>
        <v>0</v>
      </c>
      <c r="R63" s="16">
        <f t="shared" si="14"/>
        <v>0</v>
      </c>
      <c r="S63" s="16">
        <f t="shared" si="14"/>
        <v>0</v>
      </c>
      <c r="T63" s="16">
        <f t="shared" si="14"/>
        <v>0</v>
      </c>
      <c r="U63" s="16">
        <f t="shared" si="14"/>
        <v>0</v>
      </c>
      <c r="V63" s="16">
        <f t="shared" si="14"/>
        <v>0</v>
      </c>
      <c r="W63" s="16">
        <f t="shared" si="14"/>
        <v>0</v>
      </c>
      <c r="X63" s="16">
        <f t="shared" si="14"/>
        <v>0</v>
      </c>
      <c r="Y63" s="16">
        <f t="shared" si="14"/>
        <v>0</v>
      </c>
      <c r="Z63" s="16">
        <f t="shared" si="14"/>
        <v>0</v>
      </c>
      <c r="AA63" s="16">
        <f t="shared" si="14"/>
        <v>0</v>
      </c>
      <c r="AB63" s="16">
        <f t="shared" si="14"/>
        <v>0</v>
      </c>
      <c r="AC63" s="16">
        <f t="shared" si="14"/>
        <v>0</v>
      </c>
      <c r="AD63" s="16">
        <f t="shared" si="14"/>
        <v>0</v>
      </c>
      <c r="AE63" s="16">
        <f t="shared" si="14"/>
        <v>0</v>
      </c>
      <c r="AF63" s="16">
        <f t="shared" si="14"/>
        <v>0</v>
      </c>
      <c r="AG63" s="16">
        <f t="shared" si="14"/>
        <v>0</v>
      </c>
      <c r="AH63" s="16">
        <f t="shared" si="14"/>
        <v>0</v>
      </c>
      <c r="AI63" s="16">
        <f t="shared" si="14"/>
        <v>0</v>
      </c>
      <c r="AJ63" s="16">
        <f t="shared" si="14"/>
        <v>0</v>
      </c>
      <c r="AK63" s="16">
        <f t="shared" si="14"/>
        <v>0</v>
      </c>
      <c r="AL63" s="16">
        <f t="shared" si="14"/>
        <v>0</v>
      </c>
      <c r="AM63" s="82"/>
      <c r="AN63" s="86"/>
      <c r="AO63" s="1"/>
      <c r="AP63" s="1"/>
      <c r="AQ63" s="1"/>
      <c r="AT63" s="2"/>
      <c r="AV63" s="2"/>
    </row>
    <row r="64" spans="1:48" ht="25.35" hidden="1" customHeight="1">
      <c r="B64" s="108"/>
      <c r="C64" s="48"/>
      <c r="D64" s="76">
        <v>3</v>
      </c>
      <c r="E64" s="77" t="s">
        <v>1</v>
      </c>
      <c r="F64" s="85" t="s">
        <v>143</v>
      </c>
      <c r="G64" s="88">
        <f>IFERROR(IF(G65=1,F$1+1,G$3),"")</f>
        <v>44593</v>
      </c>
      <c r="H64" s="88">
        <f>IFERROR(IF(H65=1,G$3+1,H$3),"")</f>
        <v>44594</v>
      </c>
      <c r="I64" s="88">
        <f t="shared" ref="I64:AL64" si="15">IFERROR(IF(I65=1,H$3+1,I$3),"")</f>
        <v>44595</v>
      </c>
      <c r="J64" s="88">
        <f t="shared" si="15"/>
        <v>44596</v>
      </c>
      <c r="K64" s="88">
        <f t="shared" si="15"/>
        <v>44597</v>
      </c>
      <c r="L64" s="88">
        <f t="shared" si="15"/>
        <v>44598</v>
      </c>
      <c r="M64" s="88">
        <f t="shared" si="15"/>
        <v>44599</v>
      </c>
      <c r="N64" s="88">
        <f t="shared" si="15"/>
        <v>44600</v>
      </c>
      <c r="O64" s="88">
        <f t="shared" si="15"/>
        <v>44601</v>
      </c>
      <c r="P64" s="88">
        <f t="shared" si="15"/>
        <v>44602</v>
      </c>
      <c r="Q64" s="88">
        <f t="shared" si="15"/>
        <v>44603</v>
      </c>
      <c r="R64" s="88">
        <f t="shared" si="15"/>
        <v>44604</v>
      </c>
      <c r="S64" s="88">
        <f t="shared" si="15"/>
        <v>44605</v>
      </c>
      <c r="T64" s="88">
        <f t="shared" si="15"/>
        <v>44606</v>
      </c>
      <c r="U64" s="88">
        <f t="shared" si="15"/>
        <v>44607</v>
      </c>
      <c r="V64" s="88">
        <f t="shared" si="15"/>
        <v>44608</v>
      </c>
      <c r="W64" s="88">
        <f t="shared" si="15"/>
        <v>44609</v>
      </c>
      <c r="X64" s="88">
        <f t="shared" si="15"/>
        <v>44610</v>
      </c>
      <c r="Y64" s="88">
        <f t="shared" si="15"/>
        <v>44611</v>
      </c>
      <c r="Z64" s="88">
        <f t="shared" si="15"/>
        <v>44612</v>
      </c>
      <c r="AA64" s="88">
        <f t="shared" si="15"/>
        <v>44613</v>
      </c>
      <c r="AB64" s="88">
        <f t="shared" si="15"/>
        <v>44614</v>
      </c>
      <c r="AC64" s="88">
        <f t="shared" si="15"/>
        <v>44615</v>
      </c>
      <c r="AD64" s="88">
        <f t="shared" si="15"/>
        <v>44616</v>
      </c>
      <c r="AE64" s="88">
        <f t="shared" si="15"/>
        <v>44617</v>
      </c>
      <c r="AF64" s="88">
        <f t="shared" si="15"/>
        <v>44618</v>
      </c>
      <c r="AG64" s="88">
        <f t="shared" si="15"/>
        <v>44619</v>
      </c>
      <c r="AH64" s="88">
        <f t="shared" si="15"/>
        <v>44620</v>
      </c>
      <c r="AI64" s="88">
        <f t="shared" si="15"/>
        <v>29</v>
      </c>
      <c r="AJ64" s="88">
        <f t="shared" si="15"/>
        <v>30</v>
      </c>
      <c r="AK64" s="88">
        <f t="shared" si="15"/>
        <v>31</v>
      </c>
      <c r="AL64" s="88">
        <f t="shared" si="15"/>
        <v>31</v>
      </c>
      <c r="AM64" s="82"/>
      <c r="AN64" s="86"/>
      <c r="AO64" s="1"/>
      <c r="AP64" s="1"/>
      <c r="AQ64" s="1"/>
      <c r="AT64" s="2"/>
      <c r="AV64" s="2"/>
    </row>
    <row r="65" spans="1:48" ht="25.35" hidden="1" customHeight="1">
      <c r="B65" s="110"/>
      <c r="C65" s="48"/>
      <c r="D65" s="76">
        <v>4</v>
      </c>
      <c r="E65" s="77" t="s">
        <v>10</v>
      </c>
      <c r="F65" s="78" t="s">
        <v>143</v>
      </c>
      <c r="G65" s="16" t="str">
        <f>IF(G63&gt;10,"OK","")</f>
        <v/>
      </c>
      <c r="H65" s="16" t="str">
        <f t="shared" ref="H65:AL65" si="16">IF(H63&gt;10,"OK","")</f>
        <v/>
      </c>
      <c r="I65" s="16" t="str">
        <f t="shared" si="16"/>
        <v/>
      </c>
      <c r="J65" s="16" t="str">
        <f t="shared" si="16"/>
        <v/>
      </c>
      <c r="K65" s="16" t="str">
        <f t="shared" si="16"/>
        <v/>
      </c>
      <c r="L65" s="16" t="str">
        <f t="shared" si="16"/>
        <v/>
      </c>
      <c r="M65" s="16" t="str">
        <f t="shared" si="16"/>
        <v/>
      </c>
      <c r="N65" s="16" t="str">
        <f t="shared" si="16"/>
        <v/>
      </c>
      <c r="O65" s="16" t="str">
        <f t="shared" si="16"/>
        <v/>
      </c>
      <c r="P65" s="16" t="str">
        <f t="shared" si="16"/>
        <v/>
      </c>
      <c r="Q65" s="16" t="str">
        <f t="shared" si="16"/>
        <v/>
      </c>
      <c r="R65" s="16" t="str">
        <f t="shared" si="16"/>
        <v/>
      </c>
      <c r="S65" s="16" t="str">
        <f t="shared" si="16"/>
        <v/>
      </c>
      <c r="T65" s="16" t="str">
        <f t="shared" si="16"/>
        <v/>
      </c>
      <c r="U65" s="16" t="str">
        <f t="shared" si="16"/>
        <v/>
      </c>
      <c r="V65" s="16" t="str">
        <f t="shared" si="16"/>
        <v/>
      </c>
      <c r="W65" s="16" t="str">
        <f t="shared" si="16"/>
        <v/>
      </c>
      <c r="X65" s="16" t="str">
        <f t="shared" si="16"/>
        <v/>
      </c>
      <c r="Y65" s="16" t="str">
        <f t="shared" si="16"/>
        <v/>
      </c>
      <c r="Z65" s="16" t="str">
        <f t="shared" si="16"/>
        <v/>
      </c>
      <c r="AA65" s="16" t="str">
        <f t="shared" si="16"/>
        <v/>
      </c>
      <c r="AB65" s="16" t="str">
        <f t="shared" si="16"/>
        <v/>
      </c>
      <c r="AC65" s="16" t="str">
        <f t="shared" si="16"/>
        <v/>
      </c>
      <c r="AD65" s="16" t="str">
        <f t="shared" si="16"/>
        <v/>
      </c>
      <c r="AE65" s="16" t="str">
        <f t="shared" si="16"/>
        <v/>
      </c>
      <c r="AF65" s="16" t="str">
        <f t="shared" si="16"/>
        <v/>
      </c>
      <c r="AG65" s="16" t="str">
        <f t="shared" si="16"/>
        <v/>
      </c>
      <c r="AH65" s="16" t="str">
        <f t="shared" si="16"/>
        <v/>
      </c>
      <c r="AI65" s="16" t="str">
        <f t="shared" si="16"/>
        <v/>
      </c>
      <c r="AJ65" s="16" t="str">
        <f t="shared" si="16"/>
        <v/>
      </c>
      <c r="AK65" s="16" t="str">
        <f t="shared" si="16"/>
        <v/>
      </c>
      <c r="AL65" s="16" t="str">
        <f t="shared" si="16"/>
        <v/>
      </c>
      <c r="AM65" s="114"/>
      <c r="AN65" s="86"/>
      <c r="AO65" s="1"/>
      <c r="AP65" s="1"/>
      <c r="AQ65" s="1"/>
      <c r="AT65" s="2"/>
      <c r="AV65" s="2"/>
    </row>
    <row r="66" spans="1:48" ht="25.35" customHeight="1" thickBot="1">
      <c r="B66" s="110"/>
      <c r="C66" s="47" t="s">
        <v>168</v>
      </c>
      <c r="D66" s="638" t="s">
        <v>141</v>
      </c>
      <c r="E66" s="638"/>
      <c r="F66" s="115"/>
      <c r="G66" s="89" t="str">
        <f>IF(G65&lt;&gt;"",IF(G66&lt;&gt;"",G66,$B$5),"")</f>
        <v/>
      </c>
      <c r="H66" s="89" t="str">
        <f t="shared" ref="H66:AL66" si="17">IF(H65&lt;&gt;"",IF(H66&lt;&gt;"",H66,$B$5),"")</f>
        <v/>
      </c>
      <c r="I66" s="89" t="str">
        <f t="shared" si="17"/>
        <v/>
      </c>
      <c r="J66" s="89" t="str">
        <f t="shared" si="17"/>
        <v/>
      </c>
      <c r="K66" s="89" t="str">
        <f t="shared" si="17"/>
        <v/>
      </c>
      <c r="L66" s="89" t="str">
        <f t="shared" si="17"/>
        <v/>
      </c>
      <c r="M66" s="89" t="str">
        <f t="shared" si="17"/>
        <v/>
      </c>
      <c r="N66" s="89" t="str">
        <f t="shared" si="17"/>
        <v/>
      </c>
      <c r="O66" s="89" t="str">
        <f t="shared" si="17"/>
        <v/>
      </c>
      <c r="P66" s="89" t="str">
        <f t="shared" si="17"/>
        <v/>
      </c>
      <c r="Q66" s="89" t="str">
        <f t="shared" si="17"/>
        <v/>
      </c>
      <c r="R66" s="89" t="str">
        <f t="shared" si="17"/>
        <v/>
      </c>
      <c r="S66" s="89" t="str">
        <f t="shared" si="17"/>
        <v/>
      </c>
      <c r="T66" s="89" t="str">
        <f t="shared" si="17"/>
        <v/>
      </c>
      <c r="U66" s="89" t="str">
        <f t="shared" si="17"/>
        <v/>
      </c>
      <c r="V66" s="89" t="str">
        <f t="shared" si="17"/>
        <v/>
      </c>
      <c r="W66" s="89" t="str">
        <f t="shared" si="17"/>
        <v/>
      </c>
      <c r="X66" s="89" t="str">
        <f t="shared" si="17"/>
        <v/>
      </c>
      <c r="Y66" s="89" t="str">
        <f t="shared" si="17"/>
        <v/>
      </c>
      <c r="Z66" s="89" t="str">
        <f t="shared" si="17"/>
        <v/>
      </c>
      <c r="AA66" s="89" t="str">
        <f t="shared" si="17"/>
        <v/>
      </c>
      <c r="AB66" s="89" t="str">
        <f t="shared" si="17"/>
        <v/>
      </c>
      <c r="AC66" s="89" t="str">
        <f t="shared" si="17"/>
        <v/>
      </c>
      <c r="AD66" s="89" t="str">
        <f t="shared" si="17"/>
        <v/>
      </c>
      <c r="AE66" s="89" t="str">
        <f t="shared" si="17"/>
        <v/>
      </c>
      <c r="AF66" s="89" t="str">
        <f t="shared" si="17"/>
        <v/>
      </c>
      <c r="AG66" s="89" t="str">
        <f t="shared" si="17"/>
        <v/>
      </c>
      <c r="AH66" s="89" t="str">
        <f t="shared" si="17"/>
        <v/>
      </c>
      <c r="AI66" s="89" t="str">
        <f t="shared" si="17"/>
        <v/>
      </c>
      <c r="AJ66" s="89" t="str">
        <f t="shared" si="17"/>
        <v/>
      </c>
      <c r="AK66" s="90" t="str">
        <f t="shared" si="17"/>
        <v/>
      </c>
      <c r="AL66" s="123" t="str">
        <f t="shared" si="17"/>
        <v/>
      </c>
      <c r="AM66" s="114"/>
      <c r="AN66" s="86"/>
      <c r="AO66" s="1"/>
      <c r="AP66" s="1"/>
      <c r="AQ66" s="1"/>
      <c r="AT66" s="2"/>
      <c r="AV66" s="2"/>
    </row>
    <row r="67" spans="1:48" ht="25.35" customHeight="1">
      <c r="A67" s="639" t="s">
        <v>186</v>
      </c>
      <c r="B67" s="639"/>
      <c r="C67" s="49" t="s">
        <v>55</v>
      </c>
      <c r="D67" s="91">
        <v>1</v>
      </c>
      <c r="E67" s="92" t="s">
        <v>42</v>
      </c>
      <c r="F67" s="116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117"/>
      <c r="AL67" s="34"/>
      <c r="AM67" s="94" t="str">
        <f t="shared" ref="AM67:AM87" si="18">IF((COUNTIF(G67:AJ67, "x")+COUNTIF(G67:AJ67, "1")+COUNTIF(G67:AJ67, "2")+COUNTIF(G67:AJ67, "3"))=0, "", (COUNTIF(G67:AJ67, "1")+COUNTIF(G67:AJ67, "2")+COUNTIF(G67:AJ67, "3"))/(COUNTIF(G67:AJ67, "x")+COUNTIF(G67:AJ67, "1")+COUNTIF(G67:AJ67, "2")+COUNTIF(G67:AJ67, "3")))</f>
        <v/>
      </c>
      <c r="AN67" s="640" t="str">
        <f ca="1">IFERROR(AVERAGE(INDIRECT(AY9)),"")</f>
        <v/>
      </c>
      <c r="AO67" s="1">
        <f t="shared" ref="AO67:AO88" si="19">COUNTIF(G67:AJ67, 1)+COUNTIF(G67:AJ67, 2)+COUNTIF(G67:AJ67,3)</f>
        <v>0</v>
      </c>
      <c r="AP67" s="1"/>
      <c r="AQ67" s="1"/>
      <c r="AT67" s="2"/>
      <c r="AV67" s="2"/>
    </row>
    <row r="68" spans="1:48" ht="25.35" customHeight="1">
      <c r="A68" s="639"/>
      <c r="B68" s="639"/>
      <c r="C68" s="48" t="s">
        <v>55</v>
      </c>
      <c r="D68" s="95">
        <f>D67+1</f>
        <v>2</v>
      </c>
      <c r="E68" s="100" t="s">
        <v>153</v>
      </c>
      <c r="F68" s="78"/>
      <c r="G68" s="33"/>
      <c r="H68" s="33"/>
      <c r="I68" s="33"/>
      <c r="J68" s="33"/>
      <c r="K68" s="65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65"/>
      <c r="AE68" s="33"/>
      <c r="AF68" s="33"/>
      <c r="AG68" s="33"/>
      <c r="AH68" s="33"/>
      <c r="AI68" s="33"/>
      <c r="AJ68" s="33"/>
      <c r="AK68" s="117"/>
      <c r="AL68" s="33"/>
      <c r="AM68" s="94" t="str">
        <f t="shared" si="18"/>
        <v/>
      </c>
      <c r="AN68" s="640"/>
      <c r="AO68" s="1">
        <f t="shared" si="19"/>
        <v>0</v>
      </c>
      <c r="AP68" s="1"/>
      <c r="AQ68" s="1"/>
      <c r="AT68" s="2"/>
      <c r="AV68" s="2"/>
    </row>
    <row r="69" spans="1:48" ht="25.35" customHeight="1">
      <c r="A69" s="639"/>
      <c r="B69" s="639"/>
      <c r="C69" s="48" t="s">
        <v>55</v>
      </c>
      <c r="D69" s="95">
        <f t="shared" ref="D69:D88" si="20">D68+1</f>
        <v>3</v>
      </c>
      <c r="E69" s="99" t="s">
        <v>180</v>
      </c>
      <c r="F69" s="78"/>
      <c r="G69" s="33"/>
      <c r="H69" s="33"/>
      <c r="I69" s="33"/>
      <c r="J69" s="33"/>
      <c r="K69" s="65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117"/>
      <c r="AL69" s="33"/>
      <c r="AM69" s="94" t="str">
        <f t="shared" si="18"/>
        <v/>
      </c>
      <c r="AN69" s="640"/>
      <c r="AO69" s="1">
        <f t="shared" si="19"/>
        <v>0</v>
      </c>
      <c r="AP69" s="1"/>
      <c r="AQ69" s="1"/>
      <c r="AT69" s="2"/>
      <c r="AV69" s="2"/>
    </row>
    <row r="70" spans="1:48" ht="25.35" customHeight="1">
      <c r="A70" s="639"/>
      <c r="B70" s="639"/>
      <c r="C70" s="48" t="s">
        <v>55</v>
      </c>
      <c r="D70" s="95">
        <f t="shared" si="20"/>
        <v>4</v>
      </c>
      <c r="E70" s="100" t="s">
        <v>189</v>
      </c>
      <c r="F70" s="78"/>
      <c r="G70" s="33"/>
      <c r="H70" s="33"/>
      <c r="I70" s="33"/>
      <c r="J70" s="33"/>
      <c r="K70" s="65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117"/>
      <c r="AL70" s="33"/>
      <c r="AM70" s="94" t="str">
        <f>IF((COUNTIF(G70:AJ70, "x")+COUNTIF(G70:AJ70, "1")+COUNTIF(G70:AJ70, "2")+COUNTIF(G70:AJ70, "3"))=0, "", (COUNTIF(G70:AJ70, "1")+COUNTIF(G70:AJ70, "2")+COUNTIF(G70:AJ70, "3"))/(COUNTIF(G70:AJ70, "x")+COUNTIF(G70:AJ70, "1")+COUNTIF(G70:AJ70, "2")+COUNTIF(G70:AJ70, "3")))</f>
        <v/>
      </c>
      <c r="AN70" s="640"/>
      <c r="AO70" s="1">
        <f>COUNTIF(G70:AJ70, 1)+COUNTIF(G70:AJ70, 2)+COUNTIF(G70:AJ70,3)</f>
        <v>0</v>
      </c>
      <c r="AP70" s="1"/>
      <c r="AQ70" s="1"/>
      <c r="AT70" s="2"/>
      <c r="AV70" s="2"/>
    </row>
    <row r="71" spans="1:48" ht="25.35" customHeight="1">
      <c r="A71" s="639"/>
      <c r="B71" s="639"/>
      <c r="C71" s="48" t="s">
        <v>55</v>
      </c>
      <c r="D71" s="95">
        <f t="shared" si="20"/>
        <v>5</v>
      </c>
      <c r="E71" s="100" t="s">
        <v>118</v>
      </c>
      <c r="F71" s="78"/>
      <c r="G71" s="33"/>
      <c r="H71" s="33"/>
      <c r="I71" s="33"/>
      <c r="J71" s="33"/>
      <c r="K71" s="65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117"/>
      <c r="AL71" s="33"/>
      <c r="AM71" s="94" t="str">
        <f t="shared" si="18"/>
        <v/>
      </c>
      <c r="AN71" s="640"/>
      <c r="AO71" s="1">
        <f t="shared" si="19"/>
        <v>0</v>
      </c>
      <c r="AP71" s="1"/>
      <c r="AQ71" s="1"/>
      <c r="AT71" s="2"/>
      <c r="AV71" s="2"/>
    </row>
    <row r="72" spans="1:48" ht="25.35" customHeight="1">
      <c r="A72" s="639"/>
      <c r="B72" s="639"/>
      <c r="C72" s="48" t="s">
        <v>55</v>
      </c>
      <c r="D72" s="95">
        <f t="shared" si="20"/>
        <v>6</v>
      </c>
      <c r="E72" s="100" t="s">
        <v>194</v>
      </c>
      <c r="F72" s="78"/>
      <c r="G72" s="33"/>
      <c r="H72" s="33"/>
      <c r="I72" s="33"/>
      <c r="J72" s="33"/>
      <c r="K72" s="65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117"/>
      <c r="AL72" s="33"/>
      <c r="AM72" s="94" t="str">
        <f t="shared" si="18"/>
        <v/>
      </c>
      <c r="AN72" s="640"/>
      <c r="AO72" s="1">
        <f t="shared" si="19"/>
        <v>0</v>
      </c>
      <c r="AP72" s="1"/>
      <c r="AQ72" s="1"/>
      <c r="AT72" s="2"/>
      <c r="AV72" s="2"/>
    </row>
    <row r="73" spans="1:48" ht="25.35" customHeight="1">
      <c r="A73" s="639"/>
      <c r="B73" s="639"/>
      <c r="C73" s="48" t="s">
        <v>55</v>
      </c>
      <c r="D73" s="95">
        <f t="shared" si="20"/>
        <v>7</v>
      </c>
      <c r="E73" s="100" t="s">
        <v>195</v>
      </c>
      <c r="F73" s="78"/>
      <c r="G73" s="33"/>
      <c r="H73" s="33"/>
      <c r="I73" s="33"/>
      <c r="J73" s="33"/>
      <c r="K73" s="65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117"/>
      <c r="AL73" s="33"/>
      <c r="AM73" s="94" t="str">
        <f t="shared" si="18"/>
        <v/>
      </c>
      <c r="AN73" s="640"/>
      <c r="AO73" s="1">
        <f t="shared" si="19"/>
        <v>0</v>
      </c>
      <c r="AP73" s="1"/>
      <c r="AQ73" s="1"/>
      <c r="AT73" s="2"/>
      <c r="AV73" s="2"/>
    </row>
    <row r="74" spans="1:48" ht="25.35" customHeight="1">
      <c r="A74" s="639"/>
      <c r="B74" s="639"/>
      <c r="C74" s="48" t="s">
        <v>55</v>
      </c>
      <c r="D74" s="95">
        <f t="shared" si="20"/>
        <v>8</v>
      </c>
      <c r="E74" s="100" t="s">
        <v>173</v>
      </c>
      <c r="F74" s="78"/>
      <c r="G74" s="33"/>
      <c r="H74" s="33"/>
      <c r="I74" s="33"/>
      <c r="J74" s="33"/>
      <c r="K74" s="65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117"/>
      <c r="AL74" s="33"/>
      <c r="AM74" s="94" t="str">
        <f t="shared" si="18"/>
        <v/>
      </c>
      <c r="AN74" s="640"/>
      <c r="AO74" s="1">
        <f t="shared" si="19"/>
        <v>0</v>
      </c>
      <c r="AP74" s="1"/>
      <c r="AQ74" s="1"/>
      <c r="AT74" s="2"/>
      <c r="AV74" s="2"/>
    </row>
    <row r="75" spans="1:48" ht="25.35" customHeight="1">
      <c r="A75" s="639"/>
      <c r="B75" s="639"/>
      <c r="C75" s="48" t="s">
        <v>60</v>
      </c>
      <c r="D75" s="95">
        <f t="shared" si="20"/>
        <v>9</v>
      </c>
      <c r="E75" s="99" t="s">
        <v>134</v>
      </c>
      <c r="F75" s="78"/>
      <c r="G75" s="33"/>
      <c r="H75" s="33"/>
      <c r="I75" s="33"/>
      <c r="J75" s="33"/>
      <c r="K75" s="65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117"/>
      <c r="AL75" s="33"/>
      <c r="AM75" s="94" t="str">
        <f t="shared" si="18"/>
        <v/>
      </c>
      <c r="AN75" s="640"/>
      <c r="AO75" s="1">
        <f t="shared" si="19"/>
        <v>0</v>
      </c>
      <c r="AP75" s="1"/>
      <c r="AQ75" s="1"/>
      <c r="AT75" s="2"/>
      <c r="AV75" s="2"/>
    </row>
    <row r="76" spans="1:48" ht="25.35" customHeight="1">
      <c r="A76" s="639"/>
      <c r="B76" s="639"/>
      <c r="C76" s="48" t="s">
        <v>60</v>
      </c>
      <c r="D76" s="95">
        <f t="shared" si="20"/>
        <v>10</v>
      </c>
      <c r="E76" s="100" t="s">
        <v>128</v>
      </c>
      <c r="F76" s="78"/>
      <c r="G76" s="33"/>
      <c r="H76" s="33"/>
      <c r="I76" s="33"/>
      <c r="J76" s="33"/>
      <c r="K76" s="65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117"/>
      <c r="AL76" s="33"/>
      <c r="AM76" s="94" t="str">
        <f t="shared" si="18"/>
        <v/>
      </c>
      <c r="AN76" s="640"/>
      <c r="AO76" s="1">
        <f t="shared" si="19"/>
        <v>0</v>
      </c>
      <c r="AP76" s="1"/>
      <c r="AQ76" s="1"/>
      <c r="AT76" s="2"/>
      <c r="AV76" s="2"/>
    </row>
    <row r="77" spans="1:48" ht="25.35" customHeight="1">
      <c r="A77" s="639"/>
      <c r="B77" s="639"/>
      <c r="C77" s="48" t="s">
        <v>60</v>
      </c>
      <c r="D77" s="95">
        <f t="shared" si="20"/>
        <v>11</v>
      </c>
      <c r="E77" s="100" t="s">
        <v>41</v>
      </c>
      <c r="F77" s="118"/>
      <c r="G77" s="33"/>
      <c r="H77" s="33"/>
      <c r="I77" s="33"/>
      <c r="J77" s="33"/>
      <c r="K77" s="65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117"/>
      <c r="AL77" s="33"/>
      <c r="AM77" s="94" t="str">
        <f t="shared" si="18"/>
        <v/>
      </c>
      <c r="AN77" s="640"/>
      <c r="AO77" s="1">
        <f t="shared" si="19"/>
        <v>0</v>
      </c>
      <c r="AP77" s="1"/>
      <c r="AQ77" s="1"/>
      <c r="AT77" s="2"/>
      <c r="AV77" s="2"/>
    </row>
    <row r="78" spans="1:48" ht="25.35" customHeight="1">
      <c r="A78" s="639"/>
      <c r="B78" s="639"/>
      <c r="C78" s="48" t="s">
        <v>60</v>
      </c>
      <c r="D78" s="95">
        <f t="shared" si="20"/>
        <v>12</v>
      </c>
      <c r="E78" s="100" t="s">
        <v>119</v>
      </c>
      <c r="F78" s="119"/>
      <c r="G78" s="33"/>
      <c r="H78" s="33"/>
      <c r="I78" s="33"/>
      <c r="J78" s="33"/>
      <c r="K78" s="65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117"/>
      <c r="AL78" s="33"/>
      <c r="AM78" s="94" t="str">
        <f t="shared" si="18"/>
        <v/>
      </c>
      <c r="AN78" s="640"/>
      <c r="AO78" s="1">
        <f t="shared" si="19"/>
        <v>0</v>
      </c>
      <c r="AP78" s="1"/>
      <c r="AQ78" s="1"/>
      <c r="AT78" s="2"/>
      <c r="AV78" s="2"/>
    </row>
    <row r="79" spans="1:48" ht="25.35" customHeight="1">
      <c r="A79" s="639"/>
      <c r="B79" s="639"/>
      <c r="C79" s="48" t="s">
        <v>60</v>
      </c>
      <c r="D79" s="95">
        <f t="shared" si="20"/>
        <v>13</v>
      </c>
      <c r="E79" s="100" t="s">
        <v>146</v>
      </c>
      <c r="F79" s="119"/>
      <c r="G79" s="33"/>
      <c r="H79" s="33"/>
      <c r="I79" s="33"/>
      <c r="J79" s="33"/>
      <c r="K79" s="65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117"/>
      <c r="AL79" s="33"/>
      <c r="AM79" s="94" t="str">
        <f t="shared" si="18"/>
        <v/>
      </c>
      <c r="AN79" s="640"/>
      <c r="AO79" s="1">
        <f t="shared" si="19"/>
        <v>0</v>
      </c>
      <c r="AP79" s="1"/>
      <c r="AQ79" s="1"/>
      <c r="AT79" s="2"/>
      <c r="AV79" s="2"/>
    </row>
    <row r="80" spans="1:48" ht="25.35" customHeight="1">
      <c r="A80" s="639"/>
      <c r="B80" s="639"/>
      <c r="C80" s="48" t="s">
        <v>60</v>
      </c>
      <c r="D80" s="95">
        <f t="shared" si="20"/>
        <v>14</v>
      </c>
      <c r="E80" s="99" t="s">
        <v>178</v>
      </c>
      <c r="F80" s="119"/>
      <c r="G80" s="33"/>
      <c r="H80" s="33"/>
      <c r="I80" s="33"/>
      <c r="J80" s="33"/>
      <c r="K80" s="65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117"/>
      <c r="AL80" s="33"/>
      <c r="AM80" s="94" t="str">
        <f t="shared" si="18"/>
        <v/>
      </c>
      <c r="AN80" s="640"/>
      <c r="AO80" s="1">
        <f t="shared" si="19"/>
        <v>0</v>
      </c>
      <c r="AP80" s="1"/>
      <c r="AQ80" s="1"/>
      <c r="AT80" s="2"/>
      <c r="AV80" s="2"/>
    </row>
    <row r="81" spans="1:48" ht="25.35" customHeight="1">
      <c r="A81" s="639"/>
      <c r="B81" s="639"/>
      <c r="C81" s="48" t="s">
        <v>60</v>
      </c>
      <c r="D81" s="95">
        <f t="shared" si="20"/>
        <v>15</v>
      </c>
      <c r="E81" s="100" t="s">
        <v>45</v>
      </c>
      <c r="F81" s="120"/>
      <c r="G81" s="33"/>
      <c r="H81" s="33"/>
      <c r="I81" s="33"/>
      <c r="J81" s="33"/>
      <c r="K81" s="65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117"/>
      <c r="AL81" s="33"/>
      <c r="AM81" s="94" t="str">
        <f t="shared" si="18"/>
        <v/>
      </c>
      <c r="AN81" s="640"/>
      <c r="AO81" s="1">
        <f t="shared" si="19"/>
        <v>0</v>
      </c>
      <c r="AP81" s="1"/>
      <c r="AQ81" s="1"/>
      <c r="AT81" s="2"/>
      <c r="AV81" s="2"/>
    </row>
    <row r="82" spans="1:48" ht="25.35" customHeight="1">
      <c r="A82" s="639"/>
      <c r="B82" s="639"/>
      <c r="C82" s="48" t="s">
        <v>60</v>
      </c>
      <c r="D82" s="95">
        <f t="shared" si="20"/>
        <v>16</v>
      </c>
      <c r="E82" s="100" t="s">
        <v>8</v>
      </c>
      <c r="F82" s="78"/>
      <c r="G82" s="33"/>
      <c r="H82" s="33"/>
      <c r="I82" s="33"/>
      <c r="J82" s="33"/>
      <c r="K82" s="65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117"/>
      <c r="AL82" s="33"/>
      <c r="AM82" s="94" t="str">
        <f t="shared" si="18"/>
        <v/>
      </c>
      <c r="AN82" s="640"/>
      <c r="AO82" s="1">
        <f t="shared" si="19"/>
        <v>0</v>
      </c>
      <c r="AP82" s="1"/>
      <c r="AQ82" s="1"/>
      <c r="AT82" s="2"/>
      <c r="AV82" s="2"/>
    </row>
    <row r="83" spans="1:48" ht="25.35" customHeight="1" thickBot="1">
      <c r="A83" s="639"/>
      <c r="B83" s="639"/>
      <c r="C83" s="48" t="s">
        <v>60</v>
      </c>
      <c r="D83" s="95">
        <f t="shared" si="20"/>
        <v>17</v>
      </c>
      <c r="E83" s="113" t="s">
        <v>5</v>
      </c>
      <c r="F83" s="120"/>
      <c r="G83" s="33"/>
      <c r="H83" s="33"/>
      <c r="I83" s="33"/>
      <c r="J83" s="33"/>
      <c r="K83" s="65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117"/>
      <c r="AL83" s="33"/>
      <c r="AM83" s="94" t="str">
        <f t="shared" si="18"/>
        <v/>
      </c>
      <c r="AN83" s="640"/>
      <c r="AO83" s="1">
        <f t="shared" si="19"/>
        <v>0</v>
      </c>
      <c r="AP83" s="1"/>
      <c r="AQ83" s="1"/>
      <c r="AT83" s="2"/>
      <c r="AV83" s="2"/>
    </row>
    <row r="84" spans="1:48" ht="25.35" customHeight="1">
      <c r="A84" s="639"/>
      <c r="B84" s="639"/>
      <c r="C84" s="48" t="s">
        <v>60</v>
      </c>
      <c r="D84" s="95">
        <f t="shared" si="20"/>
        <v>18</v>
      </c>
      <c r="E84" s="100" t="s">
        <v>31</v>
      </c>
      <c r="F84" s="85"/>
      <c r="G84" s="33"/>
      <c r="H84" s="33"/>
      <c r="I84" s="33"/>
      <c r="J84" s="33"/>
      <c r="K84" s="65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117"/>
      <c r="AL84" s="33"/>
      <c r="AM84" s="94" t="str">
        <f t="shared" si="18"/>
        <v/>
      </c>
      <c r="AN84" s="640"/>
      <c r="AO84" s="1">
        <f t="shared" si="19"/>
        <v>0</v>
      </c>
      <c r="AP84" s="1"/>
      <c r="AQ84" s="1"/>
      <c r="AT84" s="2"/>
      <c r="AV84" s="2"/>
    </row>
    <row r="85" spans="1:48" ht="25.35" customHeight="1">
      <c r="A85" s="639"/>
      <c r="B85" s="639"/>
      <c r="C85" s="48" t="s">
        <v>60</v>
      </c>
      <c r="D85" s="95">
        <f t="shared" si="20"/>
        <v>19</v>
      </c>
      <c r="E85" s="100" t="s">
        <v>160</v>
      </c>
      <c r="F85" s="118"/>
      <c r="G85" s="33"/>
      <c r="H85" s="33"/>
      <c r="I85" s="33"/>
      <c r="J85" s="33"/>
      <c r="K85" s="65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117"/>
      <c r="AL85" s="33"/>
      <c r="AM85" s="94" t="str">
        <f t="shared" si="18"/>
        <v/>
      </c>
      <c r="AN85" s="640"/>
      <c r="AO85" s="1">
        <f t="shared" si="19"/>
        <v>0</v>
      </c>
      <c r="AP85" s="1"/>
      <c r="AQ85" s="1"/>
      <c r="AT85" s="2"/>
      <c r="AV85" s="2"/>
    </row>
    <row r="86" spans="1:48" ht="25.35" customHeight="1">
      <c r="A86" s="639"/>
      <c r="B86" s="639"/>
      <c r="C86" s="48" t="s">
        <v>60</v>
      </c>
      <c r="D86" s="95">
        <f t="shared" si="20"/>
        <v>20</v>
      </c>
      <c r="E86" s="96" t="s">
        <v>12</v>
      </c>
      <c r="F86" s="118"/>
      <c r="G86" s="33"/>
      <c r="H86" s="33"/>
      <c r="I86" s="33"/>
      <c r="J86" s="33"/>
      <c r="K86" s="65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117"/>
      <c r="AL86" s="33"/>
      <c r="AM86" s="94" t="str">
        <f t="shared" si="18"/>
        <v/>
      </c>
      <c r="AN86" s="640"/>
      <c r="AO86" s="1">
        <f t="shared" si="19"/>
        <v>0</v>
      </c>
      <c r="AP86" s="1"/>
      <c r="AQ86" s="1"/>
      <c r="AT86" s="2"/>
      <c r="AV86" s="2"/>
    </row>
    <row r="87" spans="1:48" ht="25.35" customHeight="1" thickBot="1">
      <c r="A87" s="639"/>
      <c r="B87" s="639"/>
      <c r="C87" s="48" t="s">
        <v>60</v>
      </c>
      <c r="D87" s="104">
        <f t="shared" si="20"/>
        <v>21</v>
      </c>
      <c r="E87" s="100" t="s">
        <v>155</v>
      </c>
      <c r="F87" s="121"/>
      <c r="G87" s="37"/>
      <c r="H87" s="33"/>
      <c r="I87" s="33"/>
      <c r="J87" s="37"/>
      <c r="K87" s="66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117"/>
      <c r="AL87" s="37"/>
      <c r="AM87" s="94" t="str">
        <f t="shared" si="18"/>
        <v/>
      </c>
      <c r="AN87" s="640"/>
      <c r="AO87" s="1">
        <f t="shared" si="19"/>
        <v>0</v>
      </c>
      <c r="AP87" s="1"/>
      <c r="AQ87" s="1"/>
      <c r="AT87" s="2"/>
      <c r="AV87" s="2"/>
    </row>
    <row r="88" spans="1:48" ht="25.35" customHeight="1" thickBot="1">
      <c r="A88" s="122"/>
      <c r="B88" s="122"/>
      <c r="C88" s="51" t="s">
        <v>169</v>
      </c>
      <c r="D88" s="95">
        <f t="shared" si="20"/>
        <v>22</v>
      </c>
      <c r="E88" s="113" t="s">
        <v>204</v>
      </c>
      <c r="F88" s="138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42"/>
      <c r="AD88" s="33"/>
      <c r="AE88" s="33"/>
      <c r="AF88" s="42"/>
      <c r="AG88" s="42"/>
      <c r="AH88" s="33"/>
      <c r="AI88" s="33"/>
      <c r="AJ88" s="33"/>
      <c r="AK88" s="39"/>
      <c r="AL88" s="33"/>
      <c r="AM88" s="94" t="str">
        <f>IF((COUNTIF(G88:AJ88, "x")+COUNTIF(G88:AJ88, "1")+COUNTIF(G88:AJ88, "2")+COUNTIF(G88:AJ88, "3"))=0, "", (COUNTIF(G88:AJ88, "1")+COUNTIF(G88:AJ88, "2")+COUNTIF(G88:AJ88, "3"))/(COUNTIF(G88:AJ88, "x")+COUNTIF(G88:AJ88, "1")+COUNTIF(G88:AJ88, "2")+COUNTIF(G88:AJ88, "3")))</f>
        <v/>
      </c>
      <c r="AN88" s="19"/>
      <c r="AO88" s="1">
        <f t="shared" si="19"/>
        <v>0</v>
      </c>
      <c r="AP88" s="1"/>
      <c r="AQ88" s="1"/>
      <c r="AT88" s="2"/>
      <c r="AV88" s="2"/>
    </row>
    <row r="89" spans="1:48" ht="25.35" hidden="1" customHeight="1">
      <c r="A89" s="122"/>
      <c r="B89" s="122"/>
      <c r="C89" s="48"/>
      <c r="D89" s="76">
        <v>1</v>
      </c>
      <c r="E89" s="77" t="s">
        <v>2</v>
      </c>
      <c r="F89" s="78" t="s">
        <v>142</v>
      </c>
      <c r="G89" s="16"/>
      <c r="H89" s="16"/>
      <c r="I89" s="16"/>
      <c r="J89" s="67"/>
      <c r="K89" s="17"/>
      <c r="L89" s="16"/>
      <c r="M89" s="17"/>
      <c r="N89" s="16"/>
      <c r="O89" s="16"/>
      <c r="P89" s="16"/>
      <c r="Q89" s="16"/>
      <c r="R89" s="17"/>
      <c r="S89" s="67"/>
      <c r="T89" s="67"/>
      <c r="U89" s="67"/>
      <c r="V89" s="67"/>
      <c r="W89" s="67"/>
      <c r="X89" s="17"/>
      <c r="Y89" s="67"/>
      <c r="Z89" s="67"/>
      <c r="AA89" s="67"/>
      <c r="AB89" s="67"/>
      <c r="AC89" s="67"/>
      <c r="AD89" s="67"/>
      <c r="AE89" s="17"/>
      <c r="AF89" s="67"/>
      <c r="AG89" s="67"/>
      <c r="AH89" s="67"/>
      <c r="AI89" s="67"/>
      <c r="AJ89" s="67"/>
      <c r="AK89" s="67"/>
      <c r="AL89" s="67"/>
      <c r="AM89" s="82"/>
      <c r="AN89" s="86"/>
      <c r="AO89" s="1"/>
      <c r="AP89" s="1"/>
      <c r="AQ89" s="1"/>
      <c r="AT89" s="2"/>
      <c r="AV89" s="2"/>
    </row>
    <row r="90" spans="1:48" ht="25.35" hidden="1" customHeight="1">
      <c r="A90" s="122"/>
      <c r="B90" s="122"/>
      <c r="C90" s="48"/>
      <c r="D90" s="76">
        <v>2</v>
      </c>
      <c r="E90" s="84" t="s">
        <v>139</v>
      </c>
      <c r="F90" s="85" t="s">
        <v>143</v>
      </c>
      <c r="G90" s="52">
        <f>COUNT(G94:G115)</f>
        <v>0</v>
      </c>
      <c r="H90" s="52">
        <f>COUNT(H94:H115)</f>
        <v>0</v>
      </c>
      <c r="I90" s="52">
        <f>COUNT(I94:I115)</f>
        <v>0</v>
      </c>
      <c r="J90" s="52"/>
      <c r="K90" s="52">
        <f t="shared" ref="K90:AL90" si="21">COUNT(K94:K115)</f>
        <v>0</v>
      </c>
      <c r="L90" s="52">
        <f t="shared" si="21"/>
        <v>0</v>
      </c>
      <c r="M90" s="52">
        <f t="shared" si="21"/>
        <v>0</v>
      </c>
      <c r="N90" s="52">
        <f t="shared" si="21"/>
        <v>0</v>
      </c>
      <c r="O90" s="52">
        <f t="shared" si="21"/>
        <v>0</v>
      </c>
      <c r="P90" s="52">
        <f t="shared" si="21"/>
        <v>0</v>
      </c>
      <c r="Q90" s="52">
        <f t="shared" si="21"/>
        <v>0</v>
      </c>
      <c r="R90" s="52">
        <f t="shared" si="21"/>
        <v>0</v>
      </c>
      <c r="S90" s="52">
        <f t="shared" si="21"/>
        <v>0</v>
      </c>
      <c r="T90" s="52">
        <f t="shared" si="21"/>
        <v>0</v>
      </c>
      <c r="U90" s="52">
        <f t="shared" si="21"/>
        <v>0</v>
      </c>
      <c r="V90" s="52">
        <f t="shared" si="21"/>
        <v>0</v>
      </c>
      <c r="W90" s="52">
        <f t="shared" si="21"/>
        <v>0</v>
      </c>
      <c r="X90" s="52">
        <f t="shared" si="21"/>
        <v>0</v>
      </c>
      <c r="Y90" s="52">
        <f t="shared" si="21"/>
        <v>0</v>
      </c>
      <c r="Z90" s="52">
        <f t="shared" si="21"/>
        <v>0</v>
      </c>
      <c r="AA90" s="52">
        <f t="shared" si="21"/>
        <v>0</v>
      </c>
      <c r="AB90" s="52">
        <f t="shared" si="21"/>
        <v>0</v>
      </c>
      <c r="AC90" s="52">
        <f t="shared" si="21"/>
        <v>0</v>
      </c>
      <c r="AD90" s="52">
        <f t="shared" si="21"/>
        <v>0</v>
      </c>
      <c r="AE90" s="52">
        <f t="shared" si="21"/>
        <v>0</v>
      </c>
      <c r="AF90" s="52">
        <f t="shared" si="21"/>
        <v>0</v>
      </c>
      <c r="AG90" s="52">
        <f t="shared" si="21"/>
        <v>0</v>
      </c>
      <c r="AH90" s="52">
        <f t="shared" si="21"/>
        <v>0</v>
      </c>
      <c r="AI90" s="52">
        <f t="shared" si="21"/>
        <v>0</v>
      </c>
      <c r="AJ90" s="52">
        <f t="shared" si="21"/>
        <v>0</v>
      </c>
      <c r="AK90" s="16">
        <f t="shared" si="21"/>
        <v>0</v>
      </c>
      <c r="AL90" s="52">
        <f t="shared" si="21"/>
        <v>0</v>
      </c>
      <c r="AM90" s="82"/>
      <c r="AN90" s="86"/>
      <c r="AO90" s="1"/>
      <c r="AP90" s="1"/>
      <c r="AQ90" s="1"/>
      <c r="AT90" s="2"/>
      <c r="AV90" s="2"/>
    </row>
    <row r="91" spans="1:48" ht="25.35" hidden="1" customHeight="1">
      <c r="B91" s="108"/>
      <c r="C91" s="48"/>
      <c r="D91" s="76">
        <v>3</v>
      </c>
      <c r="E91" s="84" t="s">
        <v>24</v>
      </c>
      <c r="F91" s="85" t="s">
        <v>143</v>
      </c>
      <c r="G91" s="135">
        <f>IFERROR(IF(G92=1,F$1+1,G$3),"")</f>
        <v>44593</v>
      </c>
      <c r="H91" s="135">
        <f>IFERROR(IF(H92=1,G$3+1,H$3),"")</f>
        <v>44594</v>
      </c>
      <c r="I91" s="135">
        <f t="shared" ref="I91:AL91" si="22">IFERROR(IF(I92=1,H$3+1,I$3),"")</f>
        <v>44595</v>
      </c>
      <c r="J91" s="135">
        <f t="shared" si="22"/>
        <v>44596</v>
      </c>
      <c r="K91" s="135">
        <f t="shared" si="22"/>
        <v>44597</v>
      </c>
      <c r="L91" s="135">
        <f t="shared" si="22"/>
        <v>44598</v>
      </c>
      <c r="M91" s="135">
        <f t="shared" si="22"/>
        <v>44599</v>
      </c>
      <c r="N91" s="135">
        <f t="shared" si="22"/>
        <v>44600</v>
      </c>
      <c r="O91" s="135">
        <f t="shared" si="22"/>
        <v>44601</v>
      </c>
      <c r="P91" s="135">
        <f t="shared" si="22"/>
        <v>44602</v>
      </c>
      <c r="Q91" s="135">
        <f t="shared" si="22"/>
        <v>44603</v>
      </c>
      <c r="R91" s="135">
        <f t="shared" si="22"/>
        <v>44604</v>
      </c>
      <c r="S91" s="135">
        <f t="shared" si="22"/>
        <v>44605</v>
      </c>
      <c r="T91" s="135">
        <f t="shared" si="22"/>
        <v>44606</v>
      </c>
      <c r="U91" s="135">
        <f t="shared" si="22"/>
        <v>44607</v>
      </c>
      <c r="V91" s="135">
        <f t="shared" si="22"/>
        <v>44608</v>
      </c>
      <c r="W91" s="135">
        <f t="shared" si="22"/>
        <v>44609</v>
      </c>
      <c r="X91" s="135">
        <f t="shared" si="22"/>
        <v>44610</v>
      </c>
      <c r="Y91" s="135">
        <f t="shared" si="22"/>
        <v>44611</v>
      </c>
      <c r="Z91" s="135">
        <f t="shared" si="22"/>
        <v>44612</v>
      </c>
      <c r="AA91" s="135">
        <f t="shared" si="22"/>
        <v>44613</v>
      </c>
      <c r="AB91" s="135">
        <f t="shared" si="22"/>
        <v>44614</v>
      </c>
      <c r="AC91" s="135">
        <f t="shared" si="22"/>
        <v>44615</v>
      </c>
      <c r="AD91" s="135">
        <f t="shared" si="22"/>
        <v>44616</v>
      </c>
      <c r="AE91" s="135">
        <f t="shared" si="22"/>
        <v>44617</v>
      </c>
      <c r="AF91" s="135">
        <f t="shared" si="22"/>
        <v>44618</v>
      </c>
      <c r="AG91" s="135">
        <f t="shared" si="22"/>
        <v>44619</v>
      </c>
      <c r="AH91" s="135">
        <f t="shared" si="22"/>
        <v>44620</v>
      </c>
      <c r="AI91" s="135">
        <f t="shared" si="22"/>
        <v>29</v>
      </c>
      <c r="AJ91" s="135">
        <f t="shared" si="22"/>
        <v>30</v>
      </c>
      <c r="AK91" s="88">
        <f t="shared" si="22"/>
        <v>31</v>
      </c>
      <c r="AL91" s="135">
        <f t="shared" si="22"/>
        <v>31</v>
      </c>
      <c r="AM91" s="82"/>
      <c r="AN91" s="86"/>
      <c r="AO91" s="1"/>
      <c r="AP91" s="1"/>
      <c r="AQ91" s="1"/>
      <c r="AT91" s="2"/>
      <c r="AV91" s="2"/>
    </row>
    <row r="92" spans="1:48" ht="25.35" hidden="1" customHeight="1">
      <c r="B92" s="110"/>
      <c r="C92" s="48"/>
      <c r="D92" s="76">
        <v>4</v>
      </c>
      <c r="E92" s="77" t="s">
        <v>144</v>
      </c>
      <c r="F92" s="85" t="s">
        <v>6</v>
      </c>
      <c r="G92" s="52" t="str">
        <f>IF(G90&gt;10,"OK","")</f>
        <v/>
      </c>
      <c r="H92" s="52" t="str">
        <f>IF(H90&gt;10,"OK","")</f>
        <v/>
      </c>
      <c r="I92" s="52" t="str">
        <f t="shared" ref="I92:AL92" si="23">IF(I90&gt;10,"OK","")</f>
        <v/>
      </c>
      <c r="J92" s="52" t="str">
        <f t="shared" si="23"/>
        <v/>
      </c>
      <c r="K92" s="52" t="str">
        <f t="shared" si="23"/>
        <v/>
      </c>
      <c r="L92" s="52" t="str">
        <f t="shared" si="23"/>
        <v/>
      </c>
      <c r="M92" s="52" t="str">
        <f t="shared" si="23"/>
        <v/>
      </c>
      <c r="N92" s="52" t="str">
        <f t="shared" si="23"/>
        <v/>
      </c>
      <c r="O92" s="52" t="str">
        <f t="shared" si="23"/>
        <v/>
      </c>
      <c r="P92" s="52" t="str">
        <f t="shared" si="23"/>
        <v/>
      </c>
      <c r="Q92" s="52" t="str">
        <f t="shared" si="23"/>
        <v/>
      </c>
      <c r="R92" s="52" t="str">
        <f t="shared" si="23"/>
        <v/>
      </c>
      <c r="S92" s="52" t="str">
        <f t="shared" si="23"/>
        <v/>
      </c>
      <c r="T92" s="52" t="str">
        <f t="shared" si="23"/>
        <v/>
      </c>
      <c r="U92" s="52" t="str">
        <f t="shared" si="23"/>
        <v/>
      </c>
      <c r="V92" s="52" t="str">
        <f t="shared" si="23"/>
        <v/>
      </c>
      <c r="W92" s="52" t="str">
        <f t="shared" si="23"/>
        <v/>
      </c>
      <c r="X92" s="52" t="str">
        <f t="shared" si="23"/>
        <v/>
      </c>
      <c r="Y92" s="52" t="str">
        <f t="shared" si="23"/>
        <v/>
      </c>
      <c r="Z92" s="52" t="str">
        <f t="shared" si="23"/>
        <v/>
      </c>
      <c r="AA92" s="52" t="str">
        <f t="shared" si="23"/>
        <v/>
      </c>
      <c r="AB92" s="52" t="str">
        <f t="shared" si="23"/>
        <v/>
      </c>
      <c r="AC92" s="52" t="str">
        <f t="shared" si="23"/>
        <v/>
      </c>
      <c r="AD92" s="52" t="str">
        <f t="shared" si="23"/>
        <v/>
      </c>
      <c r="AE92" s="52" t="str">
        <f t="shared" si="23"/>
        <v/>
      </c>
      <c r="AF92" s="52" t="str">
        <f t="shared" si="23"/>
        <v/>
      </c>
      <c r="AG92" s="52" t="str">
        <f t="shared" si="23"/>
        <v/>
      </c>
      <c r="AH92" s="52" t="str">
        <f t="shared" si="23"/>
        <v/>
      </c>
      <c r="AI92" s="52" t="str">
        <f t="shared" si="23"/>
        <v/>
      </c>
      <c r="AJ92" s="52" t="str">
        <f t="shared" si="23"/>
        <v/>
      </c>
      <c r="AK92" s="16" t="str">
        <f t="shared" si="23"/>
        <v/>
      </c>
      <c r="AL92" s="52" t="str">
        <f t="shared" si="23"/>
        <v/>
      </c>
      <c r="AM92" s="82"/>
      <c r="AN92" s="86"/>
      <c r="AO92" s="1"/>
      <c r="AP92" s="1"/>
      <c r="AQ92" s="1"/>
      <c r="AT92" s="2"/>
      <c r="AV92" s="2"/>
    </row>
    <row r="93" spans="1:48" ht="25.35" customHeight="1" thickBot="1">
      <c r="B93" s="110"/>
      <c r="C93" s="47" t="s">
        <v>170</v>
      </c>
      <c r="D93" s="638" t="s">
        <v>141</v>
      </c>
      <c r="E93" s="638"/>
      <c r="F93" s="115"/>
      <c r="G93" s="89" t="str">
        <f t="shared" ref="G93:AL93" si="24">IF(G92&lt;&gt;"",IF(G93&lt;&gt;"",G93,$B$5),"")</f>
        <v/>
      </c>
      <c r="H93" s="89" t="str">
        <f t="shared" si="24"/>
        <v/>
      </c>
      <c r="I93" s="89" t="str">
        <f t="shared" si="24"/>
        <v/>
      </c>
      <c r="J93" s="89" t="str">
        <f t="shared" si="24"/>
        <v/>
      </c>
      <c r="K93" s="89" t="str">
        <f t="shared" si="24"/>
        <v/>
      </c>
      <c r="L93" s="89" t="str">
        <f t="shared" si="24"/>
        <v/>
      </c>
      <c r="M93" s="89" t="str">
        <f t="shared" si="24"/>
        <v/>
      </c>
      <c r="N93" s="89" t="str">
        <f t="shared" si="24"/>
        <v/>
      </c>
      <c r="O93" s="89" t="str">
        <f t="shared" si="24"/>
        <v/>
      </c>
      <c r="P93" s="89" t="str">
        <f t="shared" si="24"/>
        <v/>
      </c>
      <c r="Q93" s="89" t="str">
        <f t="shared" si="24"/>
        <v/>
      </c>
      <c r="R93" s="89" t="str">
        <f t="shared" si="24"/>
        <v/>
      </c>
      <c r="S93" s="89" t="str">
        <f t="shared" si="24"/>
        <v/>
      </c>
      <c r="T93" s="89" t="str">
        <f t="shared" si="24"/>
        <v/>
      </c>
      <c r="U93" s="89" t="str">
        <f t="shared" si="24"/>
        <v/>
      </c>
      <c r="V93" s="89" t="str">
        <f t="shared" si="24"/>
        <v/>
      </c>
      <c r="W93" s="89" t="str">
        <f t="shared" si="24"/>
        <v/>
      </c>
      <c r="X93" s="89" t="str">
        <f t="shared" si="24"/>
        <v/>
      </c>
      <c r="Y93" s="89" t="str">
        <f t="shared" si="24"/>
        <v/>
      </c>
      <c r="Z93" s="89" t="str">
        <f t="shared" si="24"/>
        <v/>
      </c>
      <c r="AA93" s="89" t="str">
        <f t="shared" si="24"/>
        <v/>
      </c>
      <c r="AB93" s="89" t="str">
        <f t="shared" si="24"/>
        <v/>
      </c>
      <c r="AC93" s="89" t="str">
        <f t="shared" si="24"/>
        <v/>
      </c>
      <c r="AD93" s="89" t="str">
        <f t="shared" si="24"/>
        <v/>
      </c>
      <c r="AE93" s="89" t="str">
        <f t="shared" si="24"/>
        <v/>
      </c>
      <c r="AF93" s="89" t="str">
        <f t="shared" si="24"/>
        <v/>
      </c>
      <c r="AG93" s="89" t="str">
        <f t="shared" si="24"/>
        <v/>
      </c>
      <c r="AH93" s="89" t="str">
        <f t="shared" si="24"/>
        <v/>
      </c>
      <c r="AI93" s="89" t="str">
        <f t="shared" si="24"/>
        <v/>
      </c>
      <c r="AJ93" s="89" t="str">
        <f t="shared" si="24"/>
        <v/>
      </c>
      <c r="AK93" s="124" t="str">
        <f t="shared" si="24"/>
        <v/>
      </c>
      <c r="AL93" s="123" t="str">
        <f t="shared" si="24"/>
        <v/>
      </c>
      <c r="AM93" s="82"/>
      <c r="AN93" s="86"/>
      <c r="AO93" s="1"/>
      <c r="AP93" s="1"/>
      <c r="AQ93" s="1"/>
      <c r="AT93" s="2"/>
      <c r="AV93" s="2"/>
    </row>
    <row r="94" spans="1:48" ht="25.35" customHeight="1">
      <c r="A94" s="639" t="s">
        <v>187</v>
      </c>
      <c r="B94" s="639"/>
      <c r="C94" s="48" t="s">
        <v>55</v>
      </c>
      <c r="D94" s="91">
        <v>1</v>
      </c>
      <c r="E94" s="92" t="s">
        <v>39</v>
      </c>
      <c r="F94" s="9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5"/>
      <c r="Z94" s="33"/>
      <c r="AA94" s="33"/>
      <c r="AB94" s="33"/>
      <c r="AC94" s="42"/>
      <c r="AD94" s="33"/>
      <c r="AE94" s="33"/>
      <c r="AF94" s="42"/>
      <c r="AG94" s="42"/>
      <c r="AH94" s="33"/>
      <c r="AI94" s="33"/>
      <c r="AJ94" s="33"/>
      <c r="AK94" s="39"/>
      <c r="AL94" s="33"/>
      <c r="AM94" s="94" t="str">
        <f t="shared" ref="AM94:AM115" si="25">IF((COUNTIF(G94:AJ94, "x")+COUNTIF(G94:AJ94, "1")+COUNTIF(G94:AJ94, "2")+COUNTIF(G94:AJ94, "3"))=0, "", (COUNTIF(G94:AJ94, "1")+COUNTIF(G94:AJ94, "2")+COUNTIF(G94:AJ94, "3"))/(COUNTIF(G94:AJ94, "x")+COUNTIF(G94:AJ94, "1")+COUNTIF(G94:AJ94, "2")+COUNTIF(G94:AJ94, "3")))</f>
        <v/>
      </c>
      <c r="AN94" s="641" t="str">
        <f ca="1">IFERROR(AVERAGE(INDIRECT(AY11)),"")</f>
        <v/>
      </c>
      <c r="AO94" s="1">
        <f t="shared" ref="AO94:AO115" si="26">COUNTIF(G94:AJ94, 1)+COUNTIF(G94:AJ94, 2)+COUNTIF(G94:AJ94,3)</f>
        <v>0</v>
      </c>
      <c r="AP94" s="1"/>
      <c r="AQ94" s="1"/>
      <c r="AT94" s="2"/>
      <c r="AV94" s="2"/>
    </row>
    <row r="95" spans="1:48" ht="25.35" customHeight="1">
      <c r="A95" s="639"/>
      <c r="B95" s="639"/>
      <c r="C95" s="48" t="s">
        <v>55</v>
      </c>
      <c r="D95" s="95">
        <f>D94+1</f>
        <v>2</v>
      </c>
      <c r="E95" s="100" t="s">
        <v>156</v>
      </c>
      <c r="F95" s="101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5"/>
      <c r="Z95" s="35"/>
      <c r="AA95" s="33"/>
      <c r="AB95" s="33"/>
      <c r="AC95" s="42"/>
      <c r="AD95" s="33"/>
      <c r="AE95" s="33"/>
      <c r="AF95" s="42"/>
      <c r="AG95" s="42"/>
      <c r="AH95" s="33"/>
      <c r="AI95" s="33"/>
      <c r="AJ95" s="33"/>
      <c r="AK95" s="39"/>
      <c r="AL95" s="33"/>
      <c r="AM95" s="94" t="str">
        <f t="shared" si="25"/>
        <v/>
      </c>
      <c r="AN95" s="642"/>
      <c r="AO95" s="1">
        <f t="shared" si="26"/>
        <v>0</v>
      </c>
      <c r="AP95" s="1"/>
      <c r="AQ95" s="1"/>
      <c r="AT95" s="2"/>
      <c r="AV95" s="2"/>
    </row>
    <row r="96" spans="1:48" ht="25.35" customHeight="1">
      <c r="A96" s="639"/>
      <c r="B96" s="639"/>
      <c r="C96" s="48" t="s">
        <v>55</v>
      </c>
      <c r="D96" s="95">
        <f t="shared" ref="D96:D116" si="27">D95+1</f>
        <v>3</v>
      </c>
      <c r="E96" s="100" t="s">
        <v>120</v>
      </c>
      <c r="F96" s="97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5"/>
      <c r="Z96" s="33"/>
      <c r="AA96" s="33"/>
      <c r="AB96" s="33"/>
      <c r="AC96" s="42"/>
      <c r="AD96" s="33"/>
      <c r="AE96" s="33"/>
      <c r="AF96" s="42"/>
      <c r="AG96" s="42"/>
      <c r="AH96" s="33"/>
      <c r="AI96" s="33"/>
      <c r="AJ96" s="33"/>
      <c r="AK96" s="39"/>
      <c r="AL96" s="33"/>
      <c r="AM96" s="94" t="str">
        <f t="shared" si="25"/>
        <v/>
      </c>
      <c r="AN96" s="642"/>
      <c r="AO96" s="1">
        <f t="shared" si="26"/>
        <v>0</v>
      </c>
      <c r="AP96" s="1"/>
      <c r="AQ96" s="1"/>
      <c r="AT96" s="2"/>
      <c r="AV96" s="2"/>
    </row>
    <row r="97" spans="1:48" ht="25.35" customHeight="1">
      <c r="A97" s="639"/>
      <c r="B97" s="639"/>
      <c r="C97" s="48" t="s">
        <v>55</v>
      </c>
      <c r="D97" s="95">
        <f t="shared" si="27"/>
        <v>4</v>
      </c>
      <c r="E97" s="100" t="s">
        <v>182</v>
      </c>
      <c r="F97" s="97"/>
      <c r="G97" s="33"/>
      <c r="H97" s="33"/>
      <c r="I97" s="140"/>
      <c r="J97" s="140"/>
      <c r="K97" s="140"/>
      <c r="L97" s="33"/>
      <c r="M97" s="140"/>
      <c r="N97" s="33"/>
      <c r="O97" s="33"/>
      <c r="P97" s="52"/>
      <c r="Q97" s="52"/>
      <c r="R97" s="52"/>
      <c r="S97" s="53"/>
      <c r="T97" s="33"/>
      <c r="U97" s="52"/>
      <c r="V97" s="52"/>
      <c r="W97" s="52"/>
      <c r="X97" s="52"/>
      <c r="Y97" s="53"/>
      <c r="Z97" s="52"/>
      <c r="AA97" s="52"/>
      <c r="AB97" s="52"/>
      <c r="AC97" s="62"/>
      <c r="AD97" s="52"/>
      <c r="AE97" s="52"/>
      <c r="AF97" s="62"/>
      <c r="AG97" s="62"/>
      <c r="AH97" s="52"/>
      <c r="AI97" s="52"/>
      <c r="AJ97" s="52"/>
      <c r="AK97" s="125"/>
      <c r="AL97" s="52"/>
      <c r="AM97" s="94" t="str">
        <f t="shared" si="25"/>
        <v/>
      </c>
      <c r="AN97" s="642"/>
      <c r="AO97" s="1">
        <f t="shared" si="26"/>
        <v>0</v>
      </c>
      <c r="AP97" s="1"/>
      <c r="AQ97" s="1"/>
      <c r="AT97" s="2"/>
      <c r="AV97" s="2"/>
    </row>
    <row r="98" spans="1:48" ht="25.35" customHeight="1">
      <c r="A98" s="639"/>
      <c r="B98" s="639"/>
      <c r="C98" s="48" t="s">
        <v>55</v>
      </c>
      <c r="D98" s="95">
        <f t="shared" si="27"/>
        <v>5</v>
      </c>
      <c r="E98" s="100" t="s">
        <v>205</v>
      </c>
      <c r="F98" s="102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9"/>
      <c r="AL98" s="33"/>
      <c r="AM98" s="94" t="str">
        <f t="shared" si="25"/>
        <v/>
      </c>
      <c r="AN98" s="642"/>
      <c r="AO98" s="1">
        <f t="shared" si="26"/>
        <v>0</v>
      </c>
      <c r="AP98" s="1"/>
      <c r="AQ98" s="1"/>
      <c r="AT98" s="2"/>
      <c r="AV98" s="2"/>
    </row>
    <row r="99" spans="1:48" ht="25.35" customHeight="1">
      <c r="A99" s="639"/>
      <c r="B99" s="639"/>
      <c r="C99" s="48" t="s">
        <v>55</v>
      </c>
      <c r="D99" s="95">
        <f t="shared" si="27"/>
        <v>6</v>
      </c>
      <c r="E99" s="100" t="s">
        <v>206</v>
      </c>
      <c r="F99" s="102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9"/>
      <c r="AL99" s="33"/>
      <c r="AM99" s="94" t="str">
        <f t="shared" si="25"/>
        <v/>
      </c>
      <c r="AN99" s="642"/>
      <c r="AO99" s="1">
        <f t="shared" si="26"/>
        <v>0</v>
      </c>
      <c r="AP99" s="1"/>
      <c r="AQ99" s="1"/>
      <c r="AT99" s="2"/>
      <c r="AV99" s="2"/>
    </row>
    <row r="100" spans="1:48" ht="25.35" customHeight="1">
      <c r="A100" s="639"/>
      <c r="B100" s="639"/>
      <c r="C100" s="48" t="s">
        <v>55</v>
      </c>
      <c r="D100" s="95">
        <f t="shared" si="27"/>
        <v>7</v>
      </c>
      <c r="E100" s="100" t="s">
        <v>138</v>
      </c>
      <c r="F100" s="102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9"/>
      <c r="AL100" s="33"/>
      <c r="AM100" s="94" t="str">
        <f t="shared" si="25"/>
        <v/>
      </c>
      <c r="AN100" s="642"/>
      <c r="AO100" s="1">
        <f t="shared" si="26"/>
        <v>0</v>
      </c>
      <c r="AP100" s="1"/>
      <c r="AQ100" s="1"/>
      <c r="AT100" s="2"/>
      <c r="AV100" s="2"/>
    </row>
    <row r="101" spans="1:48" ht="25.35" customHeight="1">
      <c r="A101" s="639"/>
      <c r="B101" s="639"/>
      <c r="C101" s="48" t="s">
        <v>55</v>
      </c>
      <c r="D101" s="95">
        <f t="shared" si="27"/>
        <v>8</v>
      </c>
      <c r="E101" s="100" t="s">
        <v>207</v>
      </c>
      <c r="F101" s="10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42"/>
      <c r="AD101" s="33"/>
      <c r="AE101" s="33"/>
      <c r="AF101" s="42"/>
      <c r="AG101" s="42"/>
      <c r="AH101" s="33"/>
      <c r="AI101" s="33"/>
      <c r="AJ101" s="33"/>
      <c r="AK101" s="39"/>
      <c r="AL101" s="33"/>
      <c r="AM101" s="94" t="str">
        <f t="shared" si="25"/>
        <v/>
      </c>
      <c r="AN101" s="642"/>
      <c r="AO101" s="1">
        <f t="shared" si="26"/>
        <v>0</v>
      </c>
      <c r="AP101" s="1"/>
      <c r="AQ101" s="1"/>
      <c r="AT101" s="2"/>
      <c r="AV101" s="2"/>
    </row>
    <row r="102" spans="1:48" ht="25.35" customHeight="1">
      <c r="A102" s="639"/>
      <c r="B102" s="639"/>
      <c r="C102" s="48" t="s">
        <v>55</v>
      </c>
      <c r="D102" s="95">
        <f t="shared" si="27"/>
        <v>9</v>
      </c>
      <c r="E102" s="100" t="s">
        <v>133</v>
      </c>
      <c r="F102" s="10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42"/>
      <c r="AG102" s="33"/>
      <c r="AH102" s="33"/>
      <c r="AI102" s="33"/>
      <c r="AJ102" s="33"/>
      <c r="AK102" s="39"/>
      <c r="AL102" s="33"/>
      <c r="AM102" s="94" t="str">
        <f t="shared" si="25"/>
        <v/>
      </c>
      <c r="AN102" s="642"/>
      <c r="AO102" s="1">
        <f t="shared" si="26"/>
        <v>0</v>
      </c>
      <c r="AP102" s="1"/>
      <c r="AQ102" s="1"/>
      <c r="AT102" s="2"/>
      <c r="AV102" s="2"/>
    </row>
    <row r="103" spans="1:48" ht="25.35" customHeight="1">
      <c r="A103" s="639"/>
      <c r="B103" s="639"/>
      <c r="C103" s="48" t="s">
        <v>60</v>
      </c>
      <c r="D103" s="95">
        <f t="shared" si="27"/>
        <v>10</v>
      </c>
      <c r="E103" s="100" t="s">
        <v>208</v>
      </c>
      <c r="F103" s="111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5"/>
      <c r="Z103" s="33"/>
      <c r="AA103" s="33"/>
      <c r="AB103" s="33"/>
      <c r="AC103" s="33"/>
      <c r="AD103" s="33"/>
      <c r="AE103" s="33"/>
      <c r="AF103" s="42"/>
      <c r="AG103" s="33"/>
      <c r="AH103" s="33"/>
      <c r="AI103" s="33"/>
      <c r="AJ103" s="33"/>
      <c r="AK103" s="39"/>
      <c r="AL103" s="33"/>
      <c r="AM103" s="94" t="str">
        <f t="shared" si="25"/>
        <v/>
      </c>
      <c r="AN103" s="642"/>
      <c r="AO103" s="1">
        <f t="shared" si="26"/>
        <v>0</v>
      </c>
      <c r="AP103" s="1"/>
      <c r="AQ103" s="1"/>
      <c r="AT103" s="2"/>
      <c r="AV103" s="2"/>
    </row>
    <row r="104" spans="1:48" ht="25.35" customHeight="1">
      <c r="A104" s="639"/>
      <c r="B104" s="639"/>
      <c r="C104" s="48" t="s">
        <v>60</v>
      </c>
      <c r="D104" s="95">
        <f t="shared" si="27"/>
        <v>11</v>
      </c>
      <c r="E104" s="100" t="s">
        <v>20</v>
      </c>
      <c r="F104" s="111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5"/>
      <c r="T104" s="33"/>
      <c r="U104" s="33"/>
      <c r="V104" s="33"/>
      <c r="W104" s="33"/>
      <c r="X104" s="33"/>
      <c r="Y104" s="35"/>
      <c r="Z104" s="33"/>
      <c r="AA104" s="33"/>
      <c r="AB104" s="33"/>
      <c r="AC104" s="42"/>
      <c r="AD104" s="33"/>
      <c r="AE104" s="33"/>
      <c r="AF104" s="42"/>
      <c r="AG104" s="42"/>
      <c r="AH104" s="33"/>
      <c r="AI104" s="33"/>
      <c r="AJ104" s="33"/>
      <c r="AK104" s="39"/>
      <c r="AL104" s="33"/>
      <c r="AM104" s="94" t="str">
        <f t="shared" si="25"/>
        <v/>
      </c>
      <c r="AN104" s="642"/>
      <c r="AO104" s="1">
        <f t="shared" si="26"/>
        <v>0</v>
      </c>
      <c r="AP104" s="1"/>
      <c r="AQ104" s="1"/>
      <c r="AT104" s="2"/>
      <c r="AV104" s="2"/>
    </row>
    <row r="105" spans="1:48" ht="25.35" customHeight="1">
      <c r="A105" s="639"/>
      <c r="B105" s="639"/>
      <c r="C105" s="48" t="s">
        <v>60</v>
      </c>
      <c r="D105" s="95">
        <f t="shared" si="27"/>
        <v>12</v>
      </c>
      <c r="E105" s="100" t="s">
        <v>192</v>
      </c>
      <c r="F105" s="102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42"/>
      <c r="Z105" s="33"/>
      <c r="AA105" s="33"/>
      <c r="AB105" s="33"/>
      <c r="AC105" s="33"/>
      <c r="AD105" s="33"/>
      <c r="AE105" s="33"/>
      <c r="AF105" s="35"/>
      <c r="AG105" s="33"/>
      <c r="AH105" s="33"/>
      <c r="AI105" s="33"/>
      <c r="AJ105" s="33"/>
      <c r="AK105" s="39"/>
      <c r="AL105" s="33"/>
      <c r="AM105" s="94" t="str">
        <f t="shared" si="25"/>
        <v/>
      </c>
      <c r="AN105" s="642"/>
      <c r="AO105" s="1">
        <f t="shared" si="26"/>
        <v>0</v>
      </c>
      <c r="AP105" s="1"/>
      <c r="AQ105" s="1"/>
      <c r="AT105" s="2"/>
      <c r="AV105" s="2"/>
    </row>
    <row r="106" spans="1:48" ht="25.35" customHeight="1">
      <c r="A106" s="639"/>
      <c r="B106" s="639"/>
      <c r="C106" s="48" t="s">
        <v>60</v>
      </c>
      <c r="D106" s="95">
        <f t="shared" si="27"/>
        <v>13</v>
      </c>
      <c r="E106" s="100" t="s">
        <v>27</v>
      </c>
      <c r="F106" s="102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5"/>
      <c r="AF106" s="42"/>
      <c r="AG106" s="33"/>
      <c r="AH106" s="33"/>
      <c r="AI106" s="33"/>
      <c r="AJ106" s="33"/>
      <c r="AK106" s="39"/>
      <c r="AL106" s="33"/>
      <c r="AM106" s="94" t="str">
        <f t="shared" si="25"/>
        <v/>
      </c>
      <c r="AN106" s="642"/>
      <c r="AO106" s="1">
        <f t="shared" si="26"/>
        <v>0</v>
      </c>
      <c r="AP106" s="1"/>
      <c r="AQ106" s="1"/>
      <c r="AT106" s="2"/>
      <c r="AV106" s="2"/>
    </row>
    <row r="107" spans="1:48" ht="25.35" customHeight="1">
      <c r="A107" s="639"/>
      <c r="B107" s="639"/>
      <c r="C107" s="48" t="s">
        <v>60</v>
      </c>
      <c r="D107" s="95">
        <f t="shared" si="27"/>
        <v>14</v>
      </c>
      <c r="E107" s="100" t="s">
        <v>183</v>
      </c>
      <c r="F107" s="101"/>
      <c r="G107" s="33"/>
      <c r="H107" s="35"/>
      <c r="I107" s="35"/>
      <c r="J107" s="35"/>
      <c r="K107" s="35"/>
      <c r="L107" s="33"/>
      <c r="M107" s="33"/>
      <c r="N107" s="33"/>
      <c r="O107" s="35"/>
      <c r="P107" s="35"/>
      <c r="Q107" s="35"/>
      <c r="R107" s="33"/>
      <c r="S107" s="42"/>
      <c r="T107" s="33"/>
      <c r="U107" s="33"/>
      <c r="V107" s="33"/>
      <c r="W107" s="33"/>
      <c r="X107" s="33"/>
      <c r="Y107" s="35"/>
      <c r="Z107" s="33"/>
      <c r="AA107" s="33"/>
      <c r="AB107" s="33"/>
      <c r="AC107" s="42"/>
      <c r="AD107" s="35"/>
      <c r="AE107" s="35"/>
      <c r="AF107" s="35"/>
      <c r="AG107" s="42"/>
      <c r="AH107" s="33"/>
      <c r="AI107" s="33"/>
      <c r="AJ107" s="33"/>
      <c r="AK107" s="112"/>
      <c r="AL107" s="33"/>
      <c r="AM107" s="94" t="str">
        <f t="shared" si="25"/>
        <v/>
      </c>
      <c r="AN107" s="642"/>
      <c r="AO107" s="1">
        <f t="shared" si="26"/>
        <v>0</v>
      </c>
      <c r="AP107" s="1"/>
      <c r="AQ107" s="1"/>
      <c r="AT107" s="2"/>
      <c r="AV107" s="2"/>
    </row>
    <row r="108" spans="1:48" ht="25.35" customHeight="1">
      <c r="A108" s="639"/>
      <c r="B108" s="639"/>
      <c r="C108" s="48" t="s">
        <v>60</v>
      </c>
      <c r="D108" s="95">
        <f>D107+1</f>
        <v>15</v>
      </c>
      <c r="E108" s="100" t="s">
        <v>34</v>
      </c>
      <c r="F108" s="97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5"/>
      <c r="Z108" s="33"/>
      <c r="AA108" s="33"/>
      <c r="AB108" s="33"/>
      <c r="AC108" s="33"/>
      <c r="AD108" s="33"/>
      <c r="AE108" s="33"/>
      <c r="AF108" s="42"/>
      <c r="AG108" s="33"/>
      <c r="AH108" s="33"/>
      <c r="AI108" s="33"/>
      <c r="AJ108" s="33"/>
      <c r="AK108" s="39"/>
      <c r="AL108" s="33"/>
      <c r="AM108" s="94" t="str">
        <f t="shared" si="25"/>
        <v/>
      </c>
      <c r="AN108" s="642"/>
      <c r="AO108" s="1">
        <f t="shared" si="26"/>
        <v>0</v>
      </c>
      <c r="AP108" s="1"/>
      <c r="AQ108" s="1"/>
      <c r="AT108" s="2"/>
      <c r="AV108" s="2"/>
    </row>
    <row r="109" spans="1:48" ht="25.35" customHeight="1">
      <c r="A109" s="639"/>
      <c r="B109" s="639"/>
      <c r="C109" s="48" t="s">
        <v>60</v>
      </c>
      <c r="D109" s="95">
        <f t="shared" si="27"/>
        <v>16</v>
      </c>
      <c r="E109" s="100" t="s">
        <v>23</v>
      </c>
      <c r="F109" s="102"/>
      <c r="G109" s="140"/>
      <c r="H109" s="33"/>
      <c r="I109" s="33"/>
      <c r="J109" s="140"/>
      <c r="K109" s="140"/>
      <c r="L109" s="33"/>
      <c r="M109" s="140"/>
      <c r="N109" s="140"/>
      <c r="O109" s="33"/>
      <c r="P109" s="140"/>
      <c r="Q109" s="140"/>
      <c r="R109" s="140"/>
      <c r="S109" s="140"/>
      <c r="T109" s="33"/>
      <c r="U109" s="140"/>
      <c r="V109" s="33"/>
      <c r="W109" s="140"/>
      <c r="X109" s="140"/>
      <c r="Y109" s="140"/>
      <c r="Z109" s="140"/>
      <c r="AA109" s="33"/>
      <c r="AB109" s="33"/>
      <c r="AC109" s="33"/>
      <c r="AD109" s="33"/>
      <c r="AE109" s="33"/>
      <c r="AF109" s="42"/>
      <c r="AG109" s="33"/>
      <c r="AH109" s="33"/>
      <c r="AI109" s="33"/>
      <c r="AJ109" s="33"/>
      <c r="AK109" s="39"/>
      <c r="AL109" s="33"/>
      <c r="AM109" s="94" t="str">
        <f t="shared" si="25"/>
        <v/>
      </c>
      <c r="AN109" s="642"/>
      <c r="AO109" s="1">
        <f t="shared" si="26"/>
        <v>0</v>
      </c>
      <c r="AP109" s="1"/>
      <c r="AQ109" s="1"/>
      <c r="AT109" s="2"/>
      <c r="AV109" s="2"/>
    </row>
    <row r="110" spans="1:48" ht="25.35" customHeight="1">
      <c r="A110" s="639"/>
      <c r="B110" s="639"/>
      <c r="C110" s="48" t="s">
        <v>60</v>
      </c>
      <c r="D110" s="95">
        <f t="shared" si="27"/>
        <v>17</v>
      </c>
      <c r="E110" s="100" t="s">
        <v>44</v>
      </c>
      <c r="F110" s="102"/>
      <c r="G110" s="33"/>
      <c r="H110" s="33"/>
      <c r="I110" s="33"/>
      <c r="J110" s="140"/>
      <c r="K110" s="140"/>
      <c r="L110" s="33"/>
      <c r="M110" s="140"/>
      <c r="N110" s="140"/>
      <c r="O110" s="33"/>
      <c r="P110" s="140"/>
      <c r="Q110" s="140"/>
      <c r="R110" s="140"/>
      <c r="S110" s="140"/>
      <c r="T110" s="33"/>
      <c r="U110" s="140"/>
      <c r="V110" s="33"/>
      <c r="W110" s="140"/>
      <c r="X110" s="140"/>
      <c r="Y110" s="140"/>
      <c r="Z110" s="140"/>
      <c r="AA110" s="33"/>
      <c r="AB110" s="33"/>
      <c r="AC110" s="42"/>
      <c r="AD110" s="33"/>
      <c r="AE110" s="33"/>
      <c r="AF110" s="42"/>
      <c r="AG110" s="42"/>
      <c r="AH110" s="33"/>
      <c r="AI110" s="33"/>
      <c r="AJ110" s="33"/>
      <c r="AK110" s="39"/>
      <c r="AL110" s="33"/>
      <c r="AM110" s="94" t="str">
        <f t="shared" si="25"/>
        <v/>
      </c>
      <c r="AN110" s="642"/>
      <c r="AO110" s="1">
        <f t="shared" si="26"/>
        <v>0</v>
      </c>
      <c r="AP110" s="1"/>
      <c r="AQ110" s="1"/>
      <c r="AT110" s="2"/>
      <c r="AV110" s="2"/>
    </row>
    <row r="111" spans="1:48" ht="25.35" customHeight="1">
      <c r="A111" s="639"/>
      <c r="B111" s="639"/>
      <c r="C111" s="48" t="s">
        <v>60</v>
      </c>
      <c r="D111" s="95">
        <f t="shared" si="27"/>
        <v>18</v>
      </c>
      <c r="E111" s="96" t="s">
        <v>47</v>
      </c>
      <c r="F111" s="101"/>
      <c r="G111" s="33"/>
      <c r="H111" s="33"/>
      <c r="I111" s="33"/>
      <c r="J111" s="33"/>
      <c r="K111" s="33"/>
      <c r="L111" s="33"/>
      <c r="M111" s="140"/>
      <c r="N111" s="140"/>
      <c r="O111" s="33"/>
      <c r="P111" s="140"/>
      <c r="Q111" s="140"/>
      <c r="R111" s="140"/>
      <c r="S111" s="140"/>
      <c r="T111" s="33"/>
      <c r="U111" s="140"/>
      <c r="V111" s="33"/>
      <c r="W111" s="140"/>
      <c r="X111" s="140"/>
      <c r="Y111" s="140"/>
      <c r="Z111" s="140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9"/>
      <c r="AL111" s="33"/>
      <c r="AM111" s="94" t="str">
        <f t="shared" si="25"/>
        <v/>
      </c>
      <c r="AN111" s="642"/>
      <c r="AO111" s="1">
        <f t="shared" si="26"/>
        <v>0</v>
      </c>
      <c r="AP111" s="1"/>
      <c r="AQ111" s="1"/>
      <c r="AT111" s="2"/>
      <c r="AV111" s="2"/>
    </row>
    <row r="112" spans="1:48" ht="25.35" customHeight="1">
      <c r="A112" s="639"/>
      <c r="B112" s="639"/>
      <c r="C112" s="48" t="s">
        <v>60</v>
      </c>
      <c r="D112" s="95">
        <f t="shared" si="27"/>
        <v>19</v>
      </c>
      <c r="E112" s="100" t="s">
        <v>161</v>
      </c>
      <c r="F112" s="97"/>
      <c r="G112" s="33"/>
      <c r="H112" s="33"/>
      <c r="I112" s="33"/>
      <c r="J112" s="35"/>
      <c r="K112" s="35"/>
      <c r="L112" s="33"/>
      <c r="M112" s="33"/>
      <c r="N112" s="33"/>
      <c r="O112" s="33"/>
      <c r="P112" s="140"/>
      <c r="Q112" s="140"/>
      <c r="R112" s="140"/>
      <c r="S112" s="140"/>
      <c r="T112" s="33"/>
      <c r="U112" s="140"/>
      <c r="V112" s="33"/>
      <c r="W112" s="140"/>
      <c r="X112" s="140"/>
      <c r="Y112" s="140"/>
      <c r="Z112" s="140"/>
      <c r="AA112" s="140"/>
      <c r="AB112" s="140"/>
      <c r="AC112" s="33"/>
      <c r="AD112" s="33"/>
      <c r="AE112" s="33"/>
      <c r="AF112" s="42"/>
      <c r="AG112" s="33"/>
      <c r="AH112" s="33"/>
      <c r="AI112" s="33"/>
      <c r="AJ112" s="33"/>
      <c r="AK112" s="39"/>
      <c r="AL112" s="33"/>
      <c r="AM112" s="94" t="str">
        <f>IF((COUNTIF(E112:AJ112, "x")+COUNTIF(E112:AJ112, "1")+COUNTIF(E112:AJ112, "2")+COUNTIF(E112:AJ112, "3"))=0, "", (COUNTIF(E112:AJ112, "1")+COUNTIF(E112:AJ112, "2")+COUNTIF(E112:AJ112, "3"))/(COUNTIF(E112:AJ112, "x")+COUNTIF(E112:AJ112, "1")+COUNTIF(E112:AJ112, "2")+COUNTIF(E112:AJ112, "3")))</f>
        <v/>
      </c>
      <c r="AN112" s="642"/>
      <c r="AO112" s="1">
        <f>COUNTIF(E112:AJ112, 1)+COUNTIF(E112:AJ112, 2)+COUNTIF(E112:AJ112,3)</f>
        <v>0</v>
      </c>
      <c r="AP112" s="1"/>
      <c r="AQ112" s="1"/>
      <c r="AT112" s="2"/>
      <c r="AV112" s="2"/>
    </row>
    <row r="113" spans="1:49" ht="25.35" customHeight="1">
      <c r="A113" s="639"/>
      <c r="B113" s="639"/>
      <c r="C113" s="48" t="s">
        <v>60</v>
      </c>
      <c r="D113" s="95">
        <f t="shared" si="27"/>
        <v>20</v>
      </c>
      <c r="E113" s="96" t="s">
        <v>50</v>
      </c>
      <c r="F113" s="10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5"/>
      <c r="Z113" s="33"/>
      <c r="AA113" s="33"/>
      <c r="AB113" s="33"/>
      <c r="AC113" s="42"/>
      <c r="AD113" s="33"/>
      <c r="AE113" s="33"/>
      <c r="AF113" s="42"/>
      <c r="AG113" s="42"/>
      <c r="AH113" s="33"/>
      <c r="AI113" s="33"/>
      <c r="AJ113" s="33"/>
      <c r="AK113" s="39"/>
      <c r="AL113" s="33"/>
      <c r="AM113" s="94" t="str">
        <f t="shared" si="25"/>
        <v/>
      </c>
      <c r="AN113" s="642"/>
      <c r="AO113" s="1">
        <f t="shared" si="26"/>
        <v>0</v>
      </c>
      <c r="AP113" s="1"/>
      <c r="AQ113" s="1"/>
      <c r="AT113" s="2"/>
      <c r="AV113" s="2"/>
    </row>
    <row r="114" spans="1:49" ht="25.35" customHeight="1">
      <c r="A114" s="639"/>
      <c r="B114" s="639"/>
      <c r="C114" s="48" t="s">
        <v>60</v>
      </c>
      <c r="D114" s="95">
        <f t="shared" si="27"/>
        <v>21</v>
      </c>
      <c r="E114" s="96" t="s">
        <v>126</v>
      </c>
      <c r="F114" s="103"/>
      <c r="G114" s="33"/>
      <c r="H114" s="33"/>
      <c r="I114" s="33"/>
      <c r="J114" s="140"/>
      <c r="K114" s="140"/>
      <c r="L114" s="33"/>
      <c r="M114" s="140"/>
      <c r="N114" s="140"/>
      <c r="O114" s="33"/>
      <c r="P114" s="33"/>
      <c r="Q114" s="33"/>
      <c r="R114" s="33"/>
      <c r="S114" s="33"/>
      <c r="T114" s="33"/>
      <c r="U114" s="140"/>
      <c r="V114" s="33"/>
      <c r="W114" s="33"/>
      <c r="X114" s="33"/>
      <c r="Y114" s="35"/>
      <c r="Z114" s="35"/>
      <c r="AA114" s="33"/>
      <c r="AB114" s="33"/>
      <c r="AC114" s="33"/>
      <c r="AD114" s="33"/>
      <c r="AE114" s="33"/>
      <c r="AF114" s="42"/>
      <c r="AG114" s="33"/>
      <c r="AH114" s="33"/>
      <c r="AI114" s="33"/>
      <c r="AJ114" s="33"/>
      <c r="AK114" s="39"/>
      <c r="AL114" s="33"/>
      <c r="AM114" s="94" t="str">
        <f t="shared" si="25"/>
        <v/>
      </c>
      <c r="AN114" s="642"/>
      <c r="AO114" s="1">
        <f t="shared" si="26"/>
        <v>0</v>
      </c>
      <c r="AP114" s="1"/>
      <c r="AQ114" s="1"/>
      <c r="AT114" s="2"/>
      <c r="AV114" s="2"/>
    </row>
    <row r="115" spans="1:49" ht="25.35" customHeight="1">
      <c r="A115" s="639"/>
      <c r="B115" s="639"/>
      <c r="C115" s="48" t="s">
        <v>60</v>
      </c>
      <c r="D115" s="95">
        <f t="shared" si="27"/>
        <v>22</v>
      </c>
      <c r="E115" s="96" t="s">
        <v>129</v>
      </c>
      <c r="F115" s="103"/>
      <c r="G115" s="33"/>
      <c r="H115" s="33"/>
      <c r="I115" s="33"/>
      <c r="J115" s="33"/>
      <c r="K115" s="33"/>
      <c r="L115" s="33"/>
      <c r="M115" s="33"/>
      <c r="N115" s="33"/>
      <c r="O115" s="33"/>
      <c r="P115" s="140"/>
      <c r="Q115" s="140"/>
      <c r="R115" s="140"/>
      <c r="S115" s="140"/>
      <c r="T115" s="33"/>
      <c r="U115" s="140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42"/>
      <c r="AG115" s="33"/>
      <c r="AH115" s="33"/>
      <c r="AI115" s="33"/>
      <c r="AJ115" s="33"/>
      <c r="AK115" s="39"/>
      <c r="AL115" s="33"/>
      <c r="AM115" s="94" t="str">
        <f t="shared" si="25"/>
        <v/>
      </c>
      <c r="AN115" s="642"/>
      <c r="AO115" s="1">
        <f t="shared" si="26"/>
        <v>0</v>
      </c>
      <c r="AP115" s="1"/>
      <c r="AQ115" s="1"/>
      <c r="AT115" s="2"/>
      <c r="AV115" s="2"/>
    </row>
    <row r="116" spans="1:49" ht="25.35" customHeight="1" thickBot="1">
      <c r="A116" s="639"/>
      <c r="B116" s="639"/>
      <c r="C116" s="48" t="s">
        <v>60</v>
      </c>
      <c r="D116" s="95">
        <f t="shared" si="27"/>
        <v>23</v>
      </c>
      <c r="E116" s="137"/>
      <c r="F116" s="138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42"/>
      <c r="AD116" s="33"/>
      <c r="AE116" s="33"/>
      <c r="AF116" s="42"/>
      <c r="AG116" s="42"/>
      <c r="AH116" s="33"/>
      <c r="AI116" s="33"/>
      <c r="AJ116" s="33"/>
      <c r="AK116" s="39"/>
      <c r="AL116" s="33"/>
      <c r="AM116" s="94" t="str">
        <f>IF((COUNTIF(G116:AJ116, "x")+COUNTIF(G116:AJ116, "1")+COUNTIF(G116:AJ116, "2")+COUNTIF(G116:AJ116, "3"))=0, "", (COUNTIF(G116:AJ116, "1")+COUNTIF(G116:AJ116, "2")+COUNTIF(G116:AJ116, "3"))/(COUNTIF(G116:AJ116, "x")+COUNTIF(G116:AJ116, "1")+COUNTIF(G116:AJ116, "2")+COUNTIF(G116:AJ116, "3")))</f>
        <v/>
      </c>
      <c r="AN116" s="643"/>
      <c r="AO116" s="1">
        <f>COUNTIF(G116:AJ116, 1)+COUNTIF(G116:AJ116, 2)+COUNTIF(G116:AJ116,3)</f>
        <v>0</v>
      </c>
      <c r="AP116" s="1"/>
      <c r="AQ116" s="1"/>
      <c r="AT116" s="2"/>
      <c r="AV116" s="2"/>
    </row>
    <row r="117" spans="1:49" ht="25.35" customHeight="1">
      <c r="C117" s="51" t="s">
        <v>171</v>
      </c>
      <c r="D117" s="20"/>
      <c r="E117" s="20"/>
      <c r="F117" s="20"/>
      <c r="G117" s="2" t="s">
        <v>163</v>
      </c>
      <c r="H117" s="2" t="s">
        <v>163</v>
      </c>
      <c r="I117" s="2" t="s">
        <v>163</v>
      </c>
      <c r="J117" s="2" t="s">
        <v>163</v>
      </c>
      <c r="K117" s="2" t="s">
        <v>163</v>
      </c>
      <c r="L117" s="2" t="s">
        <v>163</v>
      </c>
      <c r="M117" s="2" t="s">
        <v>163</v>
      </c>
      <c r="N117" s="2" t="s">
        <v>163</v>
      </c>
      <c r="O117" s="2" t="s">
        <v>163</v>
      </c>
      <c r="P117" s="2" t="s">
        <v>163</v>
      </c>
      <c r="Q117" s="2" t="s">
        <v>163</v>
      </c>
      <c r="R117" s="2" t="s">
        <v>163</v>
      </c>
      <c r="S117" s="2" t="s">
        <v>163</v>
      </c>
      <c r="T117" s="2" t="s">
        <v>163</v>
      </c>
      <c r="U117" s="2" t="s">
        <v>163</v>
      </c>
      <c r="V117" s="2" t="s">
        <v>163</v>
      </c>
      <c r="W117" s="2" t="s">
        <v>163</v>
      </c>
      <c r="X117" s="2" t="s">
        <v>163</v>
      </c>
      <c r="Y117" s="2" t="s">
        <v>163</v>
      </c>
      <c r="Z117" s="2" t="s">
        <v>163</v>
      </c>
      <c r="AA117" s="2" t="s">
        <v>163</v>
      </c>
      <c r="AB117" s="2" t="s">
        <v>163</v>
      </c>
      <c r="AC117" s="2" t="s">
        <v>163</v>
      </c>
      <c r="AD117" s="2" t="s">
        <v>163</v>
      </c>
      <c r="AE117" s="2" t="s">
        <v>163</v>
      </c>
      <c r="AF117" s="2" t="s">
        <v>163</v>
      </c>
      <c r="AG117" s="2" t="s">
        <v>163</v>
      </c>
      <c r="AH117" s="2" t="s">
        <v>163</v>
      </c>
      <c r="AI117" s="2" t="s">
        <v>163</v>
      </c>
      <c r="AJ117" s="2" t="s">
        <v>163</v>
      </c>
      <c r="AK117" s="2" t="s">
        <v>163</v>
      </c>
      <c r="AT117" s="2"/>
      <c r="AV117" s="2"/>
    </row>
    <row r="118" spans="1:49" ht="25.35" customHeight="1">
      <c r="B118" s="2"/>
      <c r="C118" s="2"/>
      <c r="G118" s="2" t="s">
        <v>163</v>
      </c>
      <c r="H118" s="2" t="s">
        <v>163</v>
      </c>
      <c r="I118" s="2" t="s">
        <v>163</v>
      </c>
      <c r="J118" s="2" t="s">
        <v>163</v>
      </c>
      <c r="K118" s="2" t="s">
        <v>163</v>
      </c>
      <c r="L118" s="2" t="s">
        <v>163</v>
      </c>
      <c r="M118" s="2" t="s">
        <v>163</v>
      </c>
      <c r="N118" s="2" t="s">
        <v>163</v>
      </c>
      <c r="O118" s="2" t="s">
        <v>163</v>
      </c>
      <c r="P118" s="2" t="s">
        <v>163</v>
      </c>
      <c r="Q118" s="2" t="s">
        <v>163</v>
      </c>
      <c r="R118" s="2" t="s">
        <v>163</v>
      </c>
      <c r="S118" s="2" t="s">
        <v>163</v>
      </c>
      <c r="T118" s="2" t="s">
        <v>163</v>
      </c>
      <c r="U118" s="2" t="s">
        <v>163</v>
      </c>
      <c r="V118" s="2" t="s">
        <v>163</v>
      </c>
      <c r="W118" s="2" t="s">
        <v>163</v>
      </c>
      <c r="X118" s="2" t="s">
        <v>163</v>
      </c>
      <c r="Y118" s="26" t="s">
        <v>163</v>
      </c>
      <c r="Z118" s="25" t="s">
        <v>163</v>
      </c>
      <c r="AA118" s="2" t="s">
        <v>163</v>
      </c>
      <c r="AB118" s="2" t="s">
        <v>163</v>
      </c>
      <c r="AC118" s="2" t="s">
        <v>163</v>
      </c>
      <c r="AD118" s="2" t="s">
        <v>163</v>
      </c>
      <c r="AE118" s="2" t="s">
        <v>163</v>
      </c>
      <c r="AF118" s="2" t="s">
        <v>163</v>
      </c>
      <c r="AG118" s="2" t="s">
        <v>163</v>
      </c>
      <c r="AH118" s="2" t="s">
        <v>163</v>
      </c>
      <c r="AI118" s="2" t="s">
        <v>163</v>
      </c>
      <c r="AJ118" s="2" t="s">
        <v>163</v>
      </c>
      <c r="AK118" s="2" t="s">
        <v>163</v>
      </c>
      <c r="AT118" s="2"/>
      <c r="AV118" s="2"/>
    </row>
    <row r="119" spans="1:49" ht="25.35" customHeight="1">
      <c r="B119" s="2"/>
      <c r="C119" s="2"/>
      <c r="AT119" s="2"/>
      <c r="AV119" s="2"/>
    </row>
    <row r="120" spans="1:49" ht="25.35" customHeight="1">
      <c r="B120" s="2"/>
      <c r="C120" s="2"/>
      <c r="AT120" s="2"/>
      <c r="AV120" s="2"/>
    </row>
    <row r="121" spans="1:49" ht="25.35" customHeight="1">
      <c r="B121" s="2"/>
      <c r="C121" s="2"/>
      <c r="AT121" s="2"/>
      <c r="AV121" s="2"/>
    </row>
    <row r="122" spans="1:49" ht="25.35" customHeight="1">
      <c r="B122" s="2"/>
      <c r="C122" s="2"/>
      <c r="AT122" s="2"/>
      <c r="AV122" s="2"/>
    </row>
    <row r="123" spans="1:49" s="18" customFormat="1" ht="25.35" customHeight="1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S123" s="2"/>
      <c r="AT123" s="2"/>
      <c r="AU123" s="2"/>
      <c r="AV123" s="2"/>
      <c r="AW123" s="2"/>
    </row>
    <row r="124" spans="1:49" ht="25.35" customHeight="1">
      <c r="B124" s="2"/>
      <c r="C124" s="2"/>
      <c r="AT124" s="2"/>
      <c r="AV124" s="2"/>
    </row>
    <row r="125" spans="1:49" ht="25.35" customHeight="1">
      <c r="B125" s="2"/>
      <c r="C125" s="2"/>
      <c r="AT125" s="2"/>
      <c r="AV125" s="2"/>
    </row>
    <row r="126" spans="1:49" ht="25.35" customHeight="1">
      <c r="AT126" s="2"/>
      <c r="AV126" s="2"/>
    </row>
    <row r="127" spans="1:49" ht="25.35" customHeight="1">
      <c r="AT127" s="2"/>
      <c r="AV127" s="2"/>
    </row>
    <row r="128" spans="1:49" ht="25.35" customHeight="1">
      <c r="AT128" s="2"/>
      <c r="AV128" s="2"/>
    </row>
    <row r="129" spans="46:48" ht="25.35" customHeight="1">
      <c r="AT129" s="2"/>
      <c r="AV129" s="2"/>
    </row>
    <row r="130" spans="46:48" ht="25.35" customHeight="1">
      <c r="AT130" s="2"/>
      <c r="AV130" s="2"/>
    </row>
    <row r="131" spans="46:48" ht="25.35" customHeight="1">
      <c r="AT131" s="2"/>
      <c r="AV131" s="2"/>
    </row>
    <row r="132" spans="46:48" ht="25.35" customHeight="1">
      <c r="AT132" s="2"/>
      <c r="AV132" s="2"/>
    </row>
    <row r="133" spans="46:48" ht="25.35" customHeight="1">
      <c r="AT133" s="2"/>
      <c r="AV133" s="2"/>
    </row>
    <row r="134" spans="46:48" ht="25.35" customHeight="1">
      <c r="AT134" s="2"/>
      <c r="AV134" s="2"/>
    </row>
  </sheetData>
  <sheetProtection algorithmName="SHA-512" hashValue="E+61zd5fxZvesBQXOTfa7lOa7qU+Wgiv6LG80pm2i1ZTssUwGNkr9YM51oHX9LDRVuDrQ5cNknscDRHAZ/hEZA==" saltValue="UCR+ZWEhpU5qVJMW5j/3JA==" spinCount="100000" sheet="1" objects="1" scenarios="1"/>
  <mergeCells count="15">
    <mergeCell ref="D93:E93"/>
    <mergeCell ref="A94:B116"/>
    <mergeCell ref="AN94:AN116"/>
    <mergeCell ref="D38:E38"/>
    <mergeCell ref="A39:B60"/>
    <mergeCell ref="AN39:AN60"/>
    <mergeCell ref="D66:E66"/>
    <mergeCell ref="A67:B87"/>
    <mergeCell ref="AN67:AN87"/>
    <mergeCell ref="D2:E4"/>
    <mergeCell ref="G2:AK2"/>
    <mergeCell ref="AN3:AN4"/>
    <mergeCell ref="D10:E10"/>
    <mergeCell ref="A11:B33"/>
    <mergeCell ref="AN11:AN33"/>
  </mergeCells>
  <conditionalFormatting sqref="E72">
    <cfRule type="duplicateValues" dxfId="9975" priority="10678"/>
  </conditionalFormatting>
  <conditionalFormatting sqref="E72">
    <cfRule type="duplicateValues" dxfId="9974" priority="10679"/>
  </conditionalFormatting>
  <conditionalFormatting sqref="E72">
    <cfRule type="duplicateValues" dxfId="9973" priority="10680"/>
  </conditionalFormatting>
  <conditionalFormatting sqref="E73:E77">
    <cfRule type="duplicateValues" dxfId="9972" priority="10676"/>
  </conditionalFormatting>
  <conditionalFormatting sqref="E73:E77">
    <cfRule type="duplicateValues" dxfId="9971" priority="10677"/>
  </conditionalFormatting>
  <conditionalFormatting sqref="E73:E77">
    <cfRule type="duplicateValues" dxfId="9970" priority="10675"/>
  </conditionalFormatting>
  <conditionalFormatting sqref="E27:E28">
    <cfRule type="duplicateValues" dxfId="9969" priority="10672"/>
  </conditionalFormatting>
  <conditionalFormatting sqref="E27:E28">
    <cfRule type="duplicateValues" dxfId="9968" priority="10673"/>
  </conditionalFormatting>
  <conditionalFormatting sqref="E27:E28">
    <cfRule type="duplicateValues" dxfId="9967" priority="10674"/>
  </conditionalFormatting>
  <conditionalFormatting sqref="E45">
    <cfRule type="duplicateValues" dxfId="9966" priority="10671"/>
  </conditionalFormatting>
  <conditionalFormatting sqref="E49 E45 E47">
    <cfRule type="duplicateValues" dxfId="9965" priority="10668"/>
  </conditionalFormatting>
  <conditionalFormatting sqref="E49">
    <cfRule type="duplicateValues" dxfId="9964" priority="10669"/>
  </conditionalFormatting>
  <conditionalFormatting sqref="E49">
    <cfRule type="duplicateValues" dxfId="9963" priority="10670"/>
  </conditionalFormatting>
  <conditionalFormatting sqref="E48">
    <cfRule type="duplicateValues" dxfId="9962" priority="10666"/>
  </conditionalFormatting>
  <conditionalFormatting sqref="E48">
    <cfRule type="duplicateValues" dxfId="9961" priority="10667"/>
  </conditionalFormatting>
  <conditionalFormatting sqref="E48">
    <cfRule type="duplicateValues" dxfId="9960" priority="10665"/>
  </conditionalFormatting>
  <conditionalFormatting sqref="E54:E55">
    <cfRule type="duplicateValues" dxfId="9959" priority="10664"/>
  </conditionalFormatting>
  <conditionalFormatting sqref="E58">
    <cfRule type="duplicateValues" dxfId="9958" priority="10661"/>
  </conditionalFormatting>
  <conditionalFormatting sqref="E58">
    <cfRule type="duplicateValues" dxfId="9957" priority="10662"/>
  </conditionalFormatting>
  <conditionalFormatting sqref="E58">
    <cfRule type="duplicateValues" dxfId="9956" priority="10663"/>
  </conditionalFormatting>
  <conditionalFormatting sqref="E92 E94:E95">
    <cfRule type="duplicateValues" dxfId="9955" priority="10660"/>
  </conditionalFormatting>
  <conditionalFormatting sqref="E101">
    <cfRule type="duplicateValues" dxfId="9954" priority="10658"/>
  </conditionalFormatting>
  <conditionalFormatting sqref="E101">
    <cfRule type="duplicateValues" dxfId="9953" priority="10659"/>
  </conditionalFormatting>
  <conditionalFormatting sqref="E101">
    <cfRule type="duplicateValues" dxfId="9952" priority="10657"/>
  </conditionalFormatting>
  <conditionalFormatting sqref="E102">
    <cfRule type="duplicateValues" dxfId="9951" priority="10654"/>
  </conditionalFormatting>
  <conditionalFormatting sqref="E102">
    <cfRule type="duplicateValues" dxfId="9950" priority="10655"/>
  </conditionalFormatting>
  <conditionalFormatting sqref="E102">
    <cfRule type="duplicateValues" dxfId="9949" priority="10656"/>
  </conditionalFormatting>
  <conditionalFormatting sqref="AD83 W83:X83 AD78:AD80 AO6:AP6 D6:AI6 AD86:AD87 AF101:AG101 AF106 AF113:AF115 D117:F117 AF108:AF110 F2:G2 D2 E9:F9 AE94:AE100 AF71:AF87 AK37:AK38 AI45:AJ46 AI58:AJ58 AI56:AJ56 AI53:AJ54 AJ93:AK101 P68 W68 I67:K68 R67:R68 P71:P87 W84:W87 J71:K87 R71:R87 F10:AK10 G66:AK66 AI48:AJ50 AO17:AQ23 AO9:AP16 AQ13:AQ15 AB93:AB111 AJ102:AJ115 AH94:AI115 AA94:AA111 Y118:Z118 AI47 AF94:AG98 G38:AJ38 AO27:AQ33 AM2:AN5 AM34:AQ34 AF116:AJ116 D94:D116 D7:D33 AO35:AQ58 AO71:AQ116 W71:W82 S80:V80 S82:V82 S86:V86 AA113:AB116 AH54 AA53:AE55 AF102 AG104 AG107 AG110 AG113 AD94:AD101 G93:AA93 AC93:AI93 G99:K101 G103:K106 G102:L102 AO60:AQ69 D39:D60 F3:AL4">
    <cfRule type="containsText" dxfId="9948" priority="10651" operator="containsText" text="FAT">
      <formula>NOT(ISERROR(SEARCH("FAT",D2)))</formula>
    </cfRule>
    <cfRule type="containsText" dxfId="9947" priority="10652" operator="containsText" text="FIRE">
      <formula>NOT(ISERROR(SEARCH("FIRE",D2)))</formula>
    </cfRule>
    <cfRule type="containsText" dxfId="9946" priority="10653" operator="containsText" text="COSH">
      <formula>NOT(ISERROR(SEARCH("COSH",D2)))</formula>
    </cfRule>
  </conditionalFormatting>
  <conditionalFormatting sqref="D35:E36 D34:F34 D37 G35:AK35">
    <cfRule type="containsText" dxfId="9945" priority="10648" operator="containsText" text="FAT">
      <formula>NOT(ISERROR(SEARCH("FAT",D34)))</formula>
    </cfRule>
    <cfRule type="containsText" dxfId="9944" priority="10649" operator="containsText" text="FIRE">
      <formula>NOT(ISERROR(SEARCH("FIRE",D34)))</formula>
    </cfRule>
    <cfRule type="containsText" dxfId="9943" priority="10650" operator="containsText" text="COSH">
      <formula>NOT(ISERROR(SEARCH("COSH",D34)))</formula>
    </cfRule>
  </conditionalFormatting>
  <conditionalFormatting sqref="E89 K89:AI89 G89:I89 G90:AI90 AJ89:AK90">
    <cfRule type="containsText" dxfId="9942" priority="10645" operator="containsText" text="FAT">
      <formula>NOT(ISERROR(SEARCH("FAT",E89)))</formula>
    </cfRule>
    <cfRule type="containsText" dxfId="9941" priority="10646" operator="containsText" text="FIRE">
      <formula>NOT(ISERROR(SEARCH("FIRE",E89)))</formula>
    </cfRule>
    <cfRule type="containsText" dxfId="9940" priority="10647" operator="containsText" text="COSH">
      <formula>NOT(ISERROR(SEARCH("COSH",E89)))</formula>
    </cfRule>
  </conditionalFormatting>
  <conditionalFormatting sqref="D64:D65 D62:AK63">
    <cfRule type="containsText" dxfId="9939" priority="10642" operator="containsText" text="FAT">
      <formula>NOT(ISERROR(SEARCH("FAT",D62)))</formula>
    </cfRule>
    <cfRule type="containsText" dxfId="9938" priority="10643" operator="containsText" text="FIRE">
      <formula>NOT(ISERROR(SEARCH("FIRE",D62)))</formula>
    </cfRule>
    <cfRule type="containsText" dxfId="9937" priority="10644" operator="containsText" text="COSH">
      <formula>NOT(ISERROR(SEARCH("COSH",D62)))</formula>
    </cfRule>
  </conditionalFormatting>
  <conditionalFormatting sqref="AN62">
    <cfRule type="containsText" dxfId="9936" priority="10639" operator="containsText" text="FAT">
      <formula>NOT(ISERROR(SEARCH("FAT",AN62)))</formula>
    </cfRule>
    <cfRule type="containsText" dxfId="9935" priority="10640" operator="containsText" text="FIRE">
      <formula>NOT(ISERROR(SEARCH("FIRE",AN62)))</formula>
    </cfRule>
    <cfRule type="containsText" dxfId="9934" priority="10641" operator="containsText" text="COSH">
      <formula>NOT(ISERROR(SEARCH("COSH",AN62)))</formula>
    </cfRule>
  </conditionalFormatting>
  <conditionalFormatting sqref="AM35:AM38 AM6:AM10 AM62:AM64 AM89:AM93">
    <cfRule type="containsText" dxfId="9933" priority="10684" operator="containsText" text="FAT">
      <formula>NOT(ISERROR(SEARCH("FAT",#REF!)))</formula>
    </cfRule>
    <cfRule type="containsText" dxfId="9932" priority="10685" operator="containsText" text="FIRE">
      <formula>NOT(ISERROR(SEARCH("FIRE",#REF!)))</formula>
    </cfRule>
    <cfRule type="containsText" dxfId="9931" priority="10686" operator="containsText" text="COSH">
      <formula>NOT(ISERROR(SEARCH("COSH",#REF!)))</formula>
    </cfRule>
  </conditionalFormatting>
  <conditionalFormatting sqref="F105 F56:F58 F86:F87 F72:F75 E78:F82 E84:F85 F83 E86">
    <cfRule type="containsText" dxfId="9930" priority="10681" operator="containsText" text="FAT">
      <formula>NOT(ISERROR(SEARCH("FAT",#REF!)))</formula>
    </cfRule>
    <cfRule type="containsText" dxfId="9929" priority="10682" operator="containsText" text="FIRE">
      <formula>NOT(ISERROR(SEARCH("FIRE",#REF!)))</formula>
    </cfRule>
    <cfRule type="containsText" dxfId="9928" priority="10683" operator="containsText" text="COSH">
      <formula>NOT(ISERROR(SEARCH("COSH",#REF!)))</formula>
    </cfRule>
  </conditionalFormatting>
  <conditionalFormatting sqref="F23 F72 F27:F30 E73:F77">
    <cfRule type="containsText" dxfId="9927" priority="10687" operator="containsText" text="FAT">
      <formula>NOT(ISERROR(SEARCH("FAT",#REF!)))</formula>
    </cfRule>
    <cfRule type="containsText" dxfId="9926" priority="10688" operator="containsText" text="FIRE">
      <formula>NOT(ISERROR(SEARCH("FIRE",#REF!)))</formula>
    </cfRule>
    <cfRule type="containsText" dxfId="9925" priority="10689" operator="containsText" text="COSH">
      <formula>NOT(ISERROR(SEARCH("COSH",#REF!)))</formula>
    </cfRule>
  </conditionalFormatting>
  <conditionalFormatting sqref="E11 F15">
    <cfRule type="containsText" dxfId="9924" priority="10636" operator="containsText" text="FAT">
      <formula>NOT(ISERROR(SEARCH("FAT",#REF!)))</formula>
    </cfRule>
    <cfRule type="containsText" dxfId="9923" priority="10637" operator="containsText" text="FIRE">
      <formula>NOT(ISERROR(SEARCH("FIRE",#REF!)))</formula>
    </cfRule>
    <cfRule type="containsText" dxfId="9922" priority="10638" operator="containsText" text="COSH">
      <formula>NOT(ISERROR(SEARCH("COSH",#REF!)))</formula>
    </cfRule>
  </conditionalFormatting>
  <conditionalFormatting sqref="J71:J76">
    <cfRule type="containsText" dxfId="9921" priority="10633" operator="containsText" text="FAT">
      <formula>NOT(ISERROR(SEARCH("FAT",J71)))</formula>
    </cfRule>
    <cfRule type="containsText" dxfId="9920" priority="10634" operator="containsText" text="FIRE">
      <formula>NOT(ISERROR(SEARCH("FIRE",J71)))</formula>
    </cfRule>
    <cfRule type="containsText" dxfId="9919" priority="10635" operator="containsText" text="COSH">
      <formula>NOT(ISERROR(SEARCH("COSH",J71)))</formula>
    </cfRule>
  </conditionalFormatting>
  <conditionalFormatting sqref="AD68">
    <cfRule type="containsText" dxfId="9918" priority="10630" operator="containsText" text="FAT">
      <formula>NOT(ISERROR(SEARCH("FAT",AD68)))</formula>
    </cfRule>
    <cfRule type="containsText" dxfId="9917" priority="10631" operator="containsText" text="FIRE">
      <formula>NOT(ISERROR(SEARCH("FIRE",AD68)))</formula>
    </cfRule>
    <cfRule type="containsText" dxfId="9916" priority="10632" operator="containsText" text="COSH">
      <formula>NOT(ISERROR(SEARCH("COSH",AD68)))</formula>
    </cfRule>
  </conditionalFormatting>
  <conditionalFormatting sqref="AD72:AD76">
    <cfRule type="containsText" dxfId="9915" priority="10627" operator="containsText" text="FAT">
      <formula>NOT(ISERROR(SEARCH("FAT",AD72)))</formula>
    </cfRule>
    <cfRule type="containsText" dxfId="9914" priority="10628" operator="containsText" text="FIRE">
      <formula>NOT(ISERROR(SEARCH("FIRE",AD72)))</formula>
    </cfRule>
    <cfRule type="containsText" dxfId="9913" priority="10629" operator="containsText" text="COSH">
      <formula>NOT(ISERROR(SEARCH("COSH",AD72)))</formula>
    </cfRule>
  </conditionalFormatting>
  <conditionalFormatting sqref="AD81 K81 W81">
    <cfRule type="containsText" dxfId="9912" priority="10624" operator="containsText" text="FAT">
      <formula>NOT(ISERROR(SEARCH("FAT",K81)))</formula>
    </cfRule>
    <cfRule type="containsText" dxfId="9911" priority="10625" operator="containsText" text="FIRE">
      <formula>NOT(ISERROR(SEARCH("FIRE",K81)))</formula>
    </cfRule>
    <cfRule type="containsText" dxfId="9910" priority="10626" operator="containsText" text="COSH">
      <formula>NOT(ISERROR(SEARCH("COSH",K81)))</formula>
    </cfRule>
  </conditionalFormatting>
  <conditionalFormatting sqref="G34:K34">
    <cfRule type="containsText" dxfId="9909" priority="10621" operator="containsText" text="FAT">
      <formula>NOT(ISERROR(SEARCH("FAT",G34)))</formula>
    </cfRule>
    <cfRule type="containsText" dxfId="9908" priority="10622" operator="containsText" text="FIRE">
      <formula>NOT(ISERROR(SEARCH("FIRE",G34)))</formula>
    </cfRule>
    <cfRule type="containsText" dxfId="9907" priority="10623" operator="containsText" text="COSH">
      <formula>NOT(ISERROR(SEARCH("COSH",G34)))</formula>
    </cfRule>
  </conditionalFormatting>
  <conditionalFormatting sqref="D61:F61">
    <cfRule type="containsText" dxfId="9906" priority="10618" operator="containsText" text="FAT">
      <formula>NOT(ISERROR(SEARCH("FAT",D61)))</formula>
    </cfRule>
    <cfRule type="containsText" dxfId="9905" priority="10619" operator="containsText" text="FIRE">
      <formula>NOT(ISERROR(SEARCH("FIRE",D61)))</formula>
    </cfRule>
    <cfRule type="containsText" dxfId="9904" priority="10620" operator="containsText" text="COSH">
      <formula>NOT(ISERROR(SEARCH("COSH",D61)))</formula>
    </cfRule>
  </conditionalFormatting>
  <conditionalFormatting sqref="G61:AJ61">
    <cfRule type="containsText" dxfId="9903" priority="10615" operator="containsText" text="FAT">
      <formula>NOT(ISERROR(SEARCH("FAT",G61)))</formula>
    </cfRule>
    <cfRule type="containsText" dxfId="9902" priority="10616" operator="containsText" text="FIRE">
      <formula>NOT(ISERROR(SEARCH("FIRE",G61)))</formula>
    </cfRule>
    <cfRule type="containsText" dxfId="9901" priority="10617" operator="containsText" text="COSH">
      <formula>NOT(ISERROR(SEARCH("COSH",G61)))</formula>
    </cfRule>
  </conditionalFormatting>
  <conditionalFormatting sqref="E15">
    <cfRule type="duplicateValues" dxfId="9900" priority="10612"/>
  </conditionalFormatting>
  <conditionalFormatting sqref="E15">
    <cfRule type="duplicateValues" dxfId="9899" priority="10613"/>
  </conditionalFormatting>
  <conditionalFormatting sqref="E15">
    <cfRule type="duplicateValues" dxfId="9898" priority="10614"/>
  </conditionalFormatting>
  <conditionalFormatting sqref="E27">
    <cfRule type="duplicateValues" dxfId="9897" priority="10609"/>
  </conditionalFormatting>
  <conditionalFormatting sqref="E27">
    <cfRule type="duplicateValues" dxfId="9896" priority="10610"/>
  </conditionalFormatting>
  <conditionalFormatting sqref="E27">
    <cfRule type="duplicateValues" dxfId="9895" priority="10611"/>
  </conditionalFormatting>
  <conditionalFormatting sqref="E50">
    <cfRule type="duplicateValues" dxfId="9894" priority="10606"/>
  </conditionalFormatting>
  <conditionalFormatting sqref="E50">
    <cfRule type="duplicateValues" dxfId="9893" priority="10607"/>
  </conditionalFormatting>
  <conditionalFormatting sqref="E50">
    <cfRule type="duplicateValues" dxfId="9892" priority="10608"/>
  </conditionalFormatting>
  <conditionalFormatting sqref="E47">
    <cfRule type="duplicateValues" dxfId="9891" priority="10604"/>
  </conditionalFormatting>
  <conditionalFormatting sqref="E47">
    <cfRule type="duplicateValues" dxfId="9890" priority="10605"/>
  </conditionalFormatting>
  <conditionalFormatting sqref="E47">
    <cfRule type="duplicateValues" dxfId="9889" priority="10603"/>
  </conditionalFormatting>
  <conditionalFormatting sqref="E72">
    <cfRule type="duplicateValues" dxfId="9888" priority="10601"/>
  </conditionalFormatting>
  <conditionalFormatting sqref="E72">
    <cfRule type="duplicateValues" dxfId="9887" priority="10602"/>
  </conditionalFormatting>
  <conditionalFormatting sqref="E72">
    <cfRule type="duplicateValues" dxfId="9886" priority="10600"/>
  </conditionalFormatting>
  <conditionalFormatting sqref="F68">
    <cfRule type="containsText" dxfId="9885" priority="10597" operator="containsText" text="FAT">
      <formula>NOT(ISERROR(SEARCH("FAT",#REF!)))</formula>
    </cfRule>
    <cfRule type="containsText" dxfId="9884" priority="10598" operator="containsText" text="FIRE">
      <formula>NOT(ISERROR(SEARCH("FIRE",#REF!)))</formula>
    </cfRule>
    <cfRule type="containsText" dxfId="9883" priority="10599" operator="containsText" text="COSH">
      <formula>NOT(ISERROR(SEARCH("COSH",#REF!)))</formula>
    </cfRule>
  </conditionalFormatting>
  <conditionalFormatting sqref="E107">
    <cfRule type="duplicateValues" dxfId="9882" priority="10690"/>
  </conditionalFormatting>
  <conditionalFormatting sqref="G66:AK66">
    <cfRule type="containsText" dxfId="9881" priority="10594" operator="containsText" text="FAT">
      <formula>NOT(ISERROR(SEARCH("FAT",G66)))</formula>
    </cfRule>
    <cfRule type="containsText" dxfId="9880" priority="10595" operator="containsText" text="FIRE">
      <formula>NOT(ISERROR(SEARCH("FIRE",G66)))</formula>
    </cfRule>
    <cfRule type="containsText" dxfId="9879" priority="10596" operator="containsText" text="COSH">
      <formula>NOT(ISERROR(SEARCH("COSH",G66)))</formula>
    </cfRule>
  </conditionalFormatting>
  <conditionalFormatting sqref="E37 F38">
    <cfRule type="containsText" dxfId="9878" priority="10591" operator="containsText" text="FAT">
      <formula>NOT(ISERROR(SEARCH("FAT",E37)))</formula>
    </cfRule>
    <cfRule type="containsText" dxfId="9877" priority="10592" operator="containsText" text="FIRE">
      <formula>NOT(ISERROR(SEARCH("FIRE",E37)))</formula>
    </cfRule>
    <cfRule type="containsText" dxfId="9876" priority="10593" operator="containsText" text="COSH">
      <formula>NOT(ISERROR(SEARCH("COSH",E37)))</formula>
    </cfRule>
  </conditionalFormatting>
  <conditionalFormatting sqref="E90:E91">
    <cfRule type="containsText" dxfId="9875" priority="10588" operator="containsText" text="FAT">
      <formula>NOT(ISERROR(SEARCH("FAT",E90)))</formula>
    </cfRule>
    <cfRule type="containsText" dxfId="9874" priority="10589" operator="containsText" text="FIRE">
      <formula>NOT(ISERROR(SEARCH("FIRE",E90)))</formula>
    </cfRule>
    <cfRule type="containsText" dxfId="9873" priority="10590" operator="containsText" text="COSH">
      <formula>NOT(ISERROR(SEARCH("COSH",E90)))</formula>
    </cfRule>
  </conditionalFormatting>
  <conditionalFormatting sqref="E65">
    <cfRule type="duplicateValues" dxfId="9872" priority="10585"/>
  </conditionalFormatting>
  <conditionalFormatting sqref="E65">
    <cfRule type="duplicateValues" dxfId="9871" priority="10586"/>
  </conditionalFormatting>
  <conditionalFormatting sqref="E65">
    <cfRule type="duplicateValues" dxfId="9870" priority="10587"/>
  </conditionalFormatting>
  <conditionalFormatting sqref="J79 J81:J82">
    <cfRule type="containsText" dxfId="9869" priority="10582" operator="containsText" text="FAT">
      <formula>NOT(ISERROR(SEARCH("FAT",J79)))</formula>
    </cfRule>
    <cfRule type="containsText" dxfId="9868" priority="10583" operator="containsText" text="FIRE">
      <formula>NOT(ISERROR(SEARCH("FIRE",J79)))</formula>
    </cfRule>
    <cfRule type="containsText" dxfId="9867" priority="10584" operator="containsText" text="COSH">
      <formula>NOT(ISERROR(SEARCH("COSH",J79)))</formula>
    </cfRule>
  </conditionalFormatting>
  <conditionalFormatting sqref="J78:J79 J81:J82">
    <cfRule type="containsText" dxfId="9866" priority="10579" operator="containsText" text="FAT">
      <formula>NOT(ISERROR(SEARCH("FAT",J78)))</formula>
    </cfRule>
    <cfRule type="containsText" dxfId="9865" priority="10580" operator="containsText" text="FIRE">
      <formula>NOT(ISERROR(SEARCH("FIRE",J78)))</formula>
    </cfRule>
    <cfRule type="containsText" dxfId="9864" priority="10581" operator="containsText" text="COSH">
      <formula>NOT(ISERROR(SEARCH("COSH",J78)))</formula>
    </cfRule>
  </conditionalFormatting>
  <conditionalFormatting sqref="E21:E22 E19">
    <cfRule type="duplicateValues" dxfId="9863" priority="10691"/>
  </conditionalFormatting>
  <conditionalFormatting sqref="Q68:Q87 R86:T86 R82:T82">
    <cfRule type="containsText" dxfId="9862" priority="10576" operator="containsText" text="FAT">
      <formula>NOT(ISERROR(SEARCH("FAT",Q68)))</formula>
    </cfRule>
    <cfRule type="containsText" dxfId="9861" priority="10577" operator="containsText" text="FIRE">
      <formula>NOT(ISERROR(SEARCH("FIRE",Q68)))</formula>
    </cfRule>
    <cfRule type="containsText" dxfId="9860" priority="10578" operator="containsText" text="COSH">
      <formula>NOT(ISERROR(SEARCH("COSH",Q68)))</formula>
    </cfRule>
  </conditionalFormatting>
  <conditionalFormatting sqref="Q66">
    <cfRule type="containsText" dxfId="9859" priority="10573" operator="containsText" text="FAT">
      <formula>NOT(ISERROR(SEARCH("FAT",Q66)))</formula>
    </cfRule>
    <cfRule type="containsText" dxfId="9858" priority="10574" operator="containsText" text="FIRE">
      <formula>NOT(ISERROR(SEARCH("FIRE",Q66)))</formula>
    </cfRule>
    <cfRule type="containsText" dxfId="9857" priority="10575" operator="containsText" text="COSH">
      <formula>NOT(ISERROR(SEARCH("COSH",Q66)))</formula>
    </cfRule>
  </conditionalFormatting>
  <conditionalFormatting sqref="X71:X77 X68">
    <cfRule type="containsText" dxfId="9856" priority="10570" operator="containsText" text="FAT">
      <formula>NOT(ISERROR(SEARCH("FAT",X68)))</formula>
    </cfRule>
    <cfRule type="containsText" dxfId="9855" priority="10571" operator="containsText" text="FIRE">
      <formula>NOT(ISERROR(SEARCH("FIRE",X68)))</formula>
    </cfRule>
    <cfRule type="containsText" dxfId="9854" priority="10572" operator="containsText" text="COSH">
      <formula>NOT(ISERROR(SEARCH("COSH",X68)))</formula>
    </cfRule>
  </conditionalFormatting>
  <conditionalFormatting sqref="X71:X76">
    <cfRule type="containsText" dxfId="9853" priority="10567" operator="containsText" text="FAT">
      <formula>NOT(ISERROR(SEARCH("FAT",X71)))</formula>
    </cfRule>
    <cfRule type="containsText" dxfId="9852" priority="10568" operator="containsText" text="FIRE">
      <formula>NOT(ISERROR(SEARCH("FIRE",X71)))</formula>
    </cfRule>
    <cfRule type="containsText" dxfId="9851" priority="10569" operator="containsText" text="COSH">
      <formula>NOT(ISERROR(SEARCH("COSH",X71)))</formula>
    </cfRule>
  </conditionalFormatting>
  <conditionalFormatting sqref="X79 X81:X82">
    <cfRule type="containsText" dxfId="9850" priority="10564" operator="containsText" text="FAT">
      <formula>NOT(ISERROR(SEARCH("FAT",X79)))</formula>
    </cfRule>
    <cfRule type="containsText" dxfId="9849" priority="10565" operator="containsText" text="FIRE">
      <formula>NOT(ISERROR(SEARCH("FIRE",X79)))</formula>
    </cfRule>
    <cfRule type="containsText" dxfId="9848" priority="10566" operator="containsText" text="COSH">
      <formula>NOT(ISERROR(SEARCH("COSH",X79)))</formula>
    </cfRule>
  </conditionalFormatting>
  <conditionalFormatting sqref="X78:X79 X81:X82">
    <cfRule type="containsText" dxfId="9847" priority="10561" operator="containsText" text="FAT">
      <formula>NOT(ISERROR(SEARCH("FAT",X78)))</formula>
    </cfRule>
    <cfRule type="containsText" dxfId="9846" priority="10562" operator="containsText" text="FIRE">
      <formula>NOT(ISERROR(SEARCH("FIRE",X78)))</formula>
    </cfRule>
    <cfRule type="containsText" dxfId="9845" priority="10563" operator="containsText" text="COSH">
      <formula>NOT(ISERROR(SEARCH("COSH",X78)))</formula>
    </cfRule>
  </conditionalFormatting>
  <conditionalFormatting sqref="X84:X86">
    <cfRule type="containsText" dxfId="9844" priority="10558" operator="containsText" text="FAT">
      <formula>NOT(ISERROR(SEARCH("FAT",X84)))</formula>
    </cfRule>
    <cfRule type="containsText" dxfId="9843" priority="10559" operator="containsText" text="FIRE">
      <formula>NOT(ISERROR(SEARCH("FIRE",X84)))</formula>
    </cfRule>
    <cfRule type="containsText" dxfId="9842" priority="10560" operator="containsText" text="COSH">
      <formula>NOT(ISERROR(SEARCH("COSH",X84)))</formula>
    </cfRule>
  </conditionalFormatting>
  <conditionalFormatting sqref="X87">
    <cfRule type="containsText" dxfId="9841" priority="10555" operator="containsText" text="FAT">
      <formula>NOT(ISERROR(SEARCH("FAT",X87)))</formula>
    </cfRule>
    <cfRule type="containsText" dxfId="9840" priority="10556" operator="containsText" text="FIRE">
      <formula>NOT(ISERROR(SEARCH("FIRE",X87)))</formula>
    </cfRule>
    <cfRule type="containsText" dxfId="9839" priority="10557" operator="containsText" text="COSH">
      <formula>NOT(ISERROR(SEARCH("COSH",X87)))</formula>
    </cfRule>
  </conditionalFormatting>
  <conditionalFormatting sqref="E15">
    <cfRule type="duplicateValues" dxfId="9838" priority="10552"/>
  </conditionalFormatting>
  <conditionalFormatting sqref="E15">
    <cfRule type="duplicateValues" dxfId="9837" priority="10553"/>
  </conditionalFormatting>
  <conditionalFormatting sqref="E15">
    <cfRule type="duplicateValues" dxfId="9836" priority="10551"/>
  </conditionalFormatting>
  <conditionalFormatting sqref="E15">
    <cfRule type="duplicateValues" dxfId="9835" priority="10554"/>
  </conditionalFormatting>
  <conditionalFormatting sqref="E18">
    <cfRule type="duplicateValues" dxfId="9834" priority="10548"/>
  </conditionalFormatting>
  <conditionalFormatting sqref="E18">
    <cfRule type="duplicateValues" dxfId="9833" priority="10549"/>
  </conditionalFormatting>
  <conditionalFormatting sqref="E18">
    <cfRule type="duplicateValues" dxfId="9832" priority="10550"/>
  </conditionalFormatting>
  <conditionalFormatting sqref="E100">
    <cfRule type="duplicateValues" dxfId="9831" priority="10546"/>
  </conditionalFormatting>
  <conditionalFormatting sqref="E100">
    <cfRule type="duplicateValues" dxfId="9830" priority="10547"/>
  </conditionalFormatting>
  <conditionalFormatting sqref="H66">
    <cfRule type="containsText" dxfId="9829" priority="10543" operator="containsText" text="FAT">
      <formula>NOT(ISERROR(SEARCH("FAT",H66)))</formula>
    </cfRule>
    <cfRule type="containsText" dxfId="9828" priority="10544" operator="containsText" text="FIRE">
      <formula>NOT(ISERROR(SEARCH("FIRE",H66)))</formula>
    </cfRule>
    <cfRule type="containsText" dxfId="9827" priority="10545" operator="containsText" text="COSH">
      <formula>NOT(ISERROR(SEARCH("COSH",H66)))</formula>
    </cfRule>
  </conditionalFormatting>
  <conditionalFormatting sqref="O66">
    <cfRule type="containsText" dxfId="9826" priority="10540" operator="containsText" text="FAT">
      <formula>NOT(ISERROR(SEARCH("FAT",O66)))</formula>
    </cfRule>
    <cfRule type="containsText" dxfId="9825" priority="10541" operator="containsText" text="FIRE">
      <formula>NOT(ISERROR(SEARCH("FIRE",O66)))</formula>
    </cfRule>
    <cfRule type="containsText" dxfId="9824" priority="10542" operator="containsText" text="COSH">
      <formula>NOT(ISERROR(SEARCH("COSH",O66)))</formula>
    </cfRule>
  </conditionalFormatting>
  <conditionalFormatting sqref="U66">
    <cfRule type="containsText" dxfId="9823" priority="10537" operator="containsText" text="FAT">
      <formula>NOT(ISERROR(SEARCH("FAT",U66)))</formula>
    </cfRule>
    <cfRule type="containsText" dxfId="9822" priority="10538" operator="containsText" text="FIRE">
      <formula>NOT(ISERROR(SEARCH("FIRE",U66)))</formula>
    </cfRule>
    <cfRule type="containsText" dxfId="9821" priority="10539" operator="containsText" text="COSH">
      <formula>NOT(ISERROR(SEARCH("COSH",U66)))</formula>
    </cfRule>
  </conditionalFormatting>
  <conditionalFormatting sqref="AB66">
    <cfRule type="containsText" dxfId="9820" priority="10534" operator="containsText" text="FAT">
      <formula>NOT(ISERROR(SEARCH("FAT",AB66)))</formula>
    </cfRule>
    <cfRule type="containsText" dxfId="9819" priority="10535" operator="containsText" text="FIRE">
      <formula>NOT(ISERROR(SEARCH("FIRE",AB66)))</formula>
    </cfRule>
    <cfRule type="containsText" dxfId="9818" priority="10536" operator="containsText" text="COSH">
      <formula>NOT(ISERROR(SEARCH("COSH",AB66)))</formula>
    </cfRule>
  </conditionalFormatting>
  <conditionalFormatting sqref="AH66">
    <cfRule type="containsText" dxfId="9817" priority="10531" operator="containsText" text="FAT">
      <formula>NOT(ISERROR(SEARCH("FAT",AH66)))</formula>
    </cfRule>
    <cfRule type="containsText" dxfId="9816" priority="10532" operator="containsText" text="FIRE">
      <formula>NOT(ISERROR(SEARCH("FIRE",AH66)))</formula>
    </cfRule>
    <cfRule type="containsText" dxfId="9815" priority="10533" operator="containsText" text="COSH">
      <formula>NOT(ISERROR(SEARCH("COSH",AH66)))</formula>
    </cfRule>
  </conditionalFormatting>
  <conditionalFormatting sqref="AI66:AK66">
    <cfRule type="containsText" dxfId="9814" priority="10528" operator="containsText" text="FAT">
      <formula>NOT(ISERROR(SEARCH("FAT",AI66)))</formula>
    </cfRule>
    <cfRule type="containsText" dxfId="9813" priority="10529" operator="containsText" text="FIRE">
      <formula>NOT(ISERROR(SEARCH("FIRE",AI66)))</formula>
    </cfRule>
    <cfRule type="containsText" dxfId="9812" priority="10530" operator="containsText" text="COSH">
      <formula>NOT(ISERROR(SEARCH("COSH",AI66)))</formula>
    </cfRule>
  </conditionalFormatting>
  <conditionalFormatting sqref="AD77">
    <cfRule type="containsText" dxfId="9811" priority="10525" operator="containsText" text="FAT">
      <formula>NOT(ISERROR(SEARCH("FAT",AD77)))</formula>
    </cfRule>
    <cfRule type="containsText" dxfId="9810" priority="10526" operator="containsText" text="FIRE">
      <formula>NOT(ISERROR(SEARCH("FIRE",AD77)))</formula>
    </cfRule>
    <cfRule type="containsText" dxfId="9809" priority="10527" operator="containsText" text="COSH">
      <formula>NOT(ISERROR(SEARCH("COSH",AD77)))</formula>
    </cfRule>
  </conditionalFormatting>
  <conditionalFormatting sqref="AF68">
    <cfRule type="containsText" dxfId="9808" priority="10516" operator="containsText" text="FAT">
      <formula>NOT(ISERROR(SEARCH("FAT",AF68)))</formula>
    </cfRule>
    <cfRule type="containsText" dxfId="9807" priority="10517" operator="containsText" text="FIRE">
      <formula>NOT(ISERROR(SEARCH("FIRE",AF68)))</formula>
    </cfRule>
    <cfRule type="containsText" dxfId="9806" priority="10518" operator="containsText" text="COSH">
      <formula>NOT(ISERROR(SEARCH("COSH",AF68)))</formula>
    </cfRule>
  </conditionalFormatting>
  <conditionalFormatting sqref="R82:R83 R66 R68 S82:W82">
    <cfRule type="containsText" dxfId="9805" priority="10522" operator="containsText" text="FAT">
      <formula>NOT(ISERROR(SEARCH("FAT",R66)))</formula>
    </cfRule>
    <cfRule type="containsText" dxfId="9804" priority="10523" operator="containsText" text="FIRE">
      <formula>NOT(ISERROR(SEARCH("FIRE",R66)))</formula>
    </cfRule>
    <cfRule type="containsText" dxfId="9803" priority="10524" operator="containsText" text="COSH">
      <formula>NOT(ISERROR(SEARCH("COSH",R66)))</formula>
    </cfRule>
  </conditionalFormatting>
  <conditionalFormatting sqref="R81">
    <cfRule type="containsText" dxfId="9802" priority="10519" operator="containsText" text="FAT">
      <formula>NOT(ISERROR(SEARCH("FAT",R81)))</formula>
    </cfRule>
    <cfRule type="containsText" dxfId="9801" priority="10520" operator="containsText" text="FIRE">
      <formula>NOT(ISERROR(SEARCH("FIRE",R81)))</formula>
    </cfRule>
    <cfRule type="containsText" dxfId="9800" priority="10521" operator="containsText" text="COSH">
      <formula>NOT(ISERROR(SEARCH("COSH",R81)))</formula>
    </cfRule>
  </conditionalFormatting>
  <conditionalFormatting sqref="AD84">
    <cfRule type="containsText" dxfId="9799" priority="10513" operator="containsText" text="FAT">
      <formula>NOT(ISERROR(SEARCH("FAT",AD84)))</formula>
    </cfRule>
    <cfRule type="containsText" dxfId="9798" priority="10514" operator="containsText" text="FIRE">
      <formula>NOT(ISERROR(SEARCH("FIRE",AD84)))</formula>
    </cfRule>
    <cfRule type="containsText" dxfId="9797" priority="10515" operator="containsText" text="COSH">
      <formula>NOT(ISERROR(SEARCH("COSH",AD84)))</formula>
    </cfRule>
  </conditionalFormatting>
  <conditionalFormatting sqref="AF67 W67">
    <cfRule type="containsText" dxfId="9796" priority="10507" operator="containsText" text="FAT">
      <formula>NOT(ISERROR(SEARCH("FAT",W67)))</formula>
    </cfRule>
    <cfRule type="containsText" dxfId="9795" priority="10508" operator="containsText" text="FIRE">
      <formula>NOT(ISERROR(SEARCH("FIRE",W67)))</formula>
    </cfRule>
    <cfRule type="containsText" dxfId="9794" priority="10509" operator="containsText" text="COSH">
      <formula>NOT(ISERROR(SEARCH("COSH",W67)))</formula>
    </cfRule>
  </conditionalFormatting>
  <conditionalFormatting sqref="E67">
    <cfRule type="containsText" dxfId="9793" priority="10510" operator="containsText" text="FAT">
      <formula>NOT(ISERROR(SEARCH("FAT",#REF!)))</formula>
    </cfRule>
    <cfRule type="containsText" dxfId="9792" priority="10511" operator="containsText" text="FIRE">
      <formula>NOT(ISERROR(SEARCH("FIRE",#REF!)))</formula>
    </cfRule>
    <cfRule type="containsText" dxfId="9791" priority="10512" operator="containsText" text="COSH">
      <formula>NOT(ISERROR(SEARCH("COSH",#REF!)))</formula>
    </cfRule>
  </conditionalFormatting>
  <conditionalFormatting sqref="Q67">
    <cfRule type="containsText" dxfId="9790" priority="10504" operator="containsText" text="FAT">
      <formula>NOT(ISERROR(SEARCH("FAT",Q67)))</formula>
    </cfRule>
    <cfRule type="containsText" dxfId="9789" priority="10505" operator="containsText" text="FIRE">
      <formula>NOT(ISERROR(SEARCH("FIRE",Q67)))</formula>
    </cfRule>
    <cfRule type="containsText" dxfId="9788" priority="10506" operator="containsText" text="COSH">
      <formula>NOT(ISERROR(SEARCH("COSH",Q67)))</formula>
    </cfRule>
  </conditionalFormatting>
  <conditionalFormatting sqref="X67">
    <cfRule type="containsText" dxfId="9787" priority="10501" operator="containsText" text="FAT">
      <formula>NOT(ISERROR(SEARCH("FAT",X67)))</formula>
    </cfRule>
    <cfRule type="containsText" dxfId="9786" priority="10502" operator="containsText" text="FIRE">
      <formula>NOT(ISERROR(SEARCH("FIRE",X67)))</formula>
    </cfRule>
    <cfRule type="containsText" dxfId="9785" priority="10503" operator="containsText" text="COSH">
      <formula>NOT(ISERROR(SEARCH("COSH",X67)))</formula>
    </cfRule>
  </conditionalFormatting>
  <conditionalFormatting sqref="AD67">
    <cfRule type="containsText" dxfId="9784" priority="10498" operator="containsText" text="FAT">
      <formula>NOT(ISERROR(SEARCH("FAT",AD67)))</formula>
    </cfRule>
    <cfRule type="containsText" dxfId="9783" priority="10499" operator="containsText" text="FIRE">
      <formula>NOT(ISERROR(SEARCH("FIRE",AD67)))</formula>
    </cfRule>
    <cfRule type="containsText" dxfId="9782" priority="10500" operator="containsText" text="COSH">
      <formula>NOT(ISERROR(SEARCH("COSH",AD67)))</formula>
    </cfRule>
  </conditionalFormatting>
  <conditionalFormatting sqref="I69:K69 W69 P69 I71 I73 I75 I77 I79 I81 I83 I85 I87">
    <cfRule type="containsText" dxfId="9781" priority="10495" operator="containsText" text="FAT">
      <formula>NOT(ISERROR(SEARCH("FAT",I69)))</formula>
    </cfRule>
    <cfRule type="containsText" dxfId="9780" priority="10496" operator="containsText" text="FIRE">
      <formula>NOT(ISERROR(SEARCH("FIRE",I69)))</formula>
    </cfRule>
    <cfRule type="containsText" dxfId="9779" priority="10497" operator="containsText" text="COSH">
      <formula>NOT(ISERROR(SEARCH("COSH",I69)))</formula>
    </cfRule>
  </conditionalFormatting>
  <conditionalFormatting sqref="F69">
    <cfRule type="containsText" dxfId="9778" priority="10492" operator="containsText" text="FAT">
      <formula>NOT(ISERROR(SEARCH("FAT",#REF!)))</formula>
    </cfRule>
    <cfRule type="containsText" dxfId="9777" priority="10493" operator="containsText" text="FIRE">
      <formula>NOT(ISERROR(SEARCH("FIRE",#REF!)))</formula>
    </cfRule>
    <cfRule type="containsText" dxfId="9776" priority="10494" operator="containsText" text="COSH">
      <formula>NOT(ISERROR(SEARCH("COSH",#REF!)))</formula>
    </cfRule>
  </conditionalFormatting>
  <conditionalFormatting sqref="X69">
    <cfRule type="containsText" dxfId="9775" priority="10489" operator="containsText" text="FAT">
      <formula>NOT(ISERROR(SEARCH("FAT",X69)))</formula>
    </cfRule>
    <cfRule type="containsText" dxfId="9774" priority="10490" operator="containsText" text="FIRE">
      <formula>NOT(ISERROR(SEARCH("FIRE",X69)))</formula>
    </cfRule>
    <cfRule type="containsText" dxfId="9773" priority="10491" operator="containsText" text="COSH">
      <formula>NOT(ISERROR(SEARCH("COSH",X69)))</formula>
    </cfRule>
  </conditionalFormatting>
  <conditionalFormatting sqref="R69:W69">
    <cfRule type="containsText" dxfId="9772" priority="10486" operator="containsText" text="FAT">
      <formula>NOT(ISERROR(SEARCH("FAT",R69)))</formula>
    </cfRule>
    <cfRule type="containsText" dxfId="9771" priority="10487" operator="containsText" text="FIRE">
      <formula>NOT(ISERROR(SEARCH("FIRE",R69)))</formula>
    </cfRule>
    <cfRule type="containsText" dxfId="9770" priority="10488" operator="containsText" text="COSH">
      <formula>NOT(ISERROR(SEARCH("COSH",R69)))</formula>
    </cfRule>
  </conditionalFormatting>
  <conditionalFormatting sqref="AF69">
    <cfRule type="containsText" dxfId="9769" priority="10483" operator="containsText" text="FAT">
      <formula>NOT(ISERROR(SEARCH("FAT",AF69)))</formula>
    </cfRule>
    <cfRule type="containsText" dxfId="9768" priority="10484" operator="containsText" text="FIRE">
      <formula>NOT(ISERROR(SEARCH("FIRE",AF69)))</formula>
    </cfRule>
    <cfRule type="containsText" dxfId="9767" priority="10485" operator="containsText" text="COSH">
      <formula>NOT(ISERROR(SEARCH("COSH",AF69)))</formula>
    </cfRule>
  </conditionalFormatting>
  <conditionalFormatting sqref="AO7:AP8">
    <cfRule type="containsText" dxfId="9766" priority="10480" operator="containsText" text="FAT">
      <formula>NOT(ISERROR(SEARCH("FAT",AO7)))</formula>
    </cfRule>
    <cfRule type="containsText" dxfId="9765" priority="10481" operator="containsText" text="FIRE">
      <formula>NOT(ISERROR(SEARCH("FIRE",AO7)))</formula>
    </cfRule>
    <cfRule type="containsText" dxfId="9764" priority="10482" operator="containsText" text="COSH">
      <formula>NOT(ISERROR(SEARCH("COSH",AO7)))</formula>
    </cfRule>
  </conditionalFormatting>
  <conditionalFormatting sqref="E7:F8">
    <cfRule type="containsText" dxfId="9763" priority="10477" operator="containsText" text="FAT">
      <formula>NOT(ISERROR(SEARCH("FAT",E7)))</formula>
    </cfRule>
    <cfRule type="containsText" dxfId="9762" priority="10478" operator="containsText" text="FIRE">
      <formula>NOT(ISERROR(SEARCH("FIRE",E7)))</formula>
    </cfRule>
    <cfRule type="containsText" dxfId="9761" priority="10479" operator="containsText" text="COSH">
      <formula>NOT(ISERROR(SEARCH("COSH",E7)))</formula>
    </cfRule>
  </conditionalFormatting>
  <conditionalFormatting sqref="AI52:AJ52">
    <cfRule type="containsText" dxfId="9760" priority="10474" operator="containsText" text="FAT">
      <formula>NOT(ISERROR(SEARCH("FAT",AI52)))</formula>
    </cfRule>
    <cfRule type="containsText" dxfId="9759" priority="10475" operator="containsText" text="FIRE">
      <formula>NOT(ISERROR(SEARCH("FIRE",AI52)))</formula>
    </cfRule>
    <cfRule type="containsText" dxfId="9758" priority="10476" operator="containsText" text="COSH">
      <formula>NOT(ISERROR(SEARCH("COSH",AI52)))</formula>
    </cfRule>
  </conditionalFormatting>
  <conditionalFormatting sqref="E52">
    <cfRule type="duplicateValues" dxfId="9757" priority="10471"/>
  </conditionalFormatting>
  <conditionalFormatting sqref="E52">
    <cfRule type="duplicateValues" dxfId="9756" priority="10472"/>
  </conditionalFormatting>
  <conditionalFormatting sqref="E52">
    <cfRule type="duplicateValues" dxfId="9755" priority="10473"/>
  </conditionalFormatting>
  <conditionalFormatting sqref="AI60:AJ60">
    <cfRule type="containsText" dxfId="9754" priority="10465" operator="containsText" text="FAT">
      <formula>NOT(ISERROR(SEARCH("FAT",AI60)))</formula>
    </cfRule>
    <cfRule type="containsText" dxfId="9753" priority="10466" operator="containsText" text="FIRE">
      <formula>NOT(ISERROR(SEARCH("FIRE",AI60)))</formula>
    </cfRule>
    <cfRule type="containsText" dxfId="9752" priority="10467" operator="containsText" text="COSH">
      <formula>NOT(ISERROR(SEARCH("COSH",AI60)))</formula>
    </cfRule>
  </conditionalFormatting>
  <conditionalFormatting sqref="F60">
    <cfRule type="containsText" dxfId="9751" priority="10468" operator="containsText" text="FAT">
      <formula>NOT(ISERROR(SEARCH("FAT",#REF!)))</formula>
    </cfRule>
    <cfRule type="containsText" dxfId="9750" priority="10469" operator="containsText" text="FIRE">
      <formula>NOT(ISERROR(SEARCH("FIRE",#REF!)))</formula>
    </cfRule>
    <cfRule type="containsText" dxfId="9749" priority="10470" operator="containsText" text="COSH">
      <formula>NOT(ISERROR(SEARCH("COSH",#REF!)))</formula>
    </cfRule>
  </conditionalFormatting>
  <conditionalFormatting sqref="E92 E94:E97">
    <cfRule type="duplicateValues" dxfId="9748" priority="10692"/>
  </conditionalFormatting>
  <conditionalFormatting sqref="E96:E97">
    <cfRule type="duplicateValues" dxfId="9747" priority="10693"/>
  </conditionalFormatting>
  <conditionalFormatting sqref="AF112">
    <cfRule type="containsText" dxfId="9746" priority="10462" operator="containsText" text="FAT">
      <formula>NOT(ISERROR(SEARCH("FAT",AF112)))</formula>
    </cfRule>
    <cfRule type="containsText" dxfId="9745" priority="10463" operator="containsText" text="FIRE">
      <formula>NOT(ISERROR(SEARCH("FIRE",AF112)))</formula>
    </cfRule>
    <cfRule type="containsText" dxfId="9744" priority="10464" operator="containsText" text="COSH">
      <formula>NOT(ISERROR(SEARCH("COSH",AF112)))</formula>
    </cfRule>
  </conditionalFormatting>
  <conditionalFormatting sqref="P67">
    <cfRule type="containsText" dxfId="9743" priority="10459" operator="containsText" text="FAT">
      <formula>NOT(ISERROR(SEARCH("FAT",P67)))</formula>
    </cfRule>
    <cfRule type="containsText" dxfId="9742" priority="10460" operator="containsText" text="FIRE">
      <formula>NOT(ISERROR(SEARCH("FIRE",P67)))</formula>
    </cfRule>
    <cfRule type="containsText" dxfId="9741" priority="10461" operator="containsText" text="COSH">
      <formula>NOT(ISERROR(SEARCH("COSH",P67)))</formula>
    </cfRule>
  </conditionalFormatting>
  <conditionalFormatting sqref="E13">
    <cfRule type="duplicateValues" dxfId="9740" priority="10451"/>
  </conditionalFormatting>
  <conditionalFormatting sqref="E13">
    <cfRule type="duplicateValues" dxfId="9739" priority="10450"/>
  </conditionalFormatting>
  <conditionalFormatting sqref="E13">
    <cfRule type="duplicateValues" dxfId="9738" priority="10449"/>
  </conditionalFormatting>
  <conditionalFormatting sqref="E13">
    <cfRule type="duplicateValues" dxfId="9737" priority="10452"/>
  </conditionalFormatting>
  <conditionalFormatting sqref="E13">
    <cfRule type="duplicateValues" dxfId="9736" priority="10453"/>
  </conditionalFormatting>
  <conditionalFormatting sqref="E13">
    <cfRule type="duplicateValues" dxfId="9735" priority="10454"/>
  </conditionalFormatting>
  <conditionalFormatting sqref="E13">
    <cfRule type="duplicateValues" dxfId="9734" priority="10455"/>
  </conditionalFormatting>
  <conditionalFormatting sqref="E13">
    <cfRule type="duplicateValues" dxfId="9733" priority="10456"/>
  </conditionalFormatting>
  <conditionalFormatting sqref="E13">
    <cfRule type="duplicateValues" dxfId="9732" priority="10457"/>
  </conditionalFormatting>
  <conditionalFormatting sqref="E13">
    <cfRule type="duplicateValues" dxfId="9731" priority="10458"/>
  </conditionalFormatting>
  <conditionalFormatting sqref="E17">
    <cfRule type="duplicateValues" dxfId="9730" priority="10441"/>
  </conditionalFormatting>
  <conditionalFormatting sqref="E17">
    <cfRule type="duplicateValues" dxfId="9729" priority="10440"/>
  </conditionalFormatting>
  <conditionalFormatting sqref="E17">
    <cfRule type="duplicateValues" dxfId="9728" priority="10439"/>
  </conditionalFormatting>
  <conditionalFormatting sqref="E17">
    <cfRule type="duplicateValues" dxfId="9727" priority="10442"/>
  </conditionalFormatting>
  <conditionalFormatting sqref="E17">
    <cfRule type="duplicateValues" dxfId="9726" priority="10443"/>
  </conditionalFormatting>
  <conditionalFormatting sqref="E17">
    <cfRule type="duplicateValues" dxfId="9725" priority="10444"/>
  </conditionalFormatting>
  <conditionalFormatting sqref="E17">
    <cfRule type="duplicateValues" dxfId="9724" priority="10445"/>
  </conditionalFormatting>
  <conditionalFormatting sqref="E17">
    <cfRule type="duplicateValues" dxfId="9723" priority="10446"/>
  </conditionalFormatting>
  <conditionalFormatting sqref="E17">
    <cfRule type="duplicateValues" dxfId="9722" priority="10447"/>
  </conditionalFormatting>
  <conditionalFormatting sqref="E17">
    <cfRule type="duplicateValues" dxfId="9721" priority="10448"/>
  </conditionalFormatting>
  <conditionalFormatting sqref="E29">
    <cfRule type="duplicateValues" dxfId="9720" priority="10436"/>
  </conditionalFormatting>
  <conditionalFormatting sqref="E29">
    <cfRule type="duplicateValues" dxfId="9719" priority="10437"/>
  </conditionalFormatting>
  <conditionalFormatting sqref="E29">
    <cfRule type="duplicateValues" dxfId="9718" priority="10438"/>
  </conditionalFormatting>
  <conditionalFormatting sqref="E87 E31:E32">
    <cfRule type="duplicateValues" dxfId="9717" priority="10694"/>
  </conditionalFormatting>
  <conditionalFormatting sqref="AI47:AJ47">
    <cfRule type="containsText" dxfId="9716" priority="10433" operator="containsText" text="FAT">
      <formula>NOT(ISERROR(SEARCH("FAT",AI47)))</formula>
    </cfRule>
    <cfRule type="containsText" dxfId="9715" priority="10434" operator="containsText" text="FIRE">
      <formula>NOT(ISERROR(SEARCH("FIRE",AI47)))</formula>
    </cfRule>
    <cfRule type="containsText" dxfId="9714" priority="10435" operator="containsText" text="COSH">
      <formula>NOT(ISERROR(SEARCH("COSH",AI47)))</formula>
    </cfRule>
  </conditionalFormatting>
  <conditionalFormatting sqref="AI55:AJ55">
    <cfRule type="containsText" dxfId="9713" priority="10430" operator="containsText" text="FAT">
      <formula>NOT(ISERROR(SEARCH("FAT",AI55)))</formula>
    </cfRule>
    <cfRule type="containsText" dxfId="9712" priority="10431" operator="containsText" text="FIRE">
      <formula>NOT(ISERROR(SEARCH("FIRE",AI55)))</formula>
    </cfRule>
    <cfRule type="containsText" dxfId="9711" priority="10432" operator="containsText" text="COSH">
      <formula>NOT(ISERROR(SEARCH("COSH",AI55)))</formula>
    </cfRule>
  </conditionalFormatting>
  <conditionalFormatting sqref="AI57:AJ57">
    <cfRule type="containsText" dxfId="9710" priority="10427" operator="containsText" text="FAT">
      <formula>NOT(ISERROR(SEARCH("FAT",AI57)))</formula>
    </cfRule>
    <cfRule type="containsText" dxfId="9709" priority="10428" operator="containsText" text="FIRE">
      <formula>NOT(ISERROR(SEARCH("FIRE",AI57)))</formula>
    </cfRule>
    <cfRule type="containsText" dxfId="9708" priority="10429" operator="containsText" text="COSH">
      <formula>NOT(ISERROR(SEARCH("COSH",AI57)))</formula>
    </cfRule>
  </conditionalFormatting>
  <conditionalFormatting sqref="E68">
    <cfRule type="duplicateValues" dxfId="9707" priority="10426"/>
  </conditionalFormatting>
  <conditionalFormatting sqref="E69">
    <cfRule type="duplicateValues" dxfId="9706" priority="10417"/>
  </conditionalFormatting>
  <conditionalFormatting sqref="E69">
    <cfRule type="duplicateValues" dxfId="9705" priority="10416"/>
  </conditionalFormatting>
  <conditionalFormatting sqref="E69">
    <cfRule type="duplicateValues" dxfId="9704" priority="10418"/>
  </conditionalFormatting>
  <conditionalFormatting sqref="E69">
    <cfRule type="duplicateValues" dxfId="9703" priority="10419"/>
  </conditionalFormatting>
  <conditionalFormatting sqref="E69">
    <cfRule type="duplicateValues" dxfId="9702" priority="10420"/>
  </conditionalFormatting>
  <conditionalFormatting sqref="E69">
    <cfRule type="duplicateValues" dxfId="9701" priority="10421"/>
  </conditionalFormatting>
  <conditionalFormatting sqref="E69">
    <cfRule type="duplicateValues" dxfId="9700" priority="10422"/>
  </conditionalFormatting>
  <conditionalFormatting sqref="E69">
    <cfRule type="duplicateValues" dxfId="9699" priority="10423"/>
  </conditionalFormatting>
  <conditionalFormatting sqref="E69">
    <cfRule type="duplicateValues" dxfId="9698" priority="10424"/>
  </conditionalFormatting>
  <conditionalFormatting sqref="E69">
    <cfRule type="duplicateValues" dxfId="9697" priority="10425"/>
  </conditionalFormatting>
  <conditionalFormatting sqref="AD69 AD71:AD87">
    <cfRule type="containsText" dxfId="9696" priority="10413" operator="containsText" text="FAT">
      <formula>NOT(ISERROR(SEARCH("FAT",AD69)))</formula>
    </cfRule>
    <cfRule type="containsText" dxfId="9695" priority="10414" operator="containsText" text="FIRE">
      <formula>NOT(ISERROR(SEARCH("FIRE",AD69)))</formula>
    </cfRule>
    <cfRule type="containsText" dxfId="9694" priority="10415" operator="containsText" text="COSH">
      <formula>NOT(ISERROR(SEARCH("COSH",AD69)))</formula>
    </cfRule>
  </conditionalFormatting>
  <conditionalFormatting sqref="P72 R72">
    <cfRule type="containsText" dxfId="9693" priority="10410" operator="containsText" text="FAT">
      <formula>NOT(ISERROR(SEARCH("FAT",P72)))</formula>
    </cfRule>
    <cfRule type="containsText" dxfId="9692" priority="10411" operator="containsText" text="FIRE">
      <formula>NOT(ISERROR(SEARCH("FIRE",P72)))</formula>
    </cfRule>
    <cfRule type="containsText" dxfId="9691" priority="10412" operator="containsText" text="COSH">
      <formula>NOT(ISERROR(SEARCH("COSH",P72)))</formula>
    </cfRule>
  </conditionalFormatting>
  <conditionalFormatting sqref="P81">
    <cfRule type="containsText" dxfId="9690" priority="10407" operator="containsText" text="FAT">
      <formula>NOT(ISERROR(SEARCH("FAT",P81)))</formula>
    </cfRule>
    <cfRule type="containsText" dxfId="9689" priority="10408" operator="containsText" text="FIRE">
      <formula>NOT(ISERROR(SEARCH("FIRE",P81)))</formula>
    </cfRule>
    <cfRule type="containsText" dxfId="9688" priority="10409" operator="containsText" text="COSH">
      <formula>NOT(ISERROR(SEARCH("COSH",P81)))</formula>
    </cfRule>
  </conditionalFormatting>
  <conditionalFormatting sqref="AD82">
    <cfRule type="containsText" dxfId="9687" priority="10404" operator="containsText" text="FAT">
      <formula>NOT(ISERROR(SEARCH("FAT",AD82)))</formula>
    </cfRule>
    <cfRule type="containsText" dxfId="9686" priority="10405" operator="containsText" text="FIRE">
      <formula>NOT(ISERROR(SEARCH("FIRE",AD82)))</formula>
    </cfRule>
    <cfRule type="containsText" dxfId="9685" priority="10406" operator="containsText" text="COSH">
      <formula>NOT(ISERROR(SEARCH("COSH",AD82)))</formula>
    </cfRule>
  </conditionalFormatting>
  <conditionalFormatting sqref="P86">
    <cfRule type="containsText" dxfId="9684" priority="10401" operator="containsText" text="FAT">
      <formula>NOT(ISERROR(SEARCH("FAT",P86)))</formula>
    </cfRule>
    <cfRule type="containsText" dxfId="9683" priority="10402" operator="containsText" text="FIRE">
      <formula>NOT(ISERROR(SEARCH("FIRE",P86)))</formula>
    </cfRule>
    <cfRule type="containsText" dxfId="9682" priority="10403" operator="containsText" text="COSH">
      <formula>NOT(ISERROR(SEARCH("COSH",P86)))</formula>
    </cfRule>
  </conditionalFormatting>
  <conditionalFormatting sqref="AD85">
    <cfRule type="containsText" dxfId="9681" priority="10398" operator="containsText" text="FAT">
      <formula>NOT(ISERROR(SEARCH("FAT",AD85)))</formula>
    </cfRule>
    <cfRule type="containsText" dxfId="9680" priority="10399" operator="containsText" text="FIRE">
      <formula>NOT(ISERROR(SEARCH("FIRE",AD85)))</formula>
    </cfRule>
    <cfRule type="containsText" dxfId="9679" priority="10400" operator="containsText" text="COSH">
      <formula>NOT(ISERROR(SEARCH("COSH",AD85)))</formula>
    </cfRule>
  </conditionalFormatting>
  <conditionalFormatting sqref="AF104 AA104">
    <cfRule type="containsText" dxfId="9678" priority="10395" operator="containsText" text="FAT">
      <formula>NOT(ISERROR(SEARCH("FAT",AA104)))</formula>
    </cfRule>
    <cfRule type="containsText" dxfId="9677" priority="10396" operator="containsText" text="FIRE">
      <formula>NOT(ISERROR(SEARCH("FIRE",AA104)))</formula>
    </cfRule>
    <cfRule type="containsText" dxfId="9676" priority="10397" operator="containsText" text="COSH">
      <formula>NOT(ISERROR(SEARCH("COSH",AA104)))</formula>
    </cfRule>
  </conditionalFormatting>
  <conditionalFormatting sqref="AA111 AH111">
    <cfRule type="containsText" dxfId="9675" priority="10392" operator="containsText" text="FAT">
      <formula>NOT(ISERROR(SEARCH("FAT",AA111)))</formula>
    </cfRule>
    <cfRule type="containsText" dxfId="9674" priority="10393" operator="containsText" text="FIRE">
      <formula>NOT(ISERROR(SEARCH("FIRE",AA111)))</formula>
    </cfRule>
    <cfRule type="containsText" dxfId="9673" priority="10394" operator="containsText" text="COSH">
      <formula>NOT(ISERROR(SEARCH("COSH",AA111)))</formula>
    </cfRule>
  </conditionalFormatting>
  <conditionalFormatting sqref="AH106 AH94:AH97 AH101:AH102 AH108:AH111 AH113:AH116">
    <cfRule type="containsText" dxfId="9672" priority="10389" operator="containsText" text="FAT">
      <formula>NOT(ISERROR(SEARCH("FAT",AH94)))</formula>
    </cfRule>
    <cfRule type="containsText" dxfId="9671" priority="10390" operator="containsText" text="FIRE">
      <formula>NOT(ISERROR(SEARCH("FIRE",AH94)))</formula>
    </cfRule>
    <cfRule type="containsText" dxfId="9670" priority="10391" operator="containsText" text="COSH">
      <formula>NOT(ISERROR(SEARCH("COSH",AH94)))</formula>
    </cfRule>
  </conditionalFormatting>
  <conditionalFormatting sqref="AH112">
    <cfRule type="containsText" dxfId="9669" priority="10386" operator="containsText" text="FAT">
      <formula>NOT(ISERROR(SEARCH("FAT",AH112)))</formula>
    </cfRule>
    <cfRule type="containsText" dxfId="9668" priority="10387" operator="containsText" text="FIRE">
      <formula>NOT(ISERROR(SEARCH("FIRE",AH112)))</formula>
    </cfRule>
    <cfRule type="containsText" dxfId="9667" priority="10388" operator="containsText" text="COSH">
      <formula>NOT(ISERROR(SEARCH("COSH",AH112)))</formula>
    </cfRule>
  </conditionalFormatting>
  <conditionalFormatting sqref="AH104">
    <cfRule type="containsText" dxfId="9666" priority="10383" operator="containsText" text="FAT">
      <formula>NOT(ISERROR(SEARCH("FAT",AH104)))</formula>
    </cfRule>
    <cfRule type="containsText" dxfId="9665" priority="10384" operator="containsText" text="FIRE">
      <formula>NOT(ISERROR(SEARCH("FIRE",AH104)))</formula>
    </cfRule>
    <cfRule type="containsText" dxfId="9664" priority="10385" operator="containsText" text="COSH">
      <formula>NOT(ISERROR(SEARCH("COSH",AH104)))</formula>
    </cfRule>
  </conditionalFormatting>
  <conditionalFormatting sqref="AF98:AH100 AG102:AG103 AG105:AG106 AG108:AG109 AG111:AG112 AG114:AG115">
    <cfRule type="containsText" dxfId="9663" priority="10380" operator="containsText" text="FAT">
      <formula>NOT(ISERROR(SEARCH("FAT",AF98)))</formula>
    </cfRule>
    <cfRule type="containsText" dxfId="9662" priority="10381" operator="containsText" text="FIRE">
      <formula>NOT(ISERROR(SEARCH("FIRE",AF98)))</formula>
    </cfRule>
    <cfRule type="containsText" dxfId="9661" priority="10382" operator="containsText" text="COSH">
      <formula>NOT(ISERROR(SEARCH("COSH",AF98)))</formula>
    </cfRule>
  </conditionalFormatting>
  <conditionalFormatting sqref="AF105 AH105">
    <cfRule type="containsText" dxfId="9660" priority="10377" operator="containsText" text="FAT">
      <formula>NOT(ISERROR(SEARCH("FAT",AF105)))</formula>
    </cfRule>
    <cfRule type="containsText" dxfId="9659" priority="10378" operator="containsText" text="FIRE">
      <formula>NOT(ISERROR(SEARCH("FIRE",AF105)))</formula>
    </cfRule>
    <cfRule type="containsText" dxfId="9658" priority="10379" operator="containsText" text="COSH">
      <formula>NOT(ISERROR(SEARCH("COSH",AF105)))</formula>
    </cfRule>
  </conditionalFormatting>
  <conditionalFormatting sqref="AD71">
    <cfRule type="containsText" dxfId="9657" priority="10374" operator="containsText" text="FAT">
      <formula>NOT(ISERROR(SEARCH("FAT",AD71)))</formula>
    </cfRule>
    <cfRule type="containsText" dxfId="9656" priority="10375" operator="containsText" text="FIRE">
      <formula>NOT(ISERROR(SEARCH("FIRE",AD71)))</formula>
    </cfRule>
    <cfRule type="containsText" dxfId="9655" priority="10376" operator="containsText" text="COSH">
      <formula>NOT(ISERROR(SEARCH("COSH",AD71)))</formula>
    </cfRule>
  </conditionalFormatting>
  <conditionalFormatting sqref="AF71">
    <cfRule type="containsText" dxfId="9654" priority="10371" operator="containsText" text="FAT">
      <formula>NOT(ISERROR(SEARCH("FAT",AF71)))</formula>
    </cfRule>
    <cfRule type="containsText" dxfId="9653" priority="10372" operator="containsText" text="FIRE">
      <formula>NOT(ISERROR(SEARCH("FIRE",AF71)))</formula>
    </cfRule>
    <cfRule type="containsText" dxfId="9652" priority="10373" operator="containsText" text="COSH">
      <formula>NOT(ISERROR(SEARCH("COSH",AF71)))</formula>
    </cfRule>
  </conditionalFormatting>
  <conditionalFormatting sqref="E41">
    <cfRule type="duplicateValues" dxfId="9651" priority="10369"/>
  </conditionalFormatting>
  <conditionalFormatting sqref="E41">
    <cfRule type="duplicateValues" dxfId="9650" priority="10370"/>
  </conditionalFormatting>
  <conditionalFormatting sqref="AI41:AJ41">
    <cfRule type="containsText" dxfId="9649" priority="10366" operator="containsText" text="FAT">
      <formula>NOT(ISERROR(SEARCH("FAT",AI41)))</formula>
    </cfRule>
    <cfRule type="containsText" dxfId="9648" priority="10367" operator="containsText" text="FIRE">
      <formula>NOT(ISERROR(SEARCH("FIRE",AI41)))</formula>
    </cfRule>
    <cfRule type="containsText" dxfId="9647" priority="10368" operator="containsText" text="COSH">
      <formula>NOT(ISERROR(SEARCH("COSH",AI41)))</formula>
    </cfRule>
  </conditionalFormatting>
  <conditionalFormatting sqref="E73:E76">
    <cfRule type="duplicateValues" dxfId="9646" priority="10363"/>
  </conditionalFormatting>
  <conditionalFormatting sqref="E73:E76">
    <cfRule type="duplicateValues" dxfId="9645" priority="10364"/>
  </conditionalFormatting>
  <conditionalFormatting sqref="E73:E76">
    <cfRule type="duplicateValues" dxfId="9644" priority="10365"/>
  </conditionalFormatting>
  <conditionalFormatting sqref="E72">
    <cfRule type="duplicateValues" dxfId="9643" priority="10362"/>
  </conditionalFormatting>
  <conditionalFormatting sqref="E73:E76">
    <cfRule type="duplicateValues" dxfId="9642" priority="10360"/>
  </conditionalFormatting>
  <conditionalFormatting sqref="E73:E76">
    <cfRule type="duplicateValues" dxfId="9641" priority="10361"/>
  </conditionalFormatting>
  <conditionalFormatting sqref="E73:E76">
    <cfRule type="duplicateValues" dxfId="9640" priority="10359"/>
  </conditionalFormatting>
  <conditionalFormatting sqref="F71">
    <cfRule type="containsText" dxfId="9639" priority="10356" operator="containsText" text="FAT">
      <formula>NOT(ISERROR(SEARCH("FAT",#REF!)))</formula>
    </cfRule>
    <cfRule type="containsText" dxfId="9638" priority="10357" operator="containsText" text="FIRE">
      <formula>NOT(ISERROR(SEARCH("FIRE",#REF!)))</formula>
    </cfRule>
    <cfRule type="containsText" dxfId="9637" priority="10358" operator="containsText" text="COSH">
      <formula>NOT(ISERROR(SEARCH("COSH",#REF!)))</formula>
    </cfRule>
  </conditionalFormatting>
  <conditionalFormatting sqref="F95">
    <cfRule type="containsText" dxfId="9636" priority="10353" operator="containsText" text="FAT">
      <formula>NOT(ISERROR(SEARCH("FAT",#REF!)))</formula>
    </cfRule>
    <cfRule type="containsText" dxfId="9635" priority="10354" operator="containsText" text="FIRE">
      <formula>NOT(ISERROR(SEARCH("FIRE",#REF!)))</formula>
    </cfRule>
    <cfRule type="containsText" dxfId="9634" priority="10355" operator="containsText" text="COSH">
      <formula>NOT(ISERROR(SEARCH("COSH",#REF!)))</formula>
    </cfRule>
  </conditionalFormatting>
  <conditionalFormatting sqref="G68">
    <cfRule type="containsText" dxfId="9633" priority="10329" operator="containsText" text="FAT">
      <formula>NOT(ISERROR(SEARCH("FAT",G68)))</formula>
    </cfRule>
    <cfRule type="containsText" dxfId="9632" priority="10330" operator="containsText" text="FIRE">
      <formula>NOT(ISERROR(SEARCH("FIRE",G68)))</formula>
    </cfRule>
    <cfRule type="containsText" dxfId="9631" priority="10331" operator="containsText" text="COSH">
      <formula>NOT(ISERROR(SEARCH("COSH",G68)))</formula>
    </cfRule>
  </conditionalFormatting>
  <conditionalFormatting sqref="G81">
    <cfRule type="containsText" dxfId="9630" priority="10326" operator="containsText" text="FAT">
      <formula>NOT(ISERROR(SEARCH("FAT",G81)))</formula>
    </cfRule>
    <cfRule type="containsText" dxfId="9629" priority="10327" operator="containsText" text="FIRE">
      <formula>NOT(ISERROR(SEARCH("FIRE",G81)))</formula>
    </cfRule>
    <cfRule type="containsText" dxfId="9628" priority="10328" operator="containsText" text="COSH">
      <formula>NOT(ISERROR(SEARCH("COSH",G81)))</formula>
    </cfRule>
  </conditionalFormatting>
  <conditionalFormatting sqref="N67 N69 N85 N87 N72:N75 N77:N79 N82:N83 P82">
    <cfRule type="containsText" dxfId="9627" priority="10311" operator="containsText" text="FAT">
      <formula>NOT(ISERROR(SEARCH("FAT",N67)))</formula>
    </cfRule>
    <cfRule type="containsText" dxfId="9626" priority="10312" operator="containsText" text="FIRE">
      <formula>NOT(ISERROR(SEARCH("FIRE",N67)))</formula>
    </cfRule>
    <cfRule type="containsText" dxfId="9625" priority="10313" operator="containsText" text="COSH">
      <formula>NOT(ISERROR(SEARCH("COSH",N67)))</formula>
    </cfRule>
  </conditionalFormatting>
  <conditionalFormatting sqref="N68">
    <cfRule type="containsText" dxfId="9624" priority="10308" operator="containsText" text="FAT">
      <formula>NOT(ISERROR(SEARCH("FAT",N68)))</formula>
    </cfRule>
    <cfRule type="containsText" dxfId="9623" priority="10309" operator="containsText" text="FIRE">
      <formula>NOT(ISERROR(SEARCH("FIRE",N68)))</formula>
    </cfRule>
    <cfRule type="containsText" dxfId="9622" priority="10310" operator="containsText" text="COSH">
      <formula>NOT(ISERROR(SEARCH("COSH",N68)))</formula>
    </cfRule>
  </conditionalFormatting>
  <conditionalFormatting sqref="AG53:AG54 AG48:AG50 AG58 AG45:AG46">
    <cfRule type="containsText" dxfId="9621" priority="10350" operator="containsText" text="FAT">
      <formula>NOT(ISERROR(SEARCH("FAT",AG45)))</formula>
    </cfRule>
    <cfRule type="containsText" dxfId="9620" priority="10351" operator="containsText" text="FIRE">
      <formula>NOT(ISERROR(SEARCH("FIRE",AG45)))</formula>
    </cfRule>
    <cfRule type="containsText" dxfId="9619" priority="10352" operator="containsText" text="COSH">
      <formula>NOT(ISERROR(SEARCH("COSH",AG45)))</formula>
    </cfRule>
  </conditionalFormatting>
  <conditionalFormatting sqref="AG60 AG52">
    <cfRule type="containsText" dxfId="9618" priority="10347" operator="containsText" text="FAT">
      <formula>NOT(ISERROR(SEARCH("FAT",AG52)))</formula>
    </cfRule>
    <cfRule type="containsText" dxfId="9617" priority="10348" operator="containsText" text="FIRE">
      <formula>NOT(ISERROR(SEARCH("FIRE",AG52)))</formula>
    </cfRule>
    <cfRule type="containsText" dxfId="9616" priority="10349" operator="containsText" text="COSH">
      <formula>NOT(ISERROR(SEARCH("COSH",AG52)))</formula>
    </cfRule>
  </conditionalFormatting>
  <conditionalFormatting sqref="AG47">
    <cfRule type="containsText" dxfId="9615" priority="10344" operator="containsText" text="FAT">
      <formula>NOT(ISERROR(SEARCH("FAT",AG47)))</formula>
    </cfRule>
    <cfRule type="containsText" dxfId="9614" priority="10345" operator="containsText" text="FIRE">
      <formula>NOT(ISERROR(SEARCH("FIRE",AG47)))</formula>
    </cfRule>
    <cfRule type="containsText" dxfId="9613" priority="10346" operator="containsText" text="COSH">
      <formula>NOT(ISERROR(SEARCH("COSH",AG47)))</formula>
    </cfRule>
  </conditionalFormatting>
  <conditionalFormatting sqref="AG55">
    <cfRule type="containsText" dxfId="9612" priority="10341" operator="containsText" text="FAT">
      <formula>NOT(ISERROR(SEARCH("FAT",AG55)))</formula>
    </cfRule>
    <cfRule type="containsText" dxfId="9611" priority="10342" operator="containsText" text="FIRE">
      <formula>NOT(ISERROR(SEARCH("FIRE",AG55)))</formula>
    </cfRule>
    <cfRule type="containsText" dxfId="9610" priority="10343" operator="containsText" text="COSH">
      <formula>NOT(ISERROR(SEARCH("COSH",AG55)))</formula>
    </cfRule>
  </conditionalFormatting>
  <conditionalFormatting sqref="AG57">
    <cfRule type="containsText" dxfId="9609" priority="10338" operator="containsText" text="FAT">
      <formula>NOT(ISERROR(SEARCH("FAT",AG57)))</formula>
    </cfRule>
    <cfRule type="containsText" dxfId="9608" priority="10339" operator="containsText" text="FIRE">
      <formula>NOT(ISERROR(SEARCH("FIRE",AG57)))</formula>
    </cfRule>
    <cfRule type="containsText" dxfId="9607" priority="10340" operator="containsText" text="COSH">
      <formula>NOT(ISERROR(SEARCH("COSH",AG57)))</formula>
    </cfRule>
  </conditionalFormatting>
  <conditionalFormatting sqref="AG41">
    <cfRule type="containsText" dxfId="9606" priority="10335" operator="containsText" text="FAT">
      <formula>NOT(ISERROR(SEARCH("FAT",AG41)))</formula>
    </cfRule>
    <cfRule type="containsText" dxfId="9605" priority="10336" operator="containsText" text="FIRE">
      <formula>NOT(ISERROR(SEARCH("FIRE",AG41)))</formula>
    </cfRule>
    <cfRule type="containsText" dxfId="9604" priority="10337" operator="containsText" text="COSH">
      <formula>NOT(ISERROR(SEARCH("COSH",AG41)))</formula>
    </cfRule>
  </conditionalFormatting>
  <conditionalFormatting sqref="G67 G69 G85 G87 G72:G75 G77:G79 G82:G83">
    <cfRule type="containsText" dxfId="9603" priority="10332" operator="containsText" text="FAT">
      <formula>NOT(ISERROR(SEARCH("FAT",G67)))</formula>
    </cfRule>
    <cfRule type="containsText" dxfId="9602" priority="10333" operator="containsText" text="FIRE">
      <formula>NOT(ISERROR(SEARCH("FIRE",G67)))</formula>
    </cfRule>
    <cfRule type="containsText" dxfId="9601" priority="10334" operator="containsText" text="COSH">
      <formula>NOT(ISERROR(SEARCH("COSH",G67)))</formula>
    </cfRule>
  </conditionalFormatting>
  <conditionalFormatting sqref="G76">
    <cfRule type="containsText" dxfId="9600" priority="10323" operator="containsText" text="FAT">
      <formula>NOT(ISERROR(SEARCH("FAT",G76)))</formula>
    </cfRule>
    <cfRule type="containsText" dxfId="9599" priority="10324" operator="containsText" text="FIRE">
      <formula>NOT(ISERROR(SEARCH("FIRE",G76)))</formula>
    </cfRule>
    <cfRule type="containsText" dxfId="9598" priority="10325" operator="containsText" text="COSH">
      <formula>NOT(ISERROR(SEARCH("COSH",G76)))</formula>
    </cfRule>
  </conditionalFormatting>
  <conditionalFormatting sqref="G84">
    <cfRule type="containsText" dxfId="9597" priority="10320" operator="containsText" text="FAT">
      <formula>NOT(ISERROR(SEARCH("FAT",G84)))</formula>
    </cfRule>
    <cfRule type="containsText" dxfId="9596" priority="10321" operator="containsText" text="FIRE">
      <formula>NOT(ISERROR(SEARCH("FIRE",G84)))</formula>
    </cfRule>
    <cfRule type="containsText" dxfId="9595" priority="10322" operator="containsText" text="COSH">
      <formula>NOT(ISERROR(SEARCH("COSH",G84)))</formula>
    </cfRule>
  </conditionalFormatting>
  <conditionalFormatting sqref="G86">
    <cfRule type="containsText" dxfId="9594" priority="10317" operator="containsText" text="FAT">
      <formula>NOT(ISERROR(SEARCH("FAT",G86)))</formula>
    </cfRule>
    <cfRule type="containsText" dxfId="9593" priority="10318" operator="containsText" text="FIRE">
      <formula>NOT(ISERROR(SEARCH("FIRE",G86)))</formula>
    </cfRule>
    <cfRule type="containsText" dxfId="9592" priority="10319" operator="containsText" text="COSH">
      <formula>NOT(ISERROR(SEARCH("COSH",G86)))</formula>
    </cfRule>
  </conditionalFormatting>
  <conditionalFormatting sqref="G71">
    <cfRule type="containsText" dxfId="9591" priority="10314" operator="containsText" text="FAT">
      <formula>NOT(ISERROR(SEARCH("FAT",G71)))</formula>
    </cfRule>
    <cfRule type="containsText" dxfId="9590" priority="10315" operator="containsText" text="FIRE">
      <formula>NOT(ISERROR(SEARCH("FIRE",G71)))</formula>
    </cfRule>
    <cfRule type="containsText" dxfId="9589" priority="10316" operator="containsText" text="COSH">
      <formula>NOT(ISERROR(SEARCH("COSH",G71)))</formula>
    </cfRule>
  </conditionalFormatting>
  <conditionalFormatting sqref="N81">
    <cfRule type="containsText" dxfId="9588" priority="10305" operator="containsText" text="FAT">
      <formula>NOT(ISERROR(SEARCH("FAT",N81)))</formula>
    </cfRule>
    <cfRule type="containsText" dxfId="9587" priority="10306" operator="containsText" text="FIRE">
      <formula>NOT(ISERROR(SEARCH("FIRE",N81)))</formula>
    </cfRule>
    <cfRule type="containsText" dxfId="9586" priority="10307" operator="containsText" text="COSH">
      <formula>NOT(ISERROR(SEARCH("COSH",N81)))</formula>
    </cfRule>
  </conditionalFormatting>
  <conditionalFormatting sqref="N76">
    <cfRule type="containsText" dxfId="9585" priority="10302" operator="containsText" text="FAT">
      <formula>NOT(ISERROR(SEARCH("FAT",N76)))</formula>
    </cfRule>
    <cfRule type="containsText" dxfId="9584" priority="10303" operator="containsText" text="FIRE">
      <formula>NOT(ISERROR(SEARCH("FIRE",N76)))</formula>
    </cfRule>
    <cfRule type="containsText" dxfId="9583" priority="10304" operator="containsText" text="COSH">
      <formula>NOT(ISERROR(SEARCH("COSH",N76)))</formula>
    </cfRule>
  </conditionalFormatting>
  <conditionalFormatting sqref="N84">
    <cfRule type="containsText" dxfId="9582" priority="10299" operator="containsText" text="FAT">
      <formula>NOT(ISERROR(SEARCH("FAT",N84)))</formula>
    </cfRule>
    <cfRule type="containsText" dxfId="9581" priority="10300" operator="containsText" text="FIRE">
      <formula>NOT(ISERROR(SEARCH("FIRE",N84)))</formula>
    </cfRule>
    <cfRule type="containsText" dxfId="9580" priority="10301" operator="containsText" text="COSH">
      <formula>NOT(ISERROR(SEARCH("COSH",N84)))</formula>
    </cfRule>
  </conditionalFormatting>
  <conditionalFormatting sqref="N86 P86">
    <cfRule type="containsText" dxfId="9579" priority="10296" operator="containsText" text="FAT">
      <formula>NOT(ISERROR(SEARCH("FAT",N86)))</formula>
    </cfRule>
    <cfRule type="containsText" dxfId="9578" priority="10297" operator="containsText" text="FIRE">
      <formula>NOT(ISERROR(SEARCH("FIRE",N86)))</formula>
    </cfRule>
    <cfRule type="containsText" dxfId="9577" priority="10298" operator="containsText" text="COSH">
      <formula>NOT(ISERROR(SEARCH("COSH",N86)))</formula>
    </cfRule>
  </conditionalFormatting>
  <conditionalFormatting sqref="N71">
    <cfRule type="containsText" dxfId="9576" priority="10293" operator="containsText" text="FAT">
      <formula>NOT(ISERROR(SEARCH("FAT",N71)))</formula>
    </cfRule>
    <cfRule type="containsText" dxfId="9575" priority="10294" operator="containsText" text="FIRE">
      <formula>NOT(ISERROR(SEARCH("FIRE",N71)))</formula>
    </cfRule>
    <cfRule type="containsText" dxfId="9574" priority="10295" operator="containsText" text="COSH">
      <formula>NOT(ISERROR(SEARCH("COSH",N71)))</formula>
    </cfRule>
  </conditionalFormatting>
  <conditionalFormatting sqref="U67 T69:U69 T85:U85 T87:U87 T77:U79 T82:U83 U72:U75">
    <cfRule type="containsText" dxfId="9573" priority="10290" operator="containsText" text="FAT">
      <formula>NOT(ISERROR(SEARCH("FAT",T67)))</formula>
    </cfRule>
    <cfRule type="containsText" dxfId="9572" priority="10291" operator="containsText" text="FIRE">
      <formula>NOT(ISERROR(SEARCH("FIRE",T67)))</formula>
    </cfRule>
    <cfRule type="containsText" dxfId="9571" priority="10292" operator="containsText" text="COSH">
      <formula>NOT(ISERROR(SEARCH("COSH",T67)))</formula>
    </cfRule>
  </conditionalFormatting>
  <conditionalFormatting sqref="U68">
    <cfRule type="containsText" dxfId="9570" priority="10287" operator="containsText" text="FAT">
      <formula>NOT(ISERROR(SEARCH("FAT",U68)))</formula>
    </cfRule>
    <cfRule type="containsText" dxfId="9569" priority="10288" operator="containsText" text="FIRE">
      <formula>NOT(ISERROR(SEARCH("FIRE",U68)))</formula>
    </cfRule>
    <cfRule type="containsText" dxfId="9568" priority="10289" operator="containsText" text="COSH">
      <formula>NOT(ISERROR(SEARCH("COSH",U68)))</formula>
    </cfRule>
  </conditionalFormatting>
  <conditionalFormatting sqref="U81">
    <cfRule type="containsText" dxfId="9567" priority="10284" operator="containsText" text="FAT">
      <formula>NOT(ISERROR(SEARCH("FAT",U81)))</formula>
    </cfRule>
    <cfRule type="containsText" dxfId="9566" priority="10285" operator="containsText" text="FIRE">
      <formula>NOT(ISERROR(SEARCH("FIRE",U81)))</formula>
    </cfRule>
    <cfRule type="containsText" dxfId="9565" priority="10286" operator="containsText" text="COSH">
      <formula>NOT(ISERROR(SEARCH("COSH",U81)))</formula>
    </cfRule>
  </conditionalFormatting>
  <conditionalFormatting sqref="U76">
    <cfRule type="containsText" dxfId="9564" priority="10281" operator="containsText" text="FAT">
      <formula>NOT(ISERROR(SEARCH("FAT",U76)))</formula>
    </cfRule>
    <cfRule type="containsText" dxfId="9563" priority="10282" operator="containsText" text="FIRE">
      <formula>NOT(ISERROR(SEARCH("FIRE",U76)))</formula>
    </cfRule>
    <cfRule type="containsText" dxfId="9562" priority="10283" operator="containsText" text="COSH">
      <formula>NOT(ISERROR(SEARCH("COSH",U76)))</formula>
    </cfRule>
  </conditionalFormatting>
  <conditionalFormatting sqref="T84:U84">
    <cfRule type="containsText" dxfId="9561" priority="10278" operator="containsText" text="FAT">
      <formula>NOT(ISERROR(SEARCH("FAT",T84)))</formula>
    </cfRule>
    <cfRule type="containsText" dxfId="9560" priority="10279" operator="containsText" text="FIRE">
      <formula>NOT(ISERROR(SEARCH("FIRE",T84)))</formula>
    </cfRule>
    <cfRule type="containsText" dxfId="9559" priority="10280" operator="containsText" text="COSH">
      <formula>NOT(ISERROR(SEARCH("COSH",T84)))</formula>
    </cfRule>
  </conditionalFormatting>
  <conditionalFormatting sqref="T86:U86">
    <cfRule type="containsText" dxfId="9558" priority="10275" operator="containsText" text="FAT">
      <formula>NOT(ISERROR(SEARCH("FAT",T86)))</formula>
    </cfRule>
    <cfRule type="containsText" dxfId="9557" priority="10276" operator="containsText" text="FIRE">
      <formula>NOT(ISERROR(SEARCH("FIRE",T86)))</formula>
    </cfRule>
    <cfRule type="containsText" dxfId="9556" priority="10277" operator="containsText" text="COSH">
      <formula>NOT(ISERROR(SEARCH("COSH",T86)))</formula>
    </cfRule>
  </conditionalFormatting>
  <conditionalFormatting sqref="T71:U71">
    <cfRule type="containsText" dxfId="9555" priority="10272" operator="containsText" text="FAT">
      <formula>NOT(ISERROR(SEARCH("FAT",T71)))</formula>
    </cfRule>
    <cfRule type="containsText" dxfId="9554" priority="10273" operator="containsText" text="FIRE">
      <formula>NOT(ISERROR(SEARCH("FIRE",T71)))</formula>
    </cfRule>
    <cfRule type="containsText" dxfId="9553" priority="10274" operator="containsText" text="COSH">
      <formula>NOT(ISERROR(SEARCH("COSH",T71)))</formula>
    </cfRule>
  </conditionalFormatting>
  <conditionalFormatting sqref="AA67:AB67 AA69:AB69 AA85:AB85 AA87:AB87 AA72:AB75 AA77:AB80 AA82:AB83">
    <cfRule type="containsText" dxfId="9552" priority="10269" operator="containsText" text="FAT">
      <formula>NOT(ISERROR(SEARCH("FAT",AA67)))</formula>
    </cfRule>
    <cfRule type="containsText" dxfId="9551" priority="10270" operator="containsText" text="FIRE">
      <formula>NOT(ISERROR(SEARCH("FIRE",AA67)))</formula>
    </cfRule>
    <cfRule type="containsText" dxfId="9550" priority="10271" operator="containsText" text="COSH">
      <formula>NOT(ISERROR(SEARCH("COSH",AA67)))</formula>
    </cfRule>
  </conditionalFormatting>
  <conditionalFormatting sqref="AA68:AB68">
    <cfRule type="containsText" dxfId="9549" priority="10266" operator="containsText" text="FAT">
      <formula>NOT(ISERROR(SEARCH("FAT",AA68)))</formula>
    </cfRule>
    <cfRule type="containsText" dxfId="9548" priority="10267" operator="containsText" text="FIRE">
      <formula>NOT(ISERROR(SEARCH("FIRE",AA68)))</formula>
    </cfRule>
    <cfRule type="containsText" dxfId="9547" priority="10268" operator="containsText" text="COSH">
      <formula>NOT(ISERROR(SEARCH("COSH",AA68)))</formula>
    </cfRule>
  </conditionalFormatting>
  <conditionalFormatting sqref="AA81:AB81">
    <cfRule type="containsText" dxfId="9546" priority="10263" operator="containsText" text="FAT">
      <formula>NOT(ISERROR(SEARCH("FAT",AA81)))</formula>
    </cfRule>
    <cfRule type="containsText" dxfId="9545" priority="10264" operator="containsText" text="FIRE">
      <formula>NOT(ISERROR(SEARCH("FIRE",AA81)))</formula>
    </cfRule>
    <cfRule type="containsText" dxfId="9544" priority="10265" operator="containsText" text="COSH">
      <formula>NOT(ISERROR(SEARCH("COSH",AA81)))</formula>
    </cfRule>
  </conditionalFormatting>
  <conditionalFormatting sqref="AA76:AB76">
    <cfRule type="containsText" dxfId="9543" priority="10260" operator="containsText" text="FAT">
      <formula>NOT(ISERROR(SEARCH("FAT",AA76)))</formula>
    </cfRule>
    <cfRule type="containsText" dxfId="9542" priority="10261" operator="containsText" text="FIRE">
      <formula>NOT(ISERROR(SEARCH("FIRE",AA76)))</formula>
    </cfRule>
    <cfRule type="containsText" dxfId="9541" priority="10262" operator="containsText" text="COSH">
      <formula>NOT(ISERROR(SEARCH("COSH",AA76)))</formula>
    </cfRule>
  </conditionalFormatting>
  <conditionalFormatting sqref="AA84:AB84">
    <cfRule type="containsText" dxfId="9540" priority="10257" operator="containsText" text="FAT">
      <formula>NOT(ISERROR(SEARCH("FAT",AA84)))</formula>
    </cfRule>
    <cfRule type="containsText" dxfId="9539" priority="10258" operator="containsText" text="FIRE">
      <formula>NOT(ISERROR(SEARCH("FIRE",AA84)))</formula>
    </cfRule>
    <cfRule type="containsText" dxfId="9538" priority="10259" operator="containsText" text="COSH">
      <formula>NOT(ISERROR(SEARCH("COSH",AA84)))</formula>
    </cfRule>
  </conditionalFormatting>
  <conditionalFormatting sqref="AA86:AB86">
    <cfRule type="containsText" dxfId="9537" priority="10254" operator="containsText" text="FAT">
      <formula>NOT(ISERROR(SEARCH("FAT",AA86)))</formula>
    </cfRule>
    <cfRule type="containsText" dxfId="9536" priority="10255" operator="containsText" text="FIRE">
      <formula>NOT(ISERROR(SEARCH("FIRE",AA86)))</formula>
    </cfRule>
    <cfRule type="containsText" dxfId="9535" priority="10256" operator="containsText" text="COSH">
      <formula>NOT(ISERROR(SEARCH("COSH",AA86)))</formula>
    </cfRule>
  </conditionalFormatting>
  <conditionalFormatting sqref="AA71:AB71">
    <cfRule type="containsText" dxfId="9534" priority="10251" operator="containsText" text="FAT">
      <formula>NOT(ISERROR(SEARCH("FAT",AA71)))</formula>
    </cfRule>
    <cfRule type="containsText" dxfId="9533" priority="10252" operator="containsText" text="FIRE">
      <formula>NOT(ISERROR(SEARCH("FIRE",AA71)))</formula>
    </cfRule>
    <cfRule type="containsText" dxfId="9532" priority="10253" operator="containsText" text="COSH">
      <formula>NOT(ISERROR(SEARCH("COSH",AA71)))</formula>
    </cfRule>
  </conditionalFormatting>
  <conditionalFormatting sqref="AI67 AI69 AI82:AI83 AI77:AI80 AI85 AI87 AI72:AI75">
    <cfRule type="containsText" dxfId="9531" priority="10248" operator="containsText" text="FAT">
      <formula>NOT(ISERROR(SEARCH("FAT",AI67)))</formula>
    </cfRule>
    <cfRule type="containsText" dxfId="9530" priority="10249" operator="containsText" text="FIRE">
      <formula>NOT(ISERROR(SEARCH("FIRE",AI67)))</formula>
    </cfRule>
    <cfRule type="containsText" dxfId="9529" priority="10250" operator="containsText" text="COSH">
      <formula>NOT(ISERROR(SEARCH("COSH",AI67)))</formula>
    </cfRule>
  </conditionalFormatting>
  <conditionalFormatting sqref="AI68">
    <cfRule type="containsText" dxfId="9528" priority="10245" operator="containsText" text="FAT">
      <formula>NOT(ISERROR(SEARCH("FAT",AI68)))</formula>
    </cfRule>
    <cfRule type="containsText" dxfId="9527" priority="10246" operator="containsText" text="FIRE">
      <formula>NOT(ISERROR(SEARCH("FIRE",AI68)))</formula>
    </cfRule>
    <cfRule type="containsText" dxfId="9526" priority="10247" operator="containsText" text="COSH">
      <formula>NOT(ISERROR(SEARCH("COSH",AI68)))</formula>
    </cfRule>
  </conditionalFormatting>
  <conditionalFormatting sqref="AI81">
    <cfRule type="containsText" dxfId="9525" priority="10242" operator="containsText" text="FAT">
      <formula>NOT(ISERROR(SEARCH("FAT",AI81)))</formula>
    </cfRule>
    <cfRule type="containsText" dxfId="9524" priority="10243" operator="containsText" text="FIRE">
      <formula>NOT(ISERROR(SEARCH("FIRE",AI81)))</formula>
    </cfRule>
    <cfRule type="containsText" dxfId="9523" priority="10244" operator="containsText" text="COSH">
      <formula>NOT(ISERROR(SEARCH("COSH",AI81)))</formula>
    </cfRule>
  </conditionalFormatting>
  <conditionalFormatting sqref="AI84">
    <cfRule type="containsText" dxfId="9522" priority="10239" operator="containsText" text="FAT">
      <formula>NOT(ISERROR(SEARCH("FAT",AI84)))</formula>
    </cfRule>
    <cfRule type="containsText" dxfId="9521" priority="10240" operator="containsText" text="FIRE">
      <formula>NOT(ISERROR(SEARCH("FIRE",AI84)))</formula>
    </cfRule>
    <cfRule type="containsText" dxfId="9520" priority="10241" operator="containsText" text="COSH">
      <formula>NOT(ISERROR(SEARCH("COSH",AI84)))</formula>
    </cfRule>
  </conditionalFormatting>
  <conditionalFormatting sqref="AI86">
    <cfRule type="containsText" dxfId="9519" priority="10236" operator="containsText" text="FAT">
      <formula>NOT(ISERROR(SEARCH("FAT",AI86)))</formula>
    </cfRule>
    <cfRule type="containsText" dxfId="9518" priority="10237" operator="containsText" text="FIRE">
      <formula>NOT(ISERROR(SEARCH("FIRE",AI86)))</formula>
    </cfRule>
    <cfRule type="containsText" dxfId="9517" priority="10238" operator="containsText" text="COSH">
      <formula>NOT(ISERROR(SEARCH("COSH",AI86)))</formula>
    </cfRule>
  </conditionalFormatting>
  <conditionalFormatting sqref="AI71">
    <cfRule type="containsText" dxfId="9516" priority="10233" operator="containsText" text="FAT">
      <formula>NOT(ISERROR(SEARCH("FAT",AI71)))</formula>
    </cfRule>
    <cfRule type="containsText" dxfId="9515" priority="10234" operator="containsText" text="FIRE">
      <formula>NOT(ISERROR(SEARCH("FIRE",AI71)))</formula>
    </cfRule>
    <cfRule type="containsText" dxfId="9514" priority="10235" operator="containsText" text="COSH">
      <formula>NOT(ISERROR(SEARCH("COSH",AI71)))</formula>
    </cfRule>
  </conditionalFormatting>
  <conditionalFormatting sqref="AD105:AD106 AD108:AD111 AE111:AF111 AD113:AD116">
    <cfRule type="containsText" dxfId="9513" priority="10230" operator="containsText" text="FAT">
      <formula>NOT(ISERROR(SEARCH("FAT",AD105)))</formula>
    </cfRule>
    <cfRule type="containsText" dxfId="9512" priority="10231" operator="containsText" text="FIRE">
      <formula>NOT(ISERROR(SEARCH("FIRE",AD105)))</formula>
    </cfRule>
    <cfRule type="containsText" dxfId="9511" priority="10232" operator="containsText" text="COSH">
      <formula>NOT(ISERROR(SEARCH("COSH",AD105)))</formula>
    </cfRule>
  </conditionalFormatting>
  <conditionalFormatting sqref="AD112">
    <cfRule type="containsText" dxfId="9510" priority="10227" operator="containsText" text="FAT">
      <formula>NOT(ISERROR(SEARCH("FAT",AD112)))</formula>
    </cfRule>
    <cfRule type="containsText" dxfId="9509" priority="10228" operator="containsText" text="FIRE">
      <formula>NOT(ISERROR(SEARCH("FIRE",AD112)))</formula>
    </cfRule>
    <cfRule type="containsText" dxfId="9508" priority="10229" operator="containsText" text="COSH">
      <formula>NOT(ISERROR(SEARCH("COSH",AD112)))</formula>
    </cfRule>
  </conditionalFormatting>
  <conditionalFormatting sqref="AD104">
    <cfRule type="containsText" dxfId="9507" priority="10224" operator="containsText" text="FAT">
      <formula>NOT(ISERROR(SEARCH("FAT",AD104)))</formula>
    </cfRule>
    <cfRule type="containsText" dxfId="9506" priority="10225" operator="containsText" text="FIRE">
      <formula>NOT(ISERROR(SEARCH("FIRE",AD104)))</formula>
    </cfRule>
    <cfRule type="containsText" dxfId="9505" priority="10226" operator="containsText" text="COSH">
      <formula>NOT(ISERROR(SEARCH("COSH",AD104)))</formula>
    </cfRule>
  </conditionalFormatting>
  <conditionalFormatting sqref="AD102">
    <cfRule type="containsText" dxfId="9504" priority="10221" operator="containsText" text="FAT">
      <formula>NOT(ISERROR(SEARCH("FAT",AD102)))</formula>
    </cfRule>
    <cfRule type="containsText" dxfId="9503" priority="10222" operator="containsText" text="FIRE">
      <formula>NOT(ISERROR(SEARCH("FIRE",AD102)))</formula>
    </cfRule>
    <cfRule type="containsText" dxfId="9502" priority="10223" operator="containsText" text="COSH">
      <formula>NOT(ISERROR(SEARCH("COSH",AD102)))</formula>
    </cfRule>
  </conditionalFormatting>
  <conditionalFormatting sqref="AF103 AA103">
    <cfRule type="containsText" dxfId="9501" priority="10218" operator="containsText" text="FAT">
      <formula>NOT(ISERROR(SEARCH("FAT",AA103)))</formula>
    </cfRule>
    <cfRule type="containsText" dxfId="9500" priority="10219" operator="containsText" text="FIRE">
      <formula>NOT(ISERROR(SEARCH("FIRE",AA103)))</formula>
    </cfRule>
    <cfRule type="containsText" dxfId="9499" priority="10220" operator="containsText" text="COSH">
      <formula>NOT(ISERROR(SEARCH("COSH",AA103)))</formula>
    </cfRule>
  </conditionalFormatting>
  <conditionalFormatting sqref="AH103">
    <cfRule type="containsText" dxfId="9498" priority="10215" operator="containsText" text="FAT">
      <formula>NOT(ISERROR(SEARCH("FAT",AH103)))</formula>
    </cfRule>
    <cfRule type="containsText" dxfId="9497" priority="10216" operator="containsText" text="FIRE">
      <formula>NOT(ISERROR(SEARCH("FIRE",AH103)))</formula>
    </cfRule>
    <cfRule type="containsText" dxfId="9496" priority="10217" operator="containsText" text="COSH">
      <formula>NOT(ISERROR(SEARCH("COSH",AH103)))</formula>
    </cfRule>
  </conditionalFormatting>
  <conditionalFormatting sqref="AD103">
    <cfRule type="containsText" dxfId="9495" priority="10212" operator="containsText" text="FAT">
      <formula>NOT(ISERROR(SEARCH("FAT",AD103)))</formula>
    </cfRule>
    <cfRule type="containsText" dxfId="9494" priority="10213" operator="containsText" text="FIRE">
      <formula>NOT(ISERROR(SEARCH("FIRE",AD103)))</formula>
    </cfRule>
    <cfRule type="containsText" dxfId="9493" priority="10214" operator="containsText" text="COSH">
      <formula>NOT(ISERROR(SEARCH("COSH",AD103)))</formula>
    </cfRule>
  </conditionalFormatting>
  <conditionalFormatting sqref="E14">
    <cfRule type="duplicateValues" dxfId="9492" priority="10208"/>
  </conditionalFormatting>
  <conditionalFormatting sqref="E14">
    <cfRule type="duplicateValues" dxfId="9491" priority="10209"/>
  </conditionalFormatting>
  <conditionalFormatting sqref="E14">
    <cfRule type="duplicateValues" dxfId="9490" priority="10210"/>
  </conditionalFormatting>
  <conditionalFormatting sqref="E14">
    <cfRule type="duplicateValues" dxfId="9489" priority="10211"/>
  </conditionalFormatting>
  <conditionalFormatting sqref="E16">
    <cfRule type="duplicateValues" dxfId="9488" priority="10207"/>
  </conditionalFormatting>
  <conditionalFormatting sqref="E33">
    <cfRule type="duplicateValues" dxfId="9487" priority="10198"/>
  </conditionalFormatting>
  <conditionalFormatting sqref="E33">
    <cfRule type="duplicateValues" dxfId="9486" priority="10197"/>
  </conditionalFormatting>
  <conditionalFormatting sqref="E33">
    <cfRule type="duplicateValues" dxfId="9485" priority="10199"/>
  </conditionalFormatting>
  <conditionalFormatting sqref="E33">
    <cfRule type="duplicateValues" dxfId="9484" priority="10200"/>
  </conditionalFormatting>
  <conditionalFormatting sqref="E33">
    <cfRule type="duplicateValues" dxfId="9483" priority="10201"/>
  </conditionalFormatting>
  <conditionalFormatting sqref="E33">
    <cfRule type="duplicateValues" dxfId="9482" priority="10202"/>
  </conditionalFormatting>
  <conditionalFormatting sqref="E33">
    <cfRule type="duplicateValues" dxfId="9481" priority="10203"/>
  </conditionalFormatting>
  <conditionalFormatting sqref="E33">
    <cfRule type="duplicateValues" dxfId="9480" priority="10204"/>
  </conditionalFormatting>
  <conditionalFormatting sqref="E33">
    <cfRule type="duplicateValues" dxfId="9479" priority="10205"/>
  </conditionalFormatting>
  <conditionalFormatting sqref="E33">
    <cfRule type="duplicateValues" dxfId="9478" priority="10206"/>
  </conditionalFormatting>
  <conditionalFormatting sqref="AI42:AJ44">
    <cfRule type="containsText" dxfId="9477" priority="10194" operator="containsText" text="FAT">
      <formula>NOT(ISERROR(SEARCH("FAT",AI42)))</formula>
    </cfRule>
    <cfRule type="containsText" dxfId="9476" priority="10195" operator="containsText" text="FIRE">
      <formula>NOT(ISERROR(SEARCH("FIRE",AI42)))</formula>
    </cfRule>
    <cfRule type="containsText" dxfId="9475" priority="10196" operator="containsText" text="COSH">
      <formula>NOT(ISERROR(SEARCH("COSH",AI42)))</formula>
    </cfRule>
  </conditionalFormatting>
  <conditionalFormatting sqref="AG42:AG44">
    <cfRule type="containsText" dxfId="9474" priority="10191" operator="containsText" text="FAT">
      <formula>NOT(ISERROR(SEARCH("FAT",AG42)))</formula>
    </cfRule>
    <cfRule type="containsText" dxfId="9473" priority="10192" operator="containsText" text="FIRE">
      <formula>NOT(ISERROR(SEARCH("FIRE",AG42)))</formula>
    </cfRule>
    <cfRule type="containsText" dxfId="9472" priority="10193" operator="containsText" text="COSH">
      <formula>NOT(ISERROR(SEARCH("COSH",AG42)))</formula>
    </cfRule>
  </conditionalFormatting>
  <conditionalFormatting sqref="E46">
    <cfRule type="duplicateValues" dxfId="9471" priority="10182"/>
  </conditionalFormatting>
  <conditionalFormatting sqref="E46">
    <cfRule type="duplicateValues" dxfId="9470" priority="10181"/>
  </conditionalFormatting>
  <conditionalFormatting sqref="E46">
    <cfRule type="duplicateValues" dxfId="9469" priority="10183"/>
  </conditionalFormatting>
  <conditionalFormatting sqref="E46">
    <cfRule type="duplicateValues" dxfId="9468" priority="10184"/>
  </conditionalFormatting>
  <conditionalFormatting sqref="E46">
    <cfRule type="duplicateValues" dxfId="9467" priority="10185"/>
  </conditionalFormatting>
  <conditionalFormatting sqref="E46">
    <cfRule type="duplicateValues" dxfId="9466" priority="10186"/>
  </conditionalFormatting>
  <conditionalFormatting sqref="E46">
    <cfRule type="duplicateValues" dxfId="9465" priority="10187"/>
  </conditionalFormatting>
  <conditionalFormatting sqref="E46">
    <cfRule type="duplicateValues" dxfId="9464" priority="10188"/>
  </conditionalFormatting>
  <conditionalFormatting sqref="E46">
    <cfRule type="duplicateValues" dxfId="9463" priority="10189"/>
  </conditionalFormatting>
  <conditionalFormatting sqref="E46">
    <cfRule type="duplicateValues" dxfId="9462" priority="10190"/>
  </conditionalFormatting>
  <conditionalFormatting sqref="E57">
    <cfRule type="duplicateValues" dxfId="9461" priority="10172"/>
  </conditionalFormatting>
  <conditionalFormatting sqref="E57">
    <cfRule type="duplicateValues" dxfId="9460" priority="10173"/>
  </conditionalFormatting>
  <conditionalFormatting sqref="E57">
    <cfRule type="duplicateValues" dxfId="9459" priority="10174"/>
  </conditionalFormatting>
  <conditionalFormatting sqref="E57">
    <cfRule type="duplicateValues" dxfId="9458" priority="10175"/>
  </conditionalFormatting>
  <conditionalFormatting sqref="E57">
    <cfRule type="duplicateValues" dxfId="9457" priority="10176"/>
  </conditionalFormatting>
  <conditionalFormatting sqref="E57">
    <cfRule type="duplicateValues" dxfId="9456" priority="10177"/>
  </conditionalFormatting>
  <conditionalFormatting sqref="E57">
    <cfRule type="duplicateValues" dxfId="9455" priority="10178"/>
  </conditionalFormatting>
  <conditionalFormatting sqref="E57">
    <cfRule type="duplicateValues" dxfId="9454" priority="10179"/>
  </conditionalFormatting>
  <conditionalFormatting sqref="E57">
    <cfRule type="duplicateValues" dxfId="9453" priority="10180"/>
  </conditionalFormatting>
  <conditionalFormatting sqref="AA56:AE56 AA45:AE46 AA48:AE51 AA58:AE58">
    <cfRule type="containsText" dxfId="9452" priority="10169" operator="containsText" text="FAT">
      <formula>NOT(ISERROR(SEARCH("FAT",AA45)))</formula>
    </cfRule>
    <cfRule type="containsText" dxfId="9451" priority="10170" operator="containsText" text="FIRE">
      <formula>NOT(ISERROR(SEARCH("FIRE",AA45)))</formula>
    </cfRule>
    <cfRule type="containsText" dxfId="9450" priority="10171" operator="containsText" text="COSH">
      <formula>NOT(ISERROR(SEARCH("COSH",AA45)))</formula>
    </cfRule>
  </conditionalFormatting>
  <conditionalFormatting sqref="AA52:AE52 AA60:AE60">
    <cfRule type="containsText" dxfId="9449" priority="10166" operator="containsText" text="FAT">
      <formula>NOT(ISERROR(SEARCH("FAT",AA52)))</formula>
    </cfRule>
    <cfRule type="containsText" dxfId="9448" priority="10167" operator="containsText" text="FIRE">
      <formula>NOT(ISERROR(SEARCH("FIRE",AA52)))</formula>
    </cfRule>
    <cfRule type="containsText" dxfId="9447" priority="10168" operator="containsText" text="COSH">
      <formula>NOT(ISERROR(SEARCH("COSH",AA52)))</formula>
    </cfRule>
  </conditionalFormatting>
  <conditionalFormatting sqref="AA47:AE47">
    <cfRule type="containsText" dxfId="9446" priority="10163" operator="containsText" text="FAT">
      <formula>NOT(ISERROR(SEARCH("FAT",AA47)))</formula>
    </cfRule>
    <cfRule type="containsText" dxfId="9445" priority="10164" operator="containsText" text="FIRE">
      <formula>NOT(ISERROR(SEARCH("FIRE",AA47)))</formula>
    </cfRule>
    <cfRule type="containsText" dxfId="9444" priority="10165" operator="containsText" text="COSH">
      <formula>NOT(ISERROR(SEARCH("COSH",AA47)))</formula>
    </cfRule>
  </conditionalFormatting>
  <conditionalFormatting sqref="AA41:AE41">
    <cfRule type="containsText" dxfId="9443" priority="10160" operator="containsText" text="FAT">
      <formula>NOT(ISERROR(SEARCH("FAT",AA41)))</formula>
    </cfRule>
    <cfRule type="containsText" dxfId="9442" priority="10161" operator="containsText" text="FIRE">
      <formula>NOT(ISERROR(SEARCH("FIRE",AA41)))</formula>
    </cfRule>
    <cfRule type="containsText" dxfId="9441" priority="10162" operator="containsText" text="COSH">
      <formula>NOT(ISERROR(SEARCH("COSH",AA41)))</formula>
    </cfRule>
  </conditionalFormatting>
  <conditionalFormatting sqref="AA42:AE44">
    <cfRule type="containsText" dxfId="9440" priority="10157" operator="containsText" text="FAT">
      <formula>NOT(ISERROR(SEARCH("FAT",AA42)))</formula>
    </cfRule>
    <cfRule type="containsText" dxfId="9439" priority="10158" operator="containsText" text="FIRE">
      <formula>NOT(ISERROR(SEARCH("FIRE",AA42)))</formula>
    </cfRule>
    <cfRule type="containsText" dxfId="9438" priority="10159" operator="containsText" text="COSH">
      <formula>NOT(ISERROR(SEARCH("COSH",AA42)))</formula>
    </cfRule>
  </conditionalFormatting>
  <conditionalFormatting sqref="E64:F64">
    <cfRule type="containsText" dxfId="9437" priority="10154" operator="containsText" text="FAT">
      <formula>NOT(ISERROR(SEARCH("FAT",E64)))</formula>
    </cfRule>
    <cfRule type="containsText" dxfId="9436" priority="10155" operator="containsText" text="FIRE">
      <formula>NOT(ISERROR(SEARCH("FIRE",E64)))</formula>
    </cfRule>
    <cfRule type="containsText" dxfId="9435" priority="10156" operator="containsText" text="COSH">
      <formula>NOT(ISERROR(SEARCH("COSH",E64)))</formula>
    </cfRule>
  </conditionalFormatting>
  <conditionalFormatting sqref="E77">
    <cfRule type="duplicateValues" dxfId="9434" priority="10145"/>
  </conditionalFormatting>
  <conditionalFormatting sqref="E77">
    <cfRule type="duplicateValues" dxfId="9433" priority="10144"/>
  </conditionalFormatting>
  <conditionalFormatting sqref="E77">
    <cfRule type="duplicateValues" dxfId="9432" priority="10143"/>
  </conditionalFormatting>
  <conditionalFormatting sqref="E77">
    <cfRule type="duplicateValues" dxfId="9431" priority="10146"/>
  </conditionalFormatting>
  <conditionalFormatting sqref="E77">
    <cfRule type="duplicateValues" dxfId="9430" priority="10147"/>
  </conditionalFormatting>
  <conditionalFormatting sqref="E77">
    <cfRule type="duplicateValues" dxfId="9429" priority="10148"/>
  </conditionalFormatting>
  <conditionalFormatting sqref="E77">
    <cfRule type="duplicateValues" dxfId="9428" priority="10149"/>
  </conditionalFormatting>
  <conditionalFormatting sqref="E77">
    <cfRule type="duplicateValues" dxfId="9427" priority="10150"/>
  </conditionalFormatting>
  <conditionalFormatting sqref="E77">
    <cfRule type="duplicateValues" dxfId="9426" priority="10151"/>
  </conditionalFormatting>
  <conditionalFormatting sqref="E77">
    <cfRule type="duplicateValues" dxfId="9425" priority="10152"/>
  </conditionalFormatting>
  <conditionalFormatting sqref="E77">
    <cfRule type="duplicateValues" dxfId="9424" priority="10153"/>
  </conditionalFormatting>
  <conditionalFormatting sqref="E86">
    <cfRule type="duplicateValues" dxfId="9423" priority="10134"/>
  </conditionalFormatting>
  <conditionalFormatting sqref="E86">
    <cfRule type="duplicateValues" dxfId="9422" priority="10135"/>
  </conditionalFormatting>
  <conditionalFormatting sqref="E86">
    <cfRule type="duplicateValues" dxfId="9421" priority="10136"/>
  </conditionalFormatting>
  <conditionalFormatting sqref="E86">
    <cfRule type="duplicateValues" dxfId="9420" priority="10137"/>
  </conditionalFormatting>
  <conditionalFormatting sqref="E86">
    <cfRule type="duplicateValues" dxfId="9419" priority="10138"/>
  </conditionalFormatting>
  <conditionalFormatting sqref="E86">
    <cfRule type="duplicateValues" dxfId="9418" priority="10139"/>
  </conditionalFormatting>
  <conditionalFormatting sqref="E86">
    <cfRule type="duplicateValues" dxfId="9417" priority="10140"/>
  </conditionalFormatting>
  <conditionalFormatting sqref="E86">
    <cfRule type="duplicateValues" dxfId="9416" priority="10141"/>
  </conditionalFormatting>
  <conditionalFormatting sqref="E86">
    <cfRule type="duplicateValues" dxfId="9415" priority="10142"/>
  </conditionalFormatting>
  <conditionalFormatting sqref="L67 L69 L71:M87">
    <cfRule type="containsText" dxfId="9414" priority="10131" operator="containsText" text="FAT">
      <formula>NOT(ISERROR(SEARCH("FAT",L67)))</formula>
    </cfRule>
    <cfRule type="containsText" dxfId="9413" priority="10132" operator="containsText" text="FIRE">
      <formula>NOT(ISERROR(SEARCH("FIRE",L67)))</formula>
    </cfRule>
    <cfRule type="containsText" dxfId="9412" priority="10133" operator="containsText" text="COSH">
      <formula>NOT(ISERROR(SEARCH("COSH",L67)))</formula>
    </cfRule>
  </conditionalFormatting>
  <conditionalFormatting sqref="L68">
    <cfRule type="containsText" dxfId="9411" priority="10128" operator="containsText" text="FAT">
      <formula>NOT(ISERROR(SEARCH("FAT",L68)))</formula>
    </cfRule>
    <cfRule type="containsText" dxfId="9410" priority="10129" operator="containsText" text="FIRE">
      <formula>NOT(ISERROR(SEARCH("FIRE",L68)))</formula>
    </cfRule>
    <cfRule type="containsText" dxfId="9409" priority="10130" operator="containsText" text="COSH">
      <formula>NOT(ISERROR(SEARCH("COSH",L68)))</formula>
    </cfRule>
  </conditionalFormatting>
  <conditionalFormatting sqref="L81">
    <cfRule type="containsText" dxfId="9408" priority="10125" operator="containsText" text="FAT">
      <formula>NOT(ISERROR(SEARCH("FAT",L81)))</formula>
    </cfRule>
    <cfRule type="containsText" dxfId="9407" priority="10126" operator="containsText" text="FIRE">
      <formula>NOT(ISERROR(SEARCH("FIRE",L81)))</formula>
    </cfRule>
    <cfRule type="containsText" dxfId="9406" priority="10127" operator="containsText" text="COSH">
      <formula>NOT(ISERROR(SEARCH("COSH",L81)))</formula>
    </cfRule>
  </conditionalFormatting>
  <conditionalFormatting sqref="L76">
    <cfRule type="containsText" dxfId="9405" priority="10122" operator="containsText" text="FAT">
      <formula>NOT(ISERROR(SEARCH("FAT",L76)))</formula>
    </cfRule>
    <cfRule type="containsText" dxfId="9404" priority="10123" operator="containsText" text="FIRE">
      <formula>NOT(ISERROR(SEARCH("FIRE",L76)))</formula>
    </cfRule>
    <cfRule type="containsText" dxfId="9403" priority="10124" operator="containsText" text="COSH">
      <formula>NOT(ISERROR(SEARCH("COSH",L76)))</formula>
    </cfRule>
  </conditionalFormatting>
  <conditionalFormatting sqref="L84">
    <cfRule type="containsText" dxfId="9402" priority="10119" operator="containsText" text="FAT">
      <formula>NOT(ISERROR(SEARCH("FAT",L84)))</formula>
    </cfRule>
    <cfRule type="containsText" dxfId="9401" priority="10120" operator="containsText" text="FIRE">
      <formula>NOT(ISERROR(SEARCH("FIRE",L84)))</formula>
    </cfRule>
    <cfRule type="containsText" dxfId="9400" priority="10121" operator="containsText" text="COSH">
      <formula>NOT(ISERROR(SEARCH("COSH",L84)))</formula>
    </cfRule>
  </conditionalFormatting>
  <conditionalFormatting sqref="L86">
    <cfRule type="containsText" dxfId="9399" priority="10116" operator="containsText" text="FAT">
      <formula>NOT(ISERROR(SEARCH("FAT",L86)))</formula>
    </cfRule>
    <cfRule type="containsText" dxfId="9398" priority="10117" operator="containsText" text="FIRE">
      <formula>NOT(ISERROR(SEARCH("FIRE",L86)))</formula>
    </cfRule>
    <cfRule type="containsText" dxfId="9397" priority="10118" operator="containsText" text="COSH">
      <formula>NOT(ISERROR(SEARCH("COSH",L86)))</formula>
    </cfRule>
  </conditionalFormatting>
  <conditionalFormatting sqref="L71">
    <cfRule type="containsText" dxfId="9396" priority="10113" operator="containsText" text="FAT">
      <formula>NOT(ISERROR(SEARCH("FAT",L71)))</formula>
    </cfRule>
    <cfRule type="containsText" dxfId="9395" priority="10114" operator="containsText" text="FIRE">
      <formula>NOT(ISERROR(SEARCH("FIRE",L71)))</formula>
    </cfRule>
    <cfRule type="containsText" dxfId="9394" priority="10115" operator="containsText" text="COSH">
      <formula>NOT(ISERROR(SEARCH("COSH",L71)))</formula>
    </cfRule>
  </conditionalFormatting>
  <conditionalFormatting sqref="S67 S69 S72:S75 S77:S79 S82:S87">
    <cfRule type="containsText" dxfId="9393" priority="10110" operator="containsText" text="FAT">
      <formula>NOT(ISERROR(SEARCH("FAT",S67)))</formula>
    </cfRule>
    <cfRule type="containsText" dxfId="9392" priority="10111" operator="containsText" text="FIRE">
      <formula>NOT(ISERROR(SEARCH("FIRE",S67)))</formula>
    </cfRule>
    <cfRule type="containsText" dxfId="9391" priority="10112" operator="containsText" text="COSH">
      <formula>NOT(ISERROR(SEARCH("COSH",S67)))</formula>
    </cfRule>
  </conditionalFormatting>
  <conditionalFormatting sqref="S68">
    <cfRule type="containsText" dxfId="9390" priority="10107" operator="containsText" text="FAT">
      <formula>NOT(ISERROR(SEARCH("FAT",S68)))</formula>
    </cfRule>
    <cfRule type="containsText" dxfId="9389" priority="10108" operator="containsText" text="FIRE">
      <formula>NOT(ISERROR(SEARCH("FIRE",S68)))</formula>
    </cfRule>
    <cfRule type="containsText" dxfId="9388" priority="10109" operator="containsText" text="COSH">
      <formula>NOT(ISERROR(SEARCH("COSH",S68)))</formula>
    </cfRule>
  </conditionalFormatting>
  <conditionalFormatting sqref="S81">
    <cfRule type="containsText" dxfId="9387" priority="10104" operator="containsText" text="FAT">
      <formula>NOT(ISERROR(SEARCH("FAT",S81)))</formula>
    </cfRule>
    <cfRule type="containsText" dxfId="9386" priority="10105" operator="containsText" text="FIRE">
      <formula>NOT(ISERROR(SEARCH("FIRE",S81)))</formula>
    </cfRule>
    <cfRule type="containsText" dxfId="9385" priority="10106" operator="containsText" text="COSH">
      <formula>NOT(ISERROR(SEARCH("COSH",S81)))</formula>
    </cfRule>
  </conditionalFormatting>
  <conditionalFormatting sqref="S76">
    <cfRule type="containsText" dxfId="9384" priority="10101" operator="containsText" text="FAT">
      <formula>NOT(ISERROR(SEARCH("FAT",S76)))</formula>
    </cfRule>
    <cfRule type="containsText" dxfId="9383" priority="10102" operator="containsText" text="FIRE">
      <formula>NOT(ISERROR(SEARCH("FIRE",S76)))</formula>
    </cfRule>
    <cfRule type="containsText" dxfId="9382" priority="10103" operator="containsText" text="COSH">
      <formula>NOT(ISERROR(SEARCH("COSH",S76)))</formula>
    </cfRule>
  </conditionalFormatting>
  <conditionalFormatting sqref="S84">
    <cfRule type="containsText" dxfId="9381" priority="10098" operator="containsText" text="FAT">
      <formula>NOT(ISERROR(SEARCH("FAT",S84)))</formula>
    </cfRule>
    <cfRule type="containsText" dxfId="9380" priority="10099" operator="containsText" text="FIRE">
      <formula>NOT(ISERROR(SEARCH("FIRE",S84)))</formula>
    </cfRule>
    <cfRule type="containsText" dxfId="9379" priority="10100" operator="containsText" text="COSH">
      <formula>NOT(ISERROR(SEARCH("COSH",S84)))</formula>
    </cfRule>
  </conditionalFormatting>
  <conditionalFormatting sqref="S86">
    <cfRule type="containsText" dxfId="9378" priority="10095" operator="containsText" text="FAT">
      <formula>NOT(ISERROR(SEARCH("FAT",S86)))</formula>
    </cfRule>
    <cfRule type="containsText" dxfId="9377" priority="10096" operator="containsText" text="FIRE">
      <formula>NOT(ISERROR(SEARCH("FIRE",S86)))</formula>
    </cfRule>
    <cfRule type="containsText" dxfId="9376" priority="10097" operator="containsText" text="COSH">
      <formula>NOT(ISERROR(SEARCH("COSH",S86)))</formula>
    </cfRule>
  </conditionalFormatting>
  <conditionalFormatting sqref="S71">
    <cfRule type="containsText" dxfId="9375" priority="10092" operator="containsText" text="FAT">
      <formula>NOT(ISERROR(SEARCH("FAT",S71)))</formula>
    </cfRule>
    <cfRule type="containsText" dxfId="9374" priority="10093" operator="containsText" text="FIRE">
      <formula>NOT(ISERROR(SEARCH("FIRE",S71)))</formula>
    </cfRule>
    <cfRule type="containsText" dxfId="9373" priority="10094" operator="containsText" text="COSH">
      <formula>NOT(ISERROR(SEARCH("COSH",S71)))</formula>
    </cfRule>
  </conditionalFormatting>
  <conditionalFormatting sqref="Y67 Y85 Y87 Y72:Y75 Y77:Y79 Y82:Y83 Y69 AA69:AB69">
    <cfRule type="containsText" dxfId="9372" priority="10089" operator="containsText" text="FAT">
      <formula>NOT(ISERROR(SEARCH("FAT",Y67)))</formula>
    </cfRule>
    <cfRule type="containsText" dxfId="9371" priority="10090" operator="containsText" text="FIRE">
      <formula>NOT(ISERROR(SEARCH("FIRE",Y67)))</formula>
    </cfRule>
    <cfRule type="containsText" dxfId="9370" priority="10091" operator="containsText" text="COSH">
      <formula>NOT(ISERROR(SEARCH("COSH",Y67)))</formula>
    </cfRule>
  </conditionalFormatting>
  <conditionalFormatting sqref="Y68">
    <cfRule type="containsText" dxfId="9369" priority="10086" operator="containsText" text="FAT">
      <formula>NOT(ISERROR(SEARCH("FAT",Y68)))</formula>
    </cfRule>
    <cfRule type="containsText" dxfId="9368" priority="10087" operator="containsText" text="FIRE">
      <formula>NOT(ISERROR(SEARCH("FIRE",Y68)))</formula>
    </cfRule>
    <cfRule type="containsText" dxfId="9367" priority="10088" operator="containsText" text="COSH">
      <formula>NOT(ISERROR(SEARCH("COSH",Y68)))</formula>
    </cfRule>
  </conditionalFormatting>
  <conditionalFormatting sqref="Y81">
    <cfRule type="containsText" dxfId="9366" priority="10083" operator="containsText" text="FAT">
      <formula>NOT(ISERROR(SEARCH("FAT",Y81)))</formula>
    </cfRule>
    <cfRule type="containsText" dxfId="9365" priority="10084" operator="containsText" text="FIRE">
      <formula>NOT(ISERROR(SEARCH("FIRE",Y81)))</formula>
    </cfRule>
    <cfRule type="containsText" dxfId="9364" priority="10085" operator="containsText" text="COSH">
      <formula>NOT(ISERROR(SEARCH("COSH",Y81)))</formula>
    </cfRule>
  </conditionalFormatting>
  <conditionalFormatting sqref="Y76">
    <cfRule type="containsText" dxfId="9363" priority="10080" operator="containsText" text="FAT">
      <formula>NOT(ISERROR(SEARCH("FAT",Y76)))</formula>
    </cfRule>
    <cfRule type="containsText" dxfId="9362" priority="10081" operator="containsText" text="FIRE">
      <formula>NOT(ISERROR(SEARCH("FIRE",Y76)))</formula>
    </cfRule>
    <cfRule type="containsText" dxfId="9361" priority="10082" operator="containsText" text="COSH">
      <formula>NOT(ISERROR(SEARCH("COSH",Y76)))</formula>
    </cfRule>
  </conditionalFormatting>
  <conditionalFormatting sqref="Y84">
    <cfRule type="containsText" dxfId="9360" priority="10077" operator="containsText" text="FAT">
      <formula>NOT(ISERROR(SEARCH("FAT",Y84)))</formula>
    </cfRule>
    <cfRule type="containsText" dxfId="9359" priority="10078" operator="containsText" text="FIRE">
      <formula>NOT(ISERROR(SEARCH("FIRE",Y84)))</formula>
    </cfRule>
    <cfRule type="containsText" dxfId="9358" priority="10079" operator="containsText" text="COSH">
      <formula>NOT(ISERROR(SEARCH("COSH",Y84)))</formula>
    </cfRule>
  </conditionalFormatting>
  <conditionalFormatting sqref="Y86">
    <cfRule type="containsText" dxfId="9357" priority="10074" operator="containsText" text="FAT">
      <formula>NOT(ISERROR(SEARCH("FAT",Y86)))</formula>
    </cfRule>
    <cfRule type="containsText" dxfId="9356" priority="10075" operator="containsText" text="FIRE">
      <formula>NOT(ISERROR(SEARCH("FIRE",Y86)))</formula>
    </cfRule>
    <cfRule type="containsText" dxfId="9355" priority="10076" operator="containsText" text="COSH">
      <formula>NOT(ISERROR(SEARCH("COSH",Y86)))</formula>
    </cfRule>
  </conditionalFormatting>
  <conditionalFormatting sqref="Y71">
    <cfRule type="containsText" dxfId="9354" priority="10071" operator="containsText" text="FAT">
      <formula>NOT(ISERROR(SEARCH("FAT",Y71)))</formula>
    </cfRule>
    <cfRule type="containsText" dxfId="9353" priority="10072" operator="containsText" text="FIRE">
      <formula>NOT(ISERROR(SEARCH("FIRE",Y71)))</formula>
    </cfRule>
    <cfRule type="containsText" dxfId="9352" priority="10073" operator="containsText" text="COSH">
      <formula>NOT(ISERROR(SEARCH("COSH",Y71)))</formula>
    </cfRule>
  </conditionalFormatting>
  <conditionalFormatting sqref="AG67 AG69 AG82:AG83 AG77:AG80 AG85 AG87 AG72:AG75">
    <cfRule type="containsText" dxfId="9351" priority="10068" operator="containsText" text="FAT">
      <formula>NOT(ISERROR(SEARCH("FAT",AG67)))</formula>
    </cfRule>
    <cfRule type="containsText" dxfId="9350" priority="10069" operator="containsText" text="FIRE">
      <formula>NOT(ISERROR(SEARCH("FIRE",AG67)))</formula>
    </cfRule>
    <cfRule type="containsText" dxfId="9349" priority="10070" operator="containsText" text="COSH">
      <formula>NOT(ISERROR(SEARCH("COSH",AG67)))</formula>
    </cfRule>
  </conditionalFormatting>
  <conditionalFormatting sqref="AG68">
    <cfRule type="containsText" dxfId="9348" priority="10065" operator="containsText" text="FAT">
      <formula>NOT(ISERROR(SEARCH("FAT",AG68)))</formula>
    </cfRule>
    <cfRule type="containsText" dxfId="9347" priority="10066" operator="containsText" text="FIRE">
      <formula>NOT(ISERROR(SEARCH("FIRE",AG68)))</formula>
    </cfRule>
    <cfRule type="containsText" dxfId="9346" priority="10067" operator="containsText" text="COSH">
      <formula>NOT(ISERROR(SEARCH("COSH",AG68)))</formula>
    </cfRule>
  </conditionalFormatting>
  <conditionalFormatting sqref="AG81">
    <cfRule type="containsText" dxfId="9345" priority="10062" operator="containsText" text="FAT">
      <formula>NOT(ISERROR(SEARCH("FAT",AG81)))</formula>
    </cfRule>
    <cfRule type="containsText" dxfId="9344" priority="10063" operator="containsText" text="FIRE">
      <formula>NOT(ISERROR(SEARCH("FIRE",AG81)))</formula>
    </cfRule>
    <cfRule type="containsText" dxfId="9343" priority="10064" operator="containsText" text="COSH">
      <formula>NOT(ISERROR(SEARCH("COSH",AG81)))</formula>
    </cfRule>
  </conditionalFormatting>
  <conditionalFormatting sqref="AG76">
    <cfRule type="containsText" dxfId="9342" priority="10059" operator="containsText" text="FAT">
      <formula>NOT(ISERROR(SEARCH("FAT",AG76)))</formula>
    </cfRule>
    <cfRule type="containsText" dxfId="9341" priority="10060" operator="containsText" text="FIRE">
      <formula>NOT(ISERROR(SEARCH("FIRE",AG76)))</formula>
    </cfRule>
    <cfRule type="containsText" dxfId="9340" priority="10061" operator="containsText" text="COSH">
      <formula>NOT(ISERROR(SEARCH("COSH",AG76)))</formula>
    </cfRule>
  </conditionalFormatting>
  <conditionalFormatting sqref="AG84">
    <cfRule type="containsText" dxfId="9339" priority="10056" operator="containsText" text="FAT">
      <formula>NOT(ISERROR(SEARCH("FAT",AG84)))</formula>
    </cfRule>
    <cfRule type="containsText" dxfId="9338" priority="10057" operator="containsText" text="FIRE">
      <formula>NOT(ISERROR(SEARCH("FIRE",AG84)))</formula>
    </cfRule>
    <cfRule type="containsText" dxfId="9337" priority="10058" operator="containsText" text="COSH">
      <formula>NOT(ISERROR(SEARCH("COSH",AG84)))</formula>
    </cfRule>
  </conditionalFormatting>
  <conditionalFormatting sqref="AG86">
    <cfRule type="containsText" dxfId="9336" priority="10053" operator="containsText" text="FAT">
      <formula>NOT(ISERROR(SEARCH("FAT",AG86)))</formula>
    </cfRule>
    <cfRule type="containsText" dxfId="9335" priority="10054" operator="containsText" text="FIRE">
      <formula>NOT(ISERROR(SEARCH("FIRE",AG86)))</formula>
    </cfRule>
    <cfRule type="containsText" dxfId="9334" priority="10055" operator="containsText" text="COSH">
      <formula>NOT(ISERROR(SEARCH("COSH",AG86)))</formula>
    </cfRule>
  </conditionalFormatting>
  <conditionalFormatting sqref="AG71">
    <cfRule type="containsText" dxfId="9333" priority="10050" operator="containsText" text="FAT">
      <formula>NOT(ISERROR(SEARCH("FAT",AG71)))</formula>
    </cfRule>
    <cfRule type="containsText" dxfId="9332" priority="10051" operator="containsText" text="FIRE">
      <formula>NOT(ISERROR(SEARCH("FIRE",AG71)))</formula>
    </cfRule>
    <cfRule type="containsText" dxfId="9331" priority="10052" operator="containsText" text="COSH">
      <formula>NOT(ISERROR(SEARCH("COSH",AG71)))</formula>
    </cfRule>
  </conditionalFormatting>
  <conditionalFormatting sqref="AB105:AB106 AB108:AB111 AB113:AB116">
    <cfRule type="containsText" dxfId="9330" priority="10047" operator="containsText" text="FAT">
      <formula>NOT(ISERROR(SEARCH("FAT",AB105)))</formula>
    </cfRule>
    <cfRule type="containsText" dxfId="9329" priority="10048" operator="containsText" text="FIRE">
      <formula>NOT(ISERROR(SEARCH("FIRE",AB105)))</formula>
    </cfRule>
    <cfRule type="containsText" dxfId="9328" priority="10049" operator="containsText" text="COSH">
      <formula>NOT(ISERROR(SEARCH("COSH",AB105)))</formula>
    </cfRule>
  </conditionalFormatting>
  <conditionalFormatting sqref="AB104">
    <cfRule type="containsText" dxfId="9327" priority="10044" operator="containsText" text="FAT">
      <formula>NOT(ISERROR(SEARCH("FAT",AB104)))</formula>
    </cfRule>
    <cfRule type="containsText" dxfId="9326" priority="10045" operator="containsText" text="FIRE">
      <formula>NOT(ISERROR(SEARCH("FIRE",AB104)))</formula>
    </cfRule>
    <cfRule type="containsText" dxfId="9325" priority="10046" operator="containsText" text="COSH">
      <formula>NOT(ISERROR(SEARCH("COSH",AB104)))</formula>
    </cfRule>
  </conditionalFormatting>
  <conditionalFormatting sqref="AB107">
    <cfRule type="containsText" dxfId="9324" priority="10041" operator="containsText" text="FAT">
      <formula>NOT(ISERROR(SEARCH("FAT",AB107)))</formula>
    </cfRule>
    <cfRule type="containsText" dxfId="9323" priority="10042" operator="containsText" text="FIRE">
      <formula>NOT(ISERROR(SEARCH("FIRE",AB107)))</formula>
    </cfRule>
    <cfRule type="containsText" dxfId="9322" priority="10043" operator="containsText" text="COSH">
      <formula>NOT(ISERROR(SEARCH("COSH",AB107)))</formula>
    </cfRule>
  </conditionalFormatting>
  <conditionalFormatting sqref="AB103">
    <cfRule type="containsText" dxfId="9321" priority="10038" operator="containsText" text="FAT">
      <formula>NOT(ISERROR(SEARCH("FAT",AB103)))</formula>
    </cfRule>
    <cfRule type="containsText" dxfId="9320" priority="10039" operator="containsText" text="FIRE">
      <formula>NOT(ISERROR(SEARCH("FIRE",AB103)))</formula>
    </cfRule>
    <cfRule type="containsText" dxfId="9319" priority="10040" operator="containsText" text="COSH">
      <formula>NOT(ISERROR(SEARCH("COSH",AB103)))</formula>
    </cfRule>
  </conditionalFormatting>
  <conditionalFormatting sqref="AI105:AJ106 AI108:AJ111 AI113:AJ116">
    <cfRule type="containsText" dxfId="9318" priority="10035" operator="containsText" text="FAT">
      <formula>NOT(ISERROR(SEARCH("FAT",AI105)))</formula>
    </cfRule>
    <cfRule type="containsText" dxfId="9317" priority="10036" operator="containsText" text="FIRE">
      <formula>NOT(ISERROR(SEARCH("FIRE",AI105)))</formula>
    </cfRule>
    <cfRule type="containsText" dxfId="9316" priority="10037" operator="containsText" text="COSH">
      <formula>NOT(ISERROR(SEARCH("COSH",AI105)))</formula>
    </cfRule>
  </conditionalFormatting>
  <conditionalFormatting sqref="AI112:AJ112">
    <cfRule type="containsText" dxfId="9315" priority="10032" operator="containsText" text="FAT">
      <formula>NOT(ISERROR(SEARCH("FAT",AI112)))</formula>
    </cfRule>
    <cfRule type="containsText" dxfId="9314" priority="10033" operator="containsText" text="FIRE">
      <formula>NOT(ISERROR(SEARCH("FIRE",AI112)))</formula>
    </cfRule>
    <cfRule type="containsText" dxfId="9313" priority="10034" operator="containsText" text="COSH">
      <formula>NOT(ISERROR(SEARCH("COSH",AI112)))</formula>
    </cfRule>
  </conditionalFormatting>
  <conditionalFormatting sqref="AI104:AJ104">
    <cfRule type="containsText" dxfId="9312" priority="10029" operator="containsText" text="FAT">
      <formula>NOT(ISERROR(SEARCH("FAT",AI104)))</formula>
    </cfRule>
    <cfRule type="containsText" dxfId="9311" priority="10030" operator="containsText" text="FIRE">
      <formula>NOT(ISERROR(SEARCH("FIRE",AI104)))</formula>
    </cfRule>
    <cfRule type="containsText" dxfId="9310" priority="10031" operator="containsText" text="COSH">
      <formula>NOT(ISERROR(SEARCH("COSH",AI104)))</formula>
    </cfRule>
  </conditionalFormatting>
  <conditionalFormatting sqref="AI102:AJ102">
    <cfRule type="containsText" dxfId="9309" priority="10026" operator="containsText" text="FAT">
      <formula>NOT(ISERROR(SEARCH("FAT",AI102)))</formula>
    </cfRule>
    <cfRule type="containsText" dxfId="9308" priority="10027" operator="containsText" text="FIRE">
      <formula>NOT(ISERROR(SEARCH("FIRE",AI102)))</formula>
    </cfRule>
    <cfRule type="containsText" dxfId="9307" priority="10028" operator="containsText" text="COSH">
      <formula>NOT(ISERROR(SEARCH("COSH",AI102)))</formula>
    </cfRule>
  </conditionalFormatting>
  <conditionalFormatting sqref="AI107:AJ107">
    <cfRule type="containsText" dxfId="9306" priority="10023" operator="containsText" text="FAT">
      <formula>NOT(ISERROR(SEARCH("FAT",AI107)))</formula>
    </cfRule>
    <cfRule type="containsText" dxfId="9305" priority="10024" operator="containsText" text="FIRE">
      <formula>NOT(ISERROR(SEARCH("FIRE",AI107)))</formula>
    </cfRule>
    <cfRule type="containsText" dxfId="9304" priority="10025" operator="containsText" text="COSH">
      <formula>NOT(ISERROR(SEARCH("COSH",AI107)))</formula>
    </cfRule>
  </conditionalFormatting>
  <conditionalFormatting sqref="AI103:AJ103">
    <cfRule type="containsText" dxfId="9303" priority="10020" operator="containsText" text="FAT">
      <formula>NOT(ISERROR(SEARCH("FAT",AI103)))</formula>
    </cfRule>
    <cfRule type="containsText" dxfId="9302" priority="10021" operator="containsText" text="FIRE">
      <formula>NOT(ISERROR(SEARCH("FIRE",AI103)))</formula>
    </cfRule>
    <cfRule type="containsText" dxfId="9301" priority="10022" operator="containsText" text="COSH">
      <formula>NOT(ISERROR(SEARCH("COSH",AI103)))</formula>
    </cfRule>
  </conditionalFormatting>
  <conditionalFormatting sqref="E20">
    <cfRule type="duplicateValues" dxfId="9300" priority="10019"/>
  </conditionalFormatting>
  <conditionalFormatting sqref="AI39:AJ40">
    <cfRule type="containsText" dxfId="9299" priority="10016" operator="containsText" text="FAT">
      <formula>NOT(ISERROR(SEARCH("FAT",AI39)))</formula>
    </cfRule>
    <cfRule type="containsText" dxfId="9298" priority="10017" operator="containsText" text="FIRE">
      <formula>NOT(ISERROR(SEARCH("FIRE",AI39)))</formula>
    </cfRule>
    <cfRule type="containsText" dxfId="9297" priority="10018" operator="containsText" text="COSH">
      <formula>NOT(ISERROR(SEARCH("COSH",AI39)))</formula>
    </cfRule>
  </conditionalFormatting>
  <conditionalFormatting sqref="AG39:AG40">
    <cfRule type="containsText" dxfId="9296" priority="10013" operator="containsText" text="FAT">
      <formula>NOT(ISERROR(SEARCH("FAT",AG39)))</formula>
    </cfRule>
    <cfRule type="containsText" dxfId="9295" priority="10014" operator="containsText" text="FIRE">
      <formula>NOT(ISERROR(SEARCH("FIRE",AG39)))</formula>
    </cfRule>
    <cfRule type="containsText" dxfId="9294" priority="10015" operator="containsText" text="COSH">
      <formula>NOT(ISERROR(SEARCH("COSH",AG39)))</formula>
    </cfRule>
  </conditionalFormatting>
  <conditionalFormatting sqref="AE39:AE40 AA40:AD40">
    <cfRule type="containsText" dxfId="9293" priority="10010" operator="containsText" text="FAT">
      <formula>NOT(ISERROR(SEARCH("FAT",AA39)))</formula>
    </cfRule>
    <cfRule type="containsText" dxfId="9292" priority="10011" operator="containsText" text="FIRE">
      <formula>NOT(ISERROR(SEARCH("FIRE",AA39)))</formula>
    </cfRule>
    <cfRule type="containsText" dxfId="9291" priority="10012" operator="containsText" text="COSH">
      <formula>NOT(ISERROR(SEARCH("COSH",AA39)))</formula>
    </cfRule>
  </conditionalFormatting>
  <conditionalFormatting sqref="E42:E44">
    <cfRule type="duplicateValues" dxfId="9290" priority="10695"/>
  </conditionalFormatting>
  <conditionalFormatting sqref="AI51:AJ51">
    <cfRule type="containsText" dxfId="9289" priority="10007" operator="containsText" text="FAT">
      <formula>NOT(ISERROR(SEARCH("FAT",AI51)))</formula>
    </cfRule>
    <cfRule type="containsText" dxfId="9288" priority="10008" operator="containsText" text="FIRE">
      <formula>NOT(ISERROR(SEARCH("FIRE",AI51)))</formula>
    </cfRule>
    <cfRule type="containsText" dxfId="9287" priority="10009" operator="containsText" text="COSH">
      <formula>NOT(ISERROR(SEARCH("COSH",AI51)))</formula>
    </cfRule>
  </conditionalFormatting>
  <conditionalFormatting sqref="E51">
    <cfRule type="duplicateValues" dxfId="9286" priority="10004"/>
  </conditionalFormatting>
  <conditionalFormatting sqref="E51">
    <cfRule type="duplicateValues" dxfId="9285" priority="10005"/>
  </conditionalFormatting>
  <conditionalFormatting sqref="E51">
    <cfRule type="duplicateValues" dxfId="9284" priority="10006"/>
  </conditionalFormatting>
  <conditionalFormatting sqref="AG51">
    <cfRule type="containsText" dxfId="9283" priority="10001" operator="containsText" text="FAT">
      <formula>NOT(ISERROR(SEARCH("FAT",AG51)))</formula>
    </cfRule>
    <cfRule type="containsText" dxfId="9282" priority="10002" operator="containsText" text="FIRE">
      <formula>NOT(ISERROR(SEARCH("FIRE",AG51)))</formula>
    </cfRule>
    <cfRule type="containsText" dxfId="9281" priority="10003" operator="containsText" text="COSH">
      <formula>NOT(ISERROR(SEARCH("COSH",AG51)))</formula>
    </cfRule>
  </conditionalFormatting>
  <conditionalFormatting sqref="AA51:AE51">
    <cfRule type="containsText" dxfId="9280" priority="9998" operator="containsText" text="FAT">
      <formula>NOT(ISERROR(SEARCH("FAT",AA51)))</formula>
    </cfRule>
    <cfRule type="containsText" dxfId="9279" priority="9999" operator="containsText" text="FIRE">
      <formula>NOT(ISERROR(SEARCH("FIRE",AA51)))</formula>
    </cfRule>
    <cfRule type="containsText" dxfId="9278" priority="10000" operator="containsText" text="COSH">
      <formula>NOT(ISERROR(SEARCH("COSH",AA51)))</formula>
    </cfRule>
  </conditionalFormatting>
  <conditionalFormatting sqref="AH41">
    <cfRule type="containsText" dxfId="9277" priority="9980" operator="containsText" text="FAT">
      <formula>NOT(ISERROR(SEARCH("FAT",AH41)))</formula>
    </cfRule>
    <cfRule type="containsText" dxfId="9276" priority="9981" operator="containsText" text="FIRE">
      <formula>NOT(ISERROR(SEARCH("FIRE",AH41)))</formula>
    </cfRule>
    <cfRule type="containsText" dxfId="9275" priority="9982" operator="containsText" text="COSH">
      <formula>NOT(ISERROR(SEARCH("COSH",AH41)))</formula>
    </cfRule>
  </conditionalFormatting>
  <conditionalFormatting sqref="AH48:AH50 AH56 AH58 AH45:AH46">
    <cfRule type="containsText" dxfId="9274" priority="9995" operator="containsText" text="FAT">
      <formula>NOT(ISERROR(SEARCH("FAT",AH45)))</formula>
    </cfRule>
    <cfRule type="containsText" dxfId="9273" priority="9996" operator="containsText" text="FIRE">
      <formula>NOT(ISERROR(SEARCH("FIRE",AH45)))</formula>
    </cfRule>
    <cfRule type="containsText" dxfId="9272" priority="9997" operator="containsText" text="COSH">
      <formula>NOT(ISERROR(SEARCH("COSH",AH45)))</formula>
    </cfRule>
  </conditionalFormatting>
  <conditionalFormatting sqref="AH60 AH52">
    <cfRule type="containsText" dxfId="9271" priority="9992" operator="containsText" text="FAT">
      <formula>NOT(ISERROR(SEARCH("FAT",AH52)))</formula>
    </cfRule>
    <cfRule type="containsText" dxfId="9270" priority="9993" operator="containsText" text="FIRE">
      <formula>NOT(ISERROR(SEARCH("FIRE",AH52)))</formula>
    </cfRule>
    <cfRule type="containsText" dxfId="9269" priority="9994" operator="containsText" text="COSH">
      <formula>NOT(ISERROR(SEARCH("COSH",AH52)))</formula>
    </cfRule>
  </conditionalFormatting>
  <conditionalFormatting sqref="AH47">
    <cfRule type="containsText" dxfId="9268" priority="9989" operator="containsText" text="FAT">
      <formula>NOT(ISERROR(SEARCH("FAT",AH47)))</formula>
    </cfRule>
    <cfRule type="containsText" dxfId="9267" priority="9990" operator="containsText" text="FIRE">
      <formula>NOT(ISERROR(SEARCH("FIRE",AH47)))</formula>
    </cfRule>
    <cfRule type="containsText" dxfId="9266" priority="9991" operator="containsText" text="COSH">
      <formula>NOT(ISERROR(SEARCH("COSH",AH47)))</formula>
    </cfRule>
  </conditionalFormatting>
  <conditionalFormatting sqref="AH55">
    <cfRule type="containsText" dxfId="9265" priority="9986" operator="containsText" text="FAT">
      <formula>NOT(ISERROR(SEARCH("FAT",AH55)))</formula>
    </cfRule>
    <cfRule type="containsText" dxfId="9264" priority="9987" operator="containsText" text="FIRE">
      <formula>NOT(ISERROR(SEARCH("FIRE",AH55)))</formula>
    </cfRule>
    <cfRule type="containsText" dxfId="9263" priority="9988" operator="containsText" text="COSH">
      <formula>NOT(ISERROR(SEARCH("COSH",AH55)))</formula>
    </cfRule>
  </conditionalFormatting>
  <conditionalFormatting sqref="AH57">
    <cfRule type="containsText" dxfId="9262" priority="9983" operator="containsText" text="FAT">
      <formula>NOT(ISERROR(SEARCH("FAT",AH57)))</formula>
    </cfRule>
    <cfRule type="containsText" dxfId="9261" priority="9984" operator="containsText" text="FIRE">
      <formula>NOT(ISERROR(SEARCH("FIRE",AH57)))</formula>
    </cfRule>
    <cfRule type="containsText" dxfId="9260" priority="9985" operator="containsText" text="COSH">
      <formula>NOT(ISERROR(SEARCH("COSH",AH57)))</formula>
    </cfRule>
  </conditionalFormatting>
  <conditionalFormatting sqref="AH42:AH44">
    <cfRule type="containsText" dxfId="9259" priority="9977" operator="containsText" text="FAT">
      <formula>NOT(ISERROR(SEARCH("FAT",AH42)))</formula>
    </cfRule>
    <cfRule type="containsText" dxfId="9258" priority="9978" operator="containsText" text="FIRE">
      <formula>NOT(ISERROR(SEARCH("FIRE",AH42)))</formula>
    </cfRule>
    <cfRule type="containsText" dxfId="9257" priority="9979" operator="containsText" text="COSH">
      <formula>NOT(ISERROR(SEARCH("COSH",AH42)))</formula>
    </cfRule>
  </conditionalFormatting>
  <conditionalFormatting sqref="AH39:AH40">
    <cfRule type="containsText" dxfId="9256" priority="9974" operator="containsText" text="FAT">
      <formula>NOT(ISERROR(SEARCH("FAT",AH39)))</formula>
    </cfRule>
    <cfRule type="containsText" dxfId="9255" priority="9975" operator="containsText" text="FIRE">
      <formula>NOT(ISERROR(SEARCH("FIRE",AH39)))</formula>
    </cfRule>
    <cfRule type="containsText" dxfId="9254" priority="9976" operator="containsText" text="COSH">
      <formula>NOT(ISERROR(SEARCH("COSH",AH39)))</formula>
    </cfRule>
  </conditionalFormatting>
  <conditionalFormatting sqref="AH51">
    <cfRule type="containsText" dxfId="9253" priority="9971" operator="containsText" text="FAT">
      <formula>NOT(ISERROR(SEARCH("FAT",AH51)))</formula>
    </cfRule>
    <cfRule type="containsText" dxfId="9252" priority="9972" operator="containsText" text="FIRE">
      <formula>NOT(ISERROR(SEARCH("FIRE",AH51)))</formula>
    </cfRule>
    <cfRule type="containsText" dxfId="9251" priority="9973" operator="containsText" text="COSH">
      <formula>NOT(ISERROR(SEARCH("COSH",AH51)))</formula>
    </cfRule>
  </conditionalFormatting>
  <conditionalFormatting sqref="H67">
    <cfRule type="containsText" dxfId="9250" priority="9968" operator="containsText" text="FAT">
      <formula>NOT(ISERROR(SEARCH("FAT",H67)))</formula>
    </cfRule>
    <cfRule type="containsText" dxfId="9249" priority="9969" operator="containsText" text="FIRE">
      <formula>NOT(ISERROR(SEARCH("FIRE",H67)))</formula>
    </cfRule>
    <cfRule type="containsText" dxfId="9248" priority="9970" operator="containsText" text="COSH">
      <formula>NOT(ISERROR(SEARCH("COSH",H67)))</formula>
    </cfRule>
  </conditionalFormatting>
  <conditionalFormatting sqref="H68:H87">
    <cfRule type="containsText" dxfId="9247" priority="9965" operator="containsText" text="FAT">
      <formula>NOT(ISERROR(SEARCH("FAT",H68)))</formula>
    </cfRule>
    <cfRule type="containsText" dxfId="9246" priority="9966" operator="containsText" text="FIRE">
      <formula>NOT(ISERROR(SEARCH("FIRE",H68)))</formula>
    </cfRule>
    <cfRule type="containsText" dxfId="9245" priority="9967" operator="containsText" text="COSH">
      <formula>NOT(ISERROR(SEARCH("COSH",H68)))</formula>
    </cfRule>
  </conditionalFormatting>
  <conditionalFormatting sqref="O67 O87">
    <cfRule type="containsText" dxfId="9244" priority="9962" operator="containsText" text="FAT">
      <formula>NOT(ISERROR(SEARCH("FAT",O67)))</formula>
    </cfRule>
    <cfRule type="containsText" dxfId="9243" priority="9963" operator="containsText" text="FIRE">
      <formula>NOT(ISERROR(SEARCH("FIRE",O67)))</formula>
    </cfRule>
    <cfRule type="containsText" dxfId="9242" priority="9964" operator="containsText" text="COSH">
      <formula>NOT(ISERROR(SEARCH("COSH",O67)))</formula>
    </cfRule>
  </conditionalFormatting>
  <conditionalFormatting sqref="O68:O86">
    <cfRule type="containsText" dxfId="9241" priority="9959" operator="containsText" text="FAT">
      <formula>NOT(ISERROR(SEARCH("FAT",O68)))</formula>
    </cfRule>
    <cfRule type="containsText" dxfId="9240" priority="9960" operator="containsText" text="FIRE">
      <formula>NOT(ISERROR(SEARCH("FIRE",O68)))</formula>
    </cfRule>
    <cfRule type="containsText" dxfId="9239" priority="9961" operator="containsText" text="COSH">
      <formula>NOT(ISERROR(SEARCH("COSH",O68)))</formula>
    </cfRule>
  </conditionalFormatting>
  <conditionalFormatting sqref="V67 V69 V85 V87 V77:V79 V82:V83 V72:V75">
    <cfRule type="containsText" dxfId="9238" priority="9956" operator="containsText" text="FAT">
      <formula>NOT(ISERROR(SEARCH("FAT",V67)))</formula>
    </cfRule>
    <cfRule type="containsText" dxfId="9237" priority="9957" operator="containsText" text="FIRE">
      <formula>NOT(ISERROR(SEARCH("FIRE",V67)))</formula>
    </cfRule>
    <cfRule type="containsText" dxfId="9236" priority="9958" operator="containsText" text="COSH">
      <formula>NOT(ISERROR(SEARCH("COSH",V67)))</formula>
    </cfRule>
  </conditionalFormatting>
  <conditionalFormatting sqref="V68">
    <cfRule type="containsText" dxfId="9235" priority="9953" operator="containsText" text="FAT">
      <formula>NOT(ISERROR(SEARCH("FAT",V68)))</formula>
    </cfRule>
    <cfRule type="containsText" dxfId="9234" priority="9954" operator="containsText" text="FIRE">
      <formula>NOT(ISERROR(SEARCH("FIRE",V68)))</formula>
    </cfRule>
    <cfRule type="containsText" dxfId="9233" priority="9955" operator="containsText" text="COSH">
      <formula>NOT(ISERROR(SEARCH("COSH",V68)))</formula>
    </cfRule>
  </conditionalFormatting>
  <conditionalFormatting sqref="V81">
    <cfRule type="containsText" dxfId="9232" priority="9950" operator="containsText" text="FAT">
      <formula>NOT(ISERROR(SEARCH("FAT",V81)))</formula>
    </cfRule>
    <cfRule type="containsText" dxfId="9231" priority="9951" operator="containsText" text="FIRE">
      <formula>NOT(ISERROR(SEARCH("FIRE",V81)))</formula>
    </cfRule>
    <cfRule type="containsText" dxfId="9230" priority="9952" operator="containsText" text="COSH">
      <formula>NOT(ISERROR(SEARCH("COSH",V81)))</formula>
    </cfRule>
  </conditionalFormatting>
  <conditionalFormatting sqref="V76">
    <cfRule type="containsText" dxfId="9229" priority="9947" operator="containsText" text="FAT">
      <formula>NOT(ISERROR(SEARCH("FAT",V76)))</formula>
    </cfRule>
    <cfRule type="containsText" dxfId="9228" priority="9948" operator="containsText" text="FIRE">
      <formula>NOT(ISERROR(SEARCH("FIRE",V76)))</formula>
    </cfRule>
    <cfRule type="containsText" dxfId="9227" priority="9949" operator="containsText" text="COSH">
      <formula>NOT(ISERROR(SEARCH("COSH",V76)))</formula>
    </cfRule>
  </conditionalFormatting>
  <conditionalFormatting sqref="V84">
    <cfRule type="containsText" dxfId="9226" priority="9944" operator="containsText" text="FAT">
      <formula>NOT(ISERROR(SEARCH("FAT",V84)))</formula>
    </cfRule>
    <cfRule type="containsText" dxfId="9225" priority="9945" operator="containsText" text="FIRE">
      <formula>NOT(ISERROR(SEARCH("FIRE",V84)))</formula>
    </cfRule>
    <cfRule type="containsText" dxfId="9224" priority="9946" operator="containsText" text="COSH">
      <formula>NOT(ISERROR(SEARCH("COSH",V84)))</formula>
    </cfRule>
  </conditionalFormatting>
  <conditionalFormatting sqref="V86">
    <cfRule type="containsText" dxfId="9223" priority="9941" operator="containsText" text="FAT">
      <formula>NOT(ISERROR(SEARCH("FAT",V86)))</formula>
    </cfRule>
    <cfRule type="containsText" dxfId="9222" priority="9942" operator="containsText" text="FIRE">
      <formula>NOT(ISERROR(SEARCH("FIRE",V86)))</formula>
    </cfRule>
    <cfRule type="containsText" dxfId="9221" priority="9943" operator="containsText" text="COSH">
      <formula>NOT(ISERROR(SEARCH("COSH",V86)))</formula>
    </cfRule>
  </conditionalFormatting>
  <conditionalFormatting sqref="V71">
    <cfRule type="containsText" dxfId="9220" priority="9938" operator="containsText" text="FAT">
      <formula>NOT(ISERROR(SEARCH("FAT",V71)))</formula>
    </cfRule>
    <cfRule type="containsText" dxfId="9219" priority="9939" operator="containsText" text="FIRE">
      <formula>NOT(ISERROR(SEARCH("FIRE",V71)))</formula>
    </cfRule>
    <cfRule type="containsText" dxfId="9218" priority="9940" operator="containsText" text="COSH">
      <formula>NOT(ISERROR(SEARCH("COSH",V71)))</formula>
    </cfRule>
  </conditionalFormatting>
  <conditionalFormatting sqref="AC67 AC69 AC82:AC83 AC77:AC80 AC85 AC87 AC72:AC75">
    <cfRule type="containsText" dxfId="9217" priority="9935" operator="containsText" text="FAT">
      <formula>NOT(ISERROR(SEARCH("FAT",AC67)))</formula>
    </cfRule>
    <cfRule type="containsText" dxfId="9216" priority="9936" operator="containsText" text="FIRE">
      <formula>NOT(ISERROR(SEARCH("FIRE",AC67)))</formula>
    </cfRule>
    <cfRule type="containsText" dxfId="9215" priority="9937" operator="containsText" text="COSH">
      <formula>NOT(ISERROR(SEARCH("COSH",AC67)))</formula>
    </cfRule>
  </conditionalFormatting>
  <conditionalFormatting sqref="AC68">
    <cfRule type="containsText" dxfId="9214" priority="9932" operator="containsText" text="FAT">
      <formula>NOT(ISERROR(SEARCH("FAT",AC68)))</formula>
    </cfRule>
    <cfRule type="containsText" dxfId="9213" priority="9933" operator="containsText" text="FIRE">
      <formula>NOT(ISERROR(SEARCH("FIRE",AC68)))</formula>
    </cfRule>
    <cfRule type="containsText" dxfId="9212" priority="9934" operator="containsText" text="COSH">
      <formula>NOT(ISERROR(SEARCH("COSH",AC68)))</formula>
    </cfRule>
  </conditionalFormatting>
  <conditionalFormatting sqref="AC81">
    <cfRule type="containsText" dxfId="9211" priority="9929" operator="containsText" text="FAT">
      <formula>NOT(ISERROR(SEARCH("FAT",AC81)))</formula>
    </cfRule>
    <cfRule type="containsText" dxfId="9210" priority="9930" operator="containsText" text="FIRE">
      <formula>NOT(ISERROR(SEARCH("FIRE",AC81)))</formula>
    </cfRule>
    <cfRule type="containsText" dxfId="9209" priority="9931" operator="containsText" text="COSH">
      <formula>NOT(ISERROR(SEARCH("COSH",AC81)))</formula>
    </cfRule>
  </conditionalFormatting>
  <conditionalFormatting sqref="AC76">
    <cfRule type="containsText" dxfId="9208" priority="9926" operator="containsText" text="FAT">
      <formula>NOT(ISERROR(SEARCH("FAT",AC76)))</formula>
    </cfRule>
    <cfRule type="containsText" dxfId="9207" priority="9927" operator="containsText" text="FIRE">
      <formula>NOT(ISERROR(SEARCH("FIRE",AC76)))</formula>
    </cfRule>
    <cfRule type="containsText" dxfId="9206" priority="9928" operator="containsText" text="COSH">
      <formula>NOT(ISERROR(SEARCH("COSH",AC76)))</formula>
    </cfRule>
  </conditionalFormatting>
  <conditionalFormatting sqref="AC84">
    <cfRule type="containsText" dxfId="9205" priority="9923" operator="containsText" text="FAT">
      <formula>NOT(ISERROR(SEARCH("FAT",AC84)))</formula>
    </cfRule>
    <cfRule type="containsText" dxfId="9204" priority="9924" operator="containsText" text="FIRE">
      <formula>NOT(ISERROR(SEARCH("FIRE",AC84)))</formula>
    </cfRule>
    <cfRule type="containsText" dxfId="9203" priority="9925" operator="containsText" text="COSH">
      <formula>NOT(ISERROR(SEARCH("COSH",AC84)))</formula>
    </cfRule>
  </conditionalFormatting>
  <conditionalFormatting sqref="AC86">
    <cfRule type="containsText" dxfId="9202" priority="9920" operator="containsText" text="FAT">
      <formula>NOT(ISERROR(SEARCH("FAT",AC86)))</formula>
    </cfRule>
    <cfRule type="containsText" dxfId="9201" priority="9921" operator="containsText" text="FIRE">
      <formula>NOT(ISERROR(SEARCH("FIRE",AC86)))</formula>
    </cfRule>
    <cfRule type="containsText" dxfId="9200" priority="9922" operator="containsText" text="COSH">
      <formula>NOT(ISERROR(SEARCH("COSH",AC86)))</formula>
    </cfRule>
  </conditionalFormatting>
  <conditionalFormatting sqref="AC71">
    <cfRule type="containsText" dxfId="9199" priority="9917" operator="containsText" text="FAT">
      <formula>NOT(ISERROR(SEARCH("FAT",AC71)))</formula>
    </cfRule>
    <cfRule type="containsText" dxfId="9198" priority="9918" operator="containsText" text="FIRE">
      <formula>NOT(ISERROR(SEARCH("FIRE",AC71)))</formula>
    </cfRule>
    <cfRule type="containsText" dxfId="9197" priority="9919" operator="containsText" text="COSH">
      <formula>NOT(ISERROR(SEARCH("COSH",AC71)))</formula>
    </cfRule>
  </conditionalFormatting>
  <conditionalFormatting sqref="AE104:AE105 AE108:AE110 AE112:AE116">
    <cfRule type="containsText" dxfId="9196" priority="9914" operator="containsText" text="FAT">
      <formula>NOT(ISERROR(SEARCH("FAT",AE104)))</formula>
    </cfRule>
    <cfRule type="containsText" dxfId="9195" priority="9915" operator="containsText" text="FIRE">
      <formula>NOT(ISERROR(SEARCH("FIRE",AE104)))</formula>
    </cfRule>
    <cfRule type="containsText" dxfId="9194" priority="9916" operator="containsText" text="COSH">
      <formula>NOT(ISERROR(SEARCH("COSH",AE104)))</formula>
    </cfRule>
  </conditionalFormatting>
  <conditionalFormatting sqref="AE103">
    <cfRule type="containsText" dxfId="9193" priority="9911" operator="containsText" text="FAT">
      <formula>NOT(ISERROR(SEARCH("FAT",AE103)))</formula>
    </cfRule>
    <cfRule type="containsText" dxfId="9192" priority="9912" operator="containsText" text="FIRE">
      <formula>NOT(ISERROR(SEARCH("FIRE",AE103)))</formula>
    </cfRule>
    <cfRule type="containsText" dxfId="9191" priority="9913" operator="containsText" text="COSH">
      <formula>NOT(ISERROR(SEARCH("COSH",AE103)))</formula>
    </cfRule>
  </conditionalFormatting>
  <conditionalFormatting sqref="AE101:AE102">
    <cfRule type="containsText" dxfId="9190" priority="9908" operator="containsText" text="FAT">
      <formula>NOT(ISERROR(SEARCH("FAT",AE101)))</formula>
    </cfRule>
    <cfRule type="containsText" dxfId="9189" priority="9909" operator="containsText" text="FIRE">
      <formula>NOT(ISERROR(SEARCH("FIRE",AE101)))</formula>
    </cfRule>
    <cfRule type="containsText" dxfId="9188" priority="9910" operator="containsText" text="COSH">
      <formula>NOT(ISERROR(SEARCH("COSH",AE101)))</formula>
    </cfRule>
  </conditionalFormatting>
  <conditionalFormatting sqref="AE106">
    <cfRule type="containsText" dxfId="9187" priority="9905" operator="containsText" text="FAT">
      <formula>NOT(ISERROR(SEARCH("FAT",AE106)))</formula>
    </cfRule>
    <cfRule type="containsText" dxfId="9186" priority="9906" operator="containsText" text="FIRE">
      <formula>NOT(ISERROR(SEARCH("FIRE",AE106)))</formula>
    </cfRule>
    <cfRule type="containsText" dxfId="9185" priority="9907" operator="containsText" text="COSH">
      <formula>NOT(ISERROR(SEARCH("COSH",AE106)))</formula>
    </cfRule>
  </conditionalFormatting>
  <conditionalFormatting sqref="E12">
    <cfRule type="duplicateValues" dxfId="9184" priority="10696"/>
  </conditionalFormatting>
  <conditionalFormatting sqref="AK35 AK37:AK38">
    <cfRule type="containsText" dxfId="9183" priority="9902" operator="containsText" text="FAT">
      <formula>NOT(ISERROR(SEARCH("FAT",AK35)))</formula>
    </cfRule>
    <cfRule type="containsText" dxfId="9182" priority="9903" operator="containsText" text="FIRE">
      <formula>NOT(ISERROR(SEARCH("FIRE",AK35)))</formula>
    </cfRule>
    <cfRule type="containsText" dxfId="9181" priority="9904" operator="containsText" text="COSH">
      <formula>NOT(ISERROR(SEARCH("COSH",AK35)))</formula>
    </cfRule>
  </conditionalFormatting>
  <conditionalFormatting sqref="AK93 AJ6:AK6">
    <cfRule type="containsText" dxfId="9180" priority="9899" operator="containsText" text="FAT">
      <formula>NOT(ISERROR(SEARCH("FAT",AJ6)))</formula>
    </cfRule>
    <cfRule type="containsText" dxfId="9179" priority="9900" operator="containsText" text="FIRE">
      <formula>NOT(ISERROR(SEARCH("FIRE",AJ6)))</formula>
    </cfRule>
    <cfRule type="containsText" dxfId="9178" priority="9901" operator="containsText" text="COSH">
      <formula>NOT(ISERROR(SEARCH("COSH",AJ6)))</formula>
    </cfRule>
  </conditionalFormatting>
  <conditionalFormatting sqref="AK66">
    <cfRule type="containsText" dxfId="9177" priority="9896" operator="containsText" text="FAT">
      <formula>NOT(ISERROR(SEARCH("FAT",AK66)))</formula>
    </cfRule>
    <cfRule type="containsText" dxfId="9176" priority="9897" operator="containsText" text="FIRE">
      <formula>NOT(ISERROR(SEARCH("FIRE",AK66)))</formula>
    </cfRule>
    <cfRule type="containsText" dxfId="9175" priority="9898" operator="containsText" text="COSH">
      <formula>NOT(ISERROR(SEARCH("COSH",AK66)))</formula>
    </cfRule>
  </conditionalFormatting>
  <conditionalFormatting sqref="AK61">
    <cfRule type="containsText" dxfId="9174" priority="9893" operator="containsText" text="FAT">
      <formula>NOT(ISERROR(SEARCH("FAT",AK61)))</formula>
    </cfRule>
    <cfRule type="containsText" dxfId="9173" priority="9894" operator="containsText" text="FIRE">
      <formula>NOT(ISERROR(SEARCH("FIRE",AK61)))</formula>
    </cfRule>
    <cfRule type="containsText" dxfId="9172" priority="9895" operator="containsText" text="COSH">
      <formula>NOT(ISERROR(SEARCH("COSH",AK61)))</formula>
    </cfRule>
  </conditionalFormatting>
  <conditionalFormatting sqref="AK47">
    <cfRule type="containsText" dxfId="9171" priority="9884" operator="containsText" text="FAT">
      <formula>NOT(ISERROR(SEARCH("FAT",AK47)))</formula>
    </cfRule>
    <cfRule type="containsText" dxfId="9170" priority="9885" operator="containsText" text="FIRE">
      <formula>NOT(ISERROR(SEARCH("FIRE",AK47)))</formula>
    </cfRule>
    <cfRule type="containsText" dxfId="9169" priority="9886" operator="containsText" text="COSH">
      <formula>NOT(ISERROR(SEARCH("COSH",AK47)))</formula>
    </cfRule>
  </conditionalFormatting>
  <conditionalFormatting sqref="AK55:AK56">
    <cfRule type="containsText" dxfId="9168" priority="9881" operator="containsText" text="FAT">
      <formula>NOT(ISERROR(SEARCH("FAT",AK55)))</formula>
    </cfRule>
    <cfRule type="containsText" dxfId="9167" priority="9882" operator="containsText" text="FIRE">
      <formula>NOT(ISERROR(SEARCH("FIRE",AK55)))</formula>
    </cfRule>
    <cfRule type="containsText" dxfId="9166" priority="9883" operator="containsText" text="COSH">
      <formula>NOT(ISERROR(SEARCH("COSH",AK55)))</formula>
    </cfRule>
  </conditionalFormatting>
  <conditionalFormatting sqref="AK57">
    <cfRule type="containsText" dxfId="9165" priority="9878" operator="containsText" text="FAT">
      <formula>NOT(ISERROR(SEARCH("FAT",AK57)))</formula>
    </cfRule>
    <cfRule type="containsText" dxfId="9164" priority="9879" operator="containsText" text="FIRE">
      <formula>NOT(ISERROR(SEARCH("FIRE",AK57)))</formula>
    </cfRule>
    <cfRule type="containsText" dxfId="9163" priority="9880" operator="containsText" text="COSH">
      <formula>NOT(ISERROR(SEARCH("COSH",AK57)))</formula>
    </cfRule>
  </conditionalFormatting>
  <conditionalFormatting sqref="AK53:AK54 AK48:AK50 AK56 AK58 AK45:AK46">
    <cfRule type="containsText" dxfId="9162" priority="9890" operator="containsText" text="FAT">
      <formula>NOT(ISERROR(SEARCH("FAT",AK45)))</formula>
    </cfRule>
    <cfRule type="containsText" dxfId="9161" priority="9891" operator="containsText" text="FIRE">
      <formula>NOT(ISERROR(SEARCH("FIRE",AK45)))</formula>
    </cfRule>
    <cfRule type="containsText" dxfId="9160" priority="9892" operator="containsText" text="COSH">
      <formula>NOT(ISERROR(SEARCH("COSH",AK45)))</formula>
    </cfRule>
  </conditionalFormatting>
  <conditionalFormatting sqref="AK60 AK52">
    <cfRule type="containsText" dxfId="9159" priority="9887" operator="containsText" text="FAT">
      <formula>NOT(ISERROR(SEARCH("FAT",AK52)))</formula>
    </cfRule>
    <cfRule type="containsText" dxfId="9158" priority="9888" operator="containsText" text="FIRE">
      <formula>NOT(ISERROR(SEARCH("FIRE",AK52)))</formula>
    </cfRule>
    <cfRule type="containsText" dxfId="9157" priority="9889" operator="containsText" text="COSH">
      <formula>NOT(ISERROR(SEARCH("COSH",AK52)))</formula>
    </cfRule>
  </conditionalFormatting>
  <conditionalFormatting sqref="AK41">
    <cfRule type="containsText" dxfId="9156" priority="9875" operator="containsText" text="FAT">
      <formula>NOT(ISERROR(SEARCH("FAT",AK41)))</formula>
    </cfRule>
    <cfRule type="containsText" dxfId="9155" priority="9876" operator="containsText" text="FIRE">
      <formula>NOT(ISERROR(SEARCH("FIRE",AK41)))</formula>
    </cfRule>
    <cfRule type="containsText" dxfId="9154" priority="9877" operator="containsText" text="COSH">
      <formula>NOT(ISERROR(SEARCH("COSH",AK41)))</formula>
    </cfRule>
  </conditionalFormatting>
  <conditionalFormatting sqref="AK42:AK44">
    <cfRule type="containsText" dxfId="9153" priority="9872" operator="containsText" text="FAT">
      <formula>NOT(ISERROR(SEARCH("FAT",AK42)))</formula>
    </cfRule>
    <cfRule type="containsText" dxfId="9152" priority="9873" operator="containsText" text="FIRE">
      <formula>NOT(ISERROR(SEARCH("FIRE",AK42)))</formula>
    </cfRule>
    <cfRule type="containsText" dxfId="9151" priority="9874" operator="containsText" text="COSH">
      <formula>NOT(ISERROR(SEARCH("COSH",AK42)))</formula>
    </cfRule>
  </conditionalFormatting>
  <conditionalFormatting sqref="AK39:AK40">
    <cfRule type="containsText" dxfId="9150" priority="9869" operator="containsText" text="FAT">
      <formula>NOT(ISERROR(SEARCH("FAT",AK39)))</formula>
    </cfRule>
    <cfRule type="containsText" dxfId="9149" priority="9870" operator="containsText" text="FIRE">
      <formula>NOT(ISERROR(SEARCH("FIRE",AK39)))</formula>
    </cfRule>
    <cfRule type="containsText" dxfId="9148" priority="9871" operator="containsText" text="COSH">
      <formula>NOT(ISERROR(SEARCH("COSH",AK39)))</formula>
    </cfRule>
  </conditionalFormatting>
  <conditionalFormatting sqref="AK51">
    <cfRule type="containsText" dxfId="9147" priority="9866" operator="containsText" text="FAT">
      <formula>NOT(ISERROR(SEARCH("FAT",AK51)))</formula>
    </cfRule>
    <cfRule type="containsText" dxfId="9146" priority="9867" operator="containsText" text="FIRE">
      <formula>NOT(ISERROR(SEARCH("FIRE",AK51)))</formula>
    </cfRule>
    <cfRule type="containsText" dxfId="9145" priority="9868" operator="containsText" text="COSH">
      <formula>NOT(ISERROR(SEARCH("COSH",AK51)))</formula>
    </cfRule>
  </conditionalFormatting>
  <conditionalFormatting sqref="AK67 AK69 AK82:AK83 AK77:AK80 AK85 AK87 AK72:AK75">
    <cfRule type="containsText" dxfId="9144" priority="9863" operator="containsText" text="FAT">
      <formula>NOT(ISERROR(SEARCH("FAT",AK67)))</formula>
    </cfRule>
    <cfRule type="containsText" dxfId="9143" priority="9864" operator="containsText" text="FIRE">
      <formula>NOT(ISERROR(SEARCH("FIRE",AK67)))</formula>
    </cfRule>
    <cfRule type="containsText" dxfId="9142" priority="9865" operator="containsText" text="COSH">
      <formula>NOT(ISERROR(SEARCH("COSH",AK67)))</formula>
    </cfRule>
  </conditionalFormatting>
  <conditionalFormatting sqref="AK68">
    <cfRule type="containsText" dxfId="9141" priority="9860" operator="containsText" text="FAT">
      <formula>NOT(ISERROR(SEARCH("FAT",AK68)))</formula>
    </cfRule>
    <cfRule type="containsText" dxfId="9140" priority="9861" operator="containsText" text="FIRE">
      <formula>NOT(ISERROR(SEARCH("FIRE",AK68)))</formula>
    </cfRule>
    <cfRule type="containsText" dxfId="9139" priority="9862" operator="containsText" text="COSH">
      <formula>NOT(ISERROR(SEARCH("COSH",AK68)))</formula>
    </cfRule>
  </conditionalFormatting>
  <conditionalFormatting sqref="AK81">
    <cfRule type="containsText" dxfId="9138" priority="9857" operator="containsText" text="FAT">
      <formula>NOT(ISERROR(SEARCH("FAT",AK81)))</formula>
    </cfRule>
    <cfRule type="containsText" dxfId="9137" priority="9858" operator="containsText" text="FIRE">
      <formula>NOT(ISERROR(SEARCH("FIRE",AK81)))</formula>
    </cfRule>
    <cfRule type="containsText" dxfId="9136" priority="9859" operator="containsText" text="COSH">
      <formula>NOT(ISERROR(SEARCH("COSH",AK81)))</formula>
    </cfRule>
  </conditionalFormatting>
  <conditionalFormatting sqref="AK76">
    <cfRule type="containsText" dxfId="9135" priority="9854" operator="containsText" text="FAT">
      <formula>NOT(ISERROR(SEARCH("FAT",AK76)))</formula>
    </cfRule>
    <cfRule type="containsText" dxfId="9134" priority="9855" operator="containsText" text="FIRE">
      <formula>NOT(ISERROR(SEARCH("FIRE",AK76)))</formula>
    </cfRule>
    <cfRule type="containsText" dxfId="9133" priority="9856" operator="containsText" text="COSH">
      <formula>NOT(ISERROR(SEARCH("COSH",AK76)))</formula>
    </cfRule>
  </conditionalFormatting>
  <conditionalFormatting sqref="AK84">
    <cfRule type="containsText" dxfId="9132" priority="9851" operator="containsText" text="FAT">
      <formula>NOT(ISERROR(SEARCH("FAT",AK84)))</formula>
    </cfRule>
    <cfRule type="containsText" dxfId="9131" priority="9852" operator="containsText" text="FIRE">
      <formula>NOT(ISERROR(SEARCH("FIRE",AK84)))</formula>
    </cfRule>
    <cfRule type="containsText" dxfId="9130" priority="9853" operator="containsText" text="COSH">
      <formula>NOT(ISERROR(SEARCH("COSH",AK84)))</formula>
    </cfRule>
  </conditionalFormatting>
  <conditionalFormatting sqref="AK86">
    <cfRule type="containsText" dxfId="9129" priority="9848" operator="containsText" text="FAT">
      <formula>NOT(ISERROR(SEARCH("FAT",AK86)))</formula>
    </cfRule>
    <cfRule type="containsText" dxfId="9128" priority="9849" operator="containsText" text="FIRE">
      <formula>NOT(ISERROR(SEARCH("FIRE",AK86)))</formula>
    </cfRule>
    <cfRule type="containsText" dxfId="9127" priority="9850" operator="containsText" text="COSH">
      <formula>NOT(ISERROR(SEARCH("COSH",AK86)))</formula>
    </cfRule>
  </conditionalFormatting>
  <conditionalFormatting sqref="AK71">
    <cfRule type="containsText" dxfId="9126" priority="9845" operator="containsText" text="FAT">
      <formula>NOT(ISERROR(SEARCH("FAT",AK71)))</formula>
    </cfRule>
    <cfRule type="containsText" dxfId="9125" priority="9846" operator="containsText" text="FIRE">
      <formula>NOT(ISERROR(SEARCH("FIRE",AK71)))</formula>
    </cfRule>
    <cfRule type="containsText" dxfId="9124" priority="9847" operator="containsText" text="COSH">
      <formula>NOT(ISERROR(SEARCH("COSH",AK71)))</formula>
    </cfRule>
  </conditionalFormatting>
  <conditionalFormatting sqref="M81">
    <cfRule type="containsText" dxfId="9123" priority="9812" operator="containsText" text="FAT">
      <formula>NOT(ISERROR(SEARCH("FAT",M81)))</formula>
    </cfRule>
    <cfRule type="containsText" dxfId="9122" priority="9813" operator="containsText" text="FIRE">
      <formula>NOT(ISERROR(SEARCH("FIRE",M81)))</formula>
    </cfRule>
    <cfRule type="containsText" dxfId="9121" priority="9814" operator="containsText" text="COSH">
      <formula>NOT(ISERROR(SEARCH("COSH",M81)))</formula>
    </cfRule>
  </conditionalFormatting>
  <conditionalFormatting sqref="M76">
    <cfRule type="containsText" dxfId="9120" priority="9809" operator="containsText" text="FAT">
      <formula>NOT(ISERROR(SEARCH("FAT",M76)))</formula>
    </cfRule>
    <cfRule type="containsText" dxfId="9119" priority="9810" operator="containsText" text="FIRE">
      <formula>NOT(ISERROR(SEARCH("FIRE",M76)))</formula>
    </cfRule>
    <cfRule type="containsText" dxfId="9118" priority="9811" operator="containsText" text="COSH">
      <formula>NOT(ISERROR(SEARCH("COSH",M76)))</formula>
    </cfRule>
  </conditionalFormatting>
  <conditionalFormatting sqref="AF41">
    <cfRule type="containsText" dxfId="9117" priority="9827" operator="containsText" text="FAT">
      <formula>NOT(ISERROR(SEARCH("FAT",AF41)))</formula>
    </cfRule>
    <cfRule type="containsText" dxfId="9116" priority="9828" operator="containsText" text="FIRE">
      <formula>NOT(ISERROR(SEARCH("FIRE",AF41)))</formula>
    </cfRule>
    <cfRule type="containsText" dxfId="9115" priority="9829" operator="containsText" text="COSH">
      <formula>NOT(ISERROR(SEARCH("COSH",AF41)))</formula>
    </cfRule>
  </conditionalFormatting>
  <conditionalFormatting sqref="AF53:AF54 AF48:AF50 AF56 AF58 AF45:AF46">
    <cfRule type="containsText" dxfId="9114" priority="9842" operator="containsText" text="FAT">
      <formula>NOT(ISERROR(SEARCH("FAT",AF45)))</formula>
    </cfRule>
    <cfRule type="containsText" dxfId="9113" priority="9843" operator="containsText" text="FIRE">
      <formula>NOT(ISERROR(SEARCH("FIRE",AF45)))</formula>
    </cfRule>
    <cfRule type="containsText" dxfId="9112" priority="9844" operator="containsText" text="COSH">
      <formula>NOT(ISERROR(SEARCH("COSH",AF45)))</formula>
    </cfRule>
  </conditionalFormatting>
  <conditionalFormatting sqref="AF60 AF52">
    <cfRule type="containsText" dxfId="9111" priority="9839" operator="containsText" text="FAT">
      <formula>NOT(ISERROR(SEARCH("FAT",AF52)))</formula>
    </cfRule>
    <cfRule type="containsText" dxfId="9110" priority="9840" operator="containsText" text="FIRE">
      <formula>NOT(ISERROR(SEARCH("FIRE",AF52)))</formula>
    </cfRule>
    <cfRule type="containsText" dxfId="9109" priority="9841" operator="containsText" text="COSH">
      <formula>NOT(ISERROR(SEARCH("COSH",AF52)))</formula>
    </cfRule>
  </conditionalFormatting>
  <conditionalFormatting sqref="AF47">
    <cfRule type="containsText" dxfId="9108" priority="9836" operator="containsText" text="FAT">
      <formula>NOT(ISERROR(SEARCH("FAT",AF47)))</formula>
    </cfRule>
    <cfRule type="containsText" dxfId="9107" priority="9837" operator="containsText" text="FIRE">
      <formula>NOT(ISERROR(SEARCH("FIRE",AF47)))</formula>
    </cfRule>
    <cfRule type="containsText" dxfId="9106" priority="9838" operator="containsText" text="COSH">
      <formula>NOT(ISERROR(SEARCH("COSH",AF47)))</formula>
    </cfRule>
  </conditionalFormatting>
  <conditionalFormatting sqref="AF55">
    <cfRule type="containsText" dxfId="9105" priority="9833" operator="containsText" text="FAT">
      <formula>NOT(ISERROR(SEARCH("FAT",AF55)))</formula>
    </cfRule>
    <cfRule type="containsText" dxfId="9104" priority="9834" operator="containsText" text="FIRE">
      <formula>NOT(ISERROR(SEARCH("FIRE",AF55)))</formula>
    </cfRule>
    <cfRule type="containsText" dxfId="9103" priority="9835" operator="containsText" text="COSH">
      <formula>NOT(ISERROR(SEARCH("COSH",AF55)))</formula>
    </cfRule>
  </conditionalFormatting>
  <conditionalFormatting sqref="AF57">
    <cfRule type="containsText" dxfId="9102" priority="9830" operator="containsText" text="FAT">
      <formula>NOT(ISERROR(SEARCH("FAT",AF57)))</formula>
    </cfRule>
    <cfRule type="containsText" dxfId="9101" priority="9831" operator="containsText" text="FIRE">
      <formula>NOT(ISERROR(SEARCH("FIRE",AF57)))</formula>
    </cfRule>
    <cfRule type="containsText" dxfId="9100" priority="9832" operator="containsText" text="COSH">
      <formula>NOT(ISERROR(SEARCH("COSH",AF57)))</formula>
    </cfRule>
  </conditionalFormatting>
  <conditionalFormatting sqref="AF39:AF40">
    <cfRule type="containsText" dxfId="9099" priority="9824" operator="containsText" text="FAT">
      <formula>NOT(ISERROR(SEARCH("FAT",AF39)))</formula>
    </cfRule>
    <cfRule type="containsText" dxfId="9098" priority="9825" operator="containsText" text="FIRE">
      <formula>NOT(ISERROR(SEARCH("FIRE",AF39)))</formula>
    </cfRule>
    <cfRule type="containsText" dxfId="9097" priority="9826" operator="containsText" text="COSH">
      <formula>NOT(ISERROR(SEARCH("COSH",AF39)))</formula>
    </cfRule>
  </conditionalFormatting>
  <conditionalFormatting sqref="AF51">
    <cfRule type="containsText" dxfId="9096" priority="9821" operator="containsText" text="FAT">
      <formula>NOT(ISERROR(SEARCH("FAT",AF51)))</formula>
    </cfRule>
    <cfRule type="containsText" dxfId="9095" priority="9822" operator="containsText" text="FIRE">
      <formula>NOT(ISERROR(SEARCH("FIRE",AF51)))</formula>
    </cfRule>
    <cfRule type="containsText" dxfId="9094" priority="9823" operator="containsText" text="COSH">
      <formula>NOT(ISERROR(SEARCH("COSH",AF51)))</formula>
    </cfRule>
  </conditionalFormatting>
  <conditionalFormatting sqref="M67 M69 M72:M75 M77:M79 M82:M87">
    <cfRule type="containsText" dxfId="9093" priority="9818" operator="containsText" text="FAT">
      <formula>NOT(ISERROR(SEARCH("FAT",M67)))</formula>
    </cfRule>
    <cfRule type="containsText" dxfId="9092" priority="9819" operator="containsText" text="FIRE">
      <formula>NOT(ISERROR(SEARCH("FIRE",M67)))</formula>
    </cfRule>
    <cfRule type="containsText" dxfId="9091" priority="9820" operator="containsText" text="COSH">
      <formula>NOT(ISERROR(SEARCH("COSH",M67)))</formula>
    </cfRule>
  </conditionalFormatting>
  <conditionalFormatting sqref="M68">
    <cfRule type="containsText" dxfId="9090" priority="9815" operator="containsText" text="FAT">
      <formula>NOT(ISERROR(SEARCH("FAT",M68)))</formula>
    </cfRule>
    <cfRule type="containsText" dxfId="9089" priority="9816" operator="containsText" text="FIRE">
      <formula>NOT(ISERROR(SEARCH("FIRE",M68)))</formula>
    </cfRule>
    <cfRule type="containsText" dxfId="9088" priority="9817" operator="containsText" text="COSH">
      <formula>NOT(ISERROR(SEARCH("COSH",M68)))</formula>
    </cfRule>
  </conditionalFormatting>
  <conditionalFormatting sqref="M84">
    <cfRule type="containsText" dxfId="9087" priority="9806" operator="containsText" text="FAT">
      <formula>NOT(ISERROR(SEARCH("FAT",M84)))</formula>
    </cfRule>
    <cfRule type="containsText" dxfId="9086" priority="9807" operator="containsText" text="FIRE">
      <formula>NOT(ISERROR(SEARCH("FIRE",M84)))</formula>
    </cfRule>
    <cfRule type="containsText" dxfId="9085" priority="9808" operator="containsText" text="COSH">
      <formula>NOT(ISERROR(SEARCH("COSH",M84)))</formula>
    </cfRule>
  </conditionalFormatting>
  <conditionalFormatting sqref="M86">
    <cfRule type="containsText" dxfId="9084" priority="9803" operator="containsText" text="FAT">
      <formula>NOT(ISERROR(SEARCH("FAT",M86)))</formula>
    </cfRule>
    <cfRule type="containsText" dxfId="9083" priority="9804" operator="containsText" text="FIRE">
      <formula>NOT(ISERROR(SEARCH("FIRE",M86)))</formula>
    </cfRule>
    <cfRule type="containsText" dxfId="9082" priority="9805" operator="containsText" text="COSH">
      <formula>NOT(ISERROR(SEARCH("COSH",M86)))</formula>
    </cfRule>
  </conditionalFormatting>
  <conditionalFormatting sqref="M71">
    <cfRule type="containsText" dxfId="9081" priority="9800" operator="containsText" text="FAT">
      <formula>NOT(ISERROR(SEARCH("FAT",M71)))</formula>
    </cfRule>
    <cfRule type="containsText" dxfId="9080" priority="9801" operator="containsText" text="FIRE">
      <formula>NOT(ISERROR(SEARCH("FIRE",M71)))</formula>
    </cfRule>
    <cfRule type="containsText" dxfId="9079" priority="9802" operator="containsText" text="COSH">
      <formula>NOT(ISERROR(SEARCH("COSH",M71)))</formula>
    </cfRule>
  </conditionalFormatting>
  <conditionalFormatting sqref="T67 T69 T77:T79 T82:T87 T72:T75">
    <cfRule type="containsText" dxfId="9078" priority="9797" operator="containsText" text="FAT">
      <formula>NOT(ISERROR(SEARCH("FAT",T67)))</formula>
    </cfRule>
    <cfRule type="containsText" dxfId="9077" priority="9798" operator="containsText" text="FIRE">
      <formula>NOT(ISERROR(SEARCH("FIRE",T67)))</formula>
    </cfRule>
    <cfRule type="containsText" dxfId="9076" priority="9799" operator="containsText" text="COSH">
      <formula>NOT(ISERROR(SEARCH("COSH",T67)))</formula>
    </cfRule>
  </conditionalFormatting>
  <conditionalFormatting sqref="T68">
    <cfRule type="containsText" dxfId="9075" priority="9794" operator="containsText" text="FAT">
      <formula>NOT(ISERROR(SEARCH("FAT",T68)))</formula>
    </cfRule>
    <cfRule type="containsText" dxfId="9074" priority="9795" operator="containsText" text="FIRE">
      <formula>NOT(ISERROR(SEARCH("FIRE",T68)))</formula>
    </cfRule>
    <cfRule type="containsText" dxfId="9073" priority="9796" operator="containsText" text="COSH">
      <formula>NOT(ISERROR(SEARCH("COSH",T68)))</formula>
    </cfRule>
  </conditionalFormatting>
  <conditionalFormatting sqref="T81">
    <cfRule type="containsText" dxfId="9072" priority="9791" operator="containsText" text="FAT">
      <formula>NOT(ISERROR(SEARCH("FAT",T81)))</formula>
    </cfRule>
    <cfRule type="containsText" dxfId="9071" priority="9792" operator="containsText" text="FIRE">
      <formula>NOT(ISERROR(SEARCH("FIRE",T81)))</formula>
    </cfRule>
    <cfRule type="containsText" dxfId="9070" priority="9793" operator="containsText" text="COSH">
      <formula>NOT(ISERROR(SEARCH("COSH",T81)))</formula>
    </cfRule>
  </conditionalFormatting>
  <conditionalFormatting sqref="T76">
    <cfRule type="containsText" dxfId="9069" priority="9788" operator="containsText" text="FAT">
      <formula>NOT(ISERROR(SEARCH("FAT",T76)))</formula>
    </cfRule>
    <cfRule type="containsText" dxfId="9068" priority="9789" operator="containsText" text="FIRE">
      <formula>NOT(ISERROR(SEARCH("FIRE",T76)))</formula>
    </cfRule>
    <cfRule type="containsText" dxfId="9067" priority="9790" operator="containsText" text="COSH">
      <formula>NOT(ISERROR(SEARCH("COSH",T76)))</formula>
    </cfRule>
  </conditionalFormatting>
  <conditionalFormatting sqref="T84">
    <cfRule type="containsText" dxfId="9066" priority="9785" operator="containsText" text="FAT">
      <formula>NOT(ISERROR(SEARCH("FAT",T84)))</formula>
    </cfRule>
    <cfRule type="containsText" dxfId="9065" priority="9786" operator="containsText" text="FIRE">
      <formula>NOT(ISERROR(SEARCH("FIRE",T84)))</formula>
    </cfRule>
    <cfRule type="containsText" dxfId="9064" priority="9787" operator="containsText" text="COSH">
      <formula>NOT(ISERROR(SEARCH("COSH",T84)))</formula>
    </cfRule>
  </conditionalFormatting>
  <conditionalFormatting sqref="T86">
    <cfRule type="containsText" dxfId="9063" priority="9782" operator="containsText" text="FAT">
      <formula>NOT(ISERROR(SEARCH("FAT",T86)))</formula>
    </cfRule>
    <cfRule type="containsText" dxfId="9062" priority="9783" operator="containsText" text="FIRE">
      <formula>NOT(ISERROR(SEARCH("FIRE",T86)))</formula>
    </cfRule>
    <cfRule type="containsText" dxfId="9061" priority="9784" operator="containsText" text="COSH">
      <formula>NOT(ISERROR(SEARCH("COSH",T86)))</formula>
    </cfRule>
  </conditionalFormatting>
  <conditionalFormatting sqref="T71">
    <cfRule type="containsText" dxfId="9060" priority="9779" operator="containsText" text="FAT">
      <formula>NOT(ISERROR(SEARCH("FAT",T71)))</formula>
    </cfRule>
    <cfRule type="containsText" dxfId="9059" priority="9780" operator="containsText" text="FIRE">
      <formula>NOT(ISERROR(SEARCH("FIRE",T71)))</formula>
    </cfRule>
    <cfRule type="containsText" dxfId="9058" priority="9781" operator="containsText" text="COSH">
      <formula>NOT(ISERROR(SEARCH("COSH",T71)))</formula>
    </cfRule>
  </conditionalFormatting>
  <conditionalFormatting sqref="AA67 AA69 AA85 AA87 AA72:AA75 AA77:AA80 AA82:AA83">
    <cfRule type="containsText" dxfId="9057" priority="9776" operator="containsText" text="FAT">
      <formula>NOT(ISERROR(SEARCH("FAT",AA67)))</formula>
    </cfRule>
    <cfRule type="containsText" dxfId="9056" priority="9777" operator="containsText" text="FIRE">
      <formula>NOT(ISERROR(SEARCH("FIRE",AA67)))</formula>
    </cfRule>
    <cfRule type="containsText" dxfId="9055" priority="9778" operator="containsText" text="COSH">
      <formula>NOT(ISERROR(SEARCH("COSH",AA67)))</formula>
    </cfRule>
  </conditionalFormatting>
  <conditionalFormatting sqref="AA68">
    <cfRule type="containsText" dxfId="9054" priority="9773" operator="containsText" text="FAT">
      <formula>NOT(ISERROR(SEARCH("FAT",AA68)))</formula>
    </cfRule>
    <cfRule type="containsText" dxfId="9053" priority="9774" operator="containsText" text="FIRE">
      <formula>NOT(ISERROR(SEARCH("FIRE",AA68)))</formula>
    </cfRule>
    <cfRule type="containsText" dxfId="9052" priority="9775" operator="containsText" text="COSH">
      <formula>NOT(ISERROR(SEARCH("COSH",AA68)))</formula>
    </cfRule>
  </conditionalFormatting>
  <conditionalFormatting sqref="AA81">
    <cfRule type="containsText" dxfId="9051" priority="9770" operator="containsText" text="FAT">
      <formula>NOT(ISERROR(SEARCH("FAT",AA81)))</formula>
    </cfRule>
    <cfRule type="containsText" dxfId="9050" priority="9771" operator="containsText" text="FIRE">
      <formula>NOT(ISERROR(SEARCH("FIRE",AA81)))</formula>
    </cfRule>
    <cfRule type="containsText" dxfId="9049" priority="9772" operator="containsText" text="COSH">
      <formula>NOT(ISERROR(SEARCH("COSH",AA81)))</formula>
    </cfRule>
  </conditionalFormatting>
  <conditionalFormatting sqref="AA76">
    <cfRule type="containsText" dxfId="9048" priority="9767" operator="containsText" text="FAT">
      <formula>NOT(ISERROR(SEARCH("FAT",AA76)))</formula>
    </cfRule>
    <cfRule type="containsText" dxfId="9047" priority="9768" operator="containsText" text="FIRE">
      <formula>NOT(ISERROR(SEARCH("FIRE",AA76)))</formula>
    </cfRule>
    <cfRule type="containsText" dxfId="9046" priority="9769" operator="containsText" text="COSH">
      <formula>NOT(ISERROR(SEARCH("COSH",AA76)))</formula>
    </cfRule>
  </conditionalFormatting>
  <conditionalFormatting sqref="AA84">
    <cfRule type="containsText" dxfId="9045" priority="9764" operator="containsText" text="FAT">
      <formula>NOT(ISERROR(SEARCH("FAT",AA84)))</formula>
    </cfRule>
    <cfRule type="containsText" dxfId="9044" priority="9765" operator="containsText" text="FIRE">
      <formula>NOT(ISERROR(SEARCH("FIRE",AA84)))</formula>
    </cfRule>
    <cfRule type="containsText" dxfId="9043" priority="9766" operator="containsText" text="COSH">
      <formula>NOT(ISERROR(SEARCH("COSH",AA84)))</formula>
    </cfRule>
  </conditionalFormatting>
  <conditionalFormatting sqref="AA86">
    <cfRule type="containsText" dxfId="9042" priority="9761" operator="containsText" text="FAT">
      <formula>NOT(ISERROR(SEARCH("FAT",AA86)))</formula>
    </cfRule>
    <cfRule type="containsText" dxfId="9041" priority="9762" operator="containsText" text="FIRE">
      <formula>NOT(ISERROR(SEARCH("FIRE",AA86)))</formula>
    </cfRule>
    <cfRule type="containsText" dxfId="9040" priority="9763" operator="containsText" text="COSH">
      <formula>NOT(ISERROR(SEARCH("COSH",AA86)))</formula>
    </cfRule>
  </conditionalFormatting>
  <conditionalFormatting sqref="AA71">
    <cfRule type="containsText" dxfId="9039" priority="9758" operator="containsText" text="FAT">
      <formula>NOT(ISERROR(SEARCH("FAT",AA71)))</formula>
    </cfRule>
    <cfRule type="containsText" dxfId="9038" priority="9759" operator="containsText" text="FIRE">
      <formula>NOT(ISERROR(SEARCH("FIRE",AA71)))</formula>
    </cfRule>
    <cfRule type="containsText" dxfId="9037" priority="9760" operator="containsText" text="COSH">
      <formula>NOT(ISERROR(SEARCH("COSH",AA71)))</formula>
    </cfRule>
  </conditionalFormatting>
  <conditionalFormatting sqref="AH67 AH69 AH82:AH83 AH77:AH80 AH85 AH87 AH72:AH75">
    <cfRule type="containsText" dxfId="9036" priority="9755" operator="containsText" text="FAT">
      <formula>NOT(ISERROR(SEARCH("FAT",AH67)))</formula>
    </cfRule>
    <cfRule type="containsText" dxfId="9035" priority="9756" operator="containsText" text="FIRE">
      <formula>NOT(ISERROR(SEARCH("FIRE",AH67)))</formula>
    </cfRule>
    <cfRule type="containsText" dxfId="9034" priority="9757" operator="containsText" text="COSH">
      <formula>NOT(ISERROR(SEARCH("COSH",AH67)))</formula>
    </cfRule>
  </conditionalFormatting>
  <conditionalFormatting sqref="AH68">
    <cfRule type="containsText" dxfId="9033" priority="9752" operator="containsText" text="FAT">
      <formula>NOT(ISERROR(SEARCH("FAT",AH68)))</formula>
    </cfRule>
    <cfRule type="containsText" dxfId="9032" priority="9753" operator="containsText" text="FIRE">
      <formula>NOT(ISERROR(SEARCH("FIRE",AH68)))</formula>
    </cfRule>
    <cfRule type="containsText" dxfId="9031" priority="9754" operator="containsText" text="COSH">
      <formula>NOT(ISERROR(SEARCH("COSH",AH68)))</formula>
    </cfRule>
  </conditionalFormatting>
  <conditionalFormatting sqref="AH81">
    <cfRule type="containsText" dxfId="9030" priority="9749" operator="containsText" text="FAT">
      <formula>NOT(ISERROR(SEARCH("FAT",AH81)))</formula>
    </cfRule>
    <cfRule type="containsText" dxfId="9029" priority="9750" operator="containsText" text="FIRE">
      <formula>NOT(ISERROR(SEARCH("FIRE",AH81)))</formula>
    </cfRule>
    <cfRule type="containsText" dxfId="9028" priority="9751" operator="containsText" text="COSH">
      <formula>NOT(ISERROR(SEARCH("COSH",AH81)))</formula>
    </cfRule>
  </conditionalFormatting>
  <conditionalFormatting sqref="AH76">
    <cfRule type="containsText" dxfId="9027" priority="9746" operator="containsText" text="FAT">
      <formula>NOT(ISERROR(SEARCH("FAT",AH76)))</formula>
    </cfRule>
    <cfRule type="containsText" dxfId="9026" priority="9747" operator="containsText" text="FIRE">
      <formula>NOT(ISERROR(SEARCH("FIRE",AH76)))</formula>
    </cfRule>
    <cfRule type="containsText" dxfId="9025" priority="9748" operator="containsText" text="COSH">
      <formula>NOT(ISERROR(SEARCH("COSH",AH76)))</formula>
    </cfRule>
  </conditionalFormatting>
  <conditionalFormatting sqref="AH84">
    <cfRule type="containsText" dxfId="9024" priority="9743" operator="containsText" text="FAT">
      <formula>NOT(ISERROR(SEARCH("FAT",AH84)))</formula>
    </cfRule>
    <cfRule type="containsText" dxfId="9023" priority="9744" operator="containsText" text="FIRE">
      <formula>NOT(ISERROR(SEARCH("FIRE",AH84)))</formula>
    </cfRule>
    <cfRule type="containsText" dxfId="9022" priority="9745" operator="containsText" text="COSH">
      <formula>NOT(ISERROR(SEARCH("COSH",AH84)))</formula>
    </cfRule>
  </conditionalFormatting>
  <conditionalFormatting sqref="AH86">
    <cfRule type="containsText" dxfId="9021" priority="9740" operator="containsText" text="FAT">
      <formula>NOT(ISERROR(SEARCH("FAT",AH86)))</formula>
    </cfRule>
    <cfRule type="containsText" dxfId="9020" priority="9741" operator="containsText" text="FIRE">
      <formula>NOT(ISERROR(SEARCH("FIRE",AH86)))</formula>
    </cfRule>
    <cfRule type="containsText" dxfId="9019" priority="9742" operator="containsText" text="COSH">
      <formula>NOT(ISERROR(SEARCH("COSH",AH86)))</formula>
    </cfRule>
  </conditionalFormatting>
  <conditionalFormatting sqref="AH71">
    <cfRule type="containsText" dxfId="9018" priority="9737" operator="containsText" text="FAT">
      <formula>NOT(ISERROR(SEARCH("FAT",AH71)))</formula>
    </cfRule>
    <cfRule type="containsText" dxfId="9017" priority="9738" operator="containsText" text="FIRE">
      <formula>NOT(ISERROR(SEARCH("FIRE",AH71)))</formula>
    </cfRule>
    <cfRule type="containsText" dxfId="9016" priority="9739" operator="containsText" text="COSH">
      <formula>NOT(ISERROR(SEARCH("COSH",AH71)))</formula>
    </cfRule>
  </conditionalFormatting>
  <conditionalFormatting sqref="AD107:AF107 AH107">
    <cfRule type="containsText" dxfId="9015" priority="9734" operator="containsText" text="FAT">
      <formula>NOT(ISERROR(SEARCH("FAT",AD107)))</formula>
    </cfRule>
    <cfRule type="containsText" dxfId="9014" priority="9735" operator="containsText" text="FIRE">
      <formula>NOT(ISERROR(SEARCH("FIRE",AD107)))</formula>
    </cfRule>
    <cfRule type="containsText" dxfId="9013" priority="9736" operator="containsText" text="COSH">
      <formula>NOT(ISERROR(SEARCH("COSH",AD107)))</formula>
    </cfRule>
  </conditionalFormatting>
  <conditionalFormatting sqref="AK105:AK106 AK108:AK111 AK113:AK116">
    <cfRule type="containsText" dxfId="9012" priority="9731" operator="containsText" text="FAT">
      <formula>NOT(ISERROR(SEARCH("FAT",AK105)))</formula>
    </cfRule>
    <cfRule type="containsText" dxfId="9011" priority="9732" operator="containsText" text="FIRE">
      <formula>NOT(ISERROR(SEARCH("FIRE",AK105)))</formula>
    </cfRule>
    <cfRule type="containsText" dxfId="9010" priority="9733" operator="containsText" text="COSH">
      <formula>NOT(ISERROR(SEARCH("COSH",AK105)))</formula>
    </cfRule>
  </conditionalFormatting>
  <conditionalFormatting sqref="AK112">
    <cfRule type="containsText" dxfId="9009" priority="9728" operator="containsText" text="FAT">
      <formula>NOT(ISERROR(SEARCH("FAT",AK112)))</formula>
    </cfRule>
    <cfRule type="containsText" dxfId="9008" priority="9729" operator="containsText" text="FIRE">
      <formula>NOT(ISERROR(SEARCH("FIRE",AK112)))</formula>
    </cfRule>
    <cfRule type="containsText" dxfId="9007" priority="9730" operator="containsText" text="COSH">
      <formula>NOT(ISERROR(SEARCH("COSH",AK112)))</formula>
    </cfRule>
  </conditionalFormatting>
  <conditionalFormatting sqref="AK104">
    <cfRule type="containsText" dxfId="9006" priority="9725" operator="containsText" text="FAT">
      <formula>NOT(ISERROR(SEARCH("FAT",AK104)))</formula>
    </cfRule>
    <cfRule type="containsText" dxfId="9005" priority="9726" operator="containsText" text="FIRE">
      <formula>NOT(ISERROR(SEARCH("FIRE",AK104)))</formula>
    </cfRule>
    <cfRule type="containsText" dxfId="9004" priority="9727" operator="containsText" text="COSH">
      <formula>NOT(ISERROR(SEARCH("COSH",AK104)))</formula>
    </cfRule>
  </conditionalFormatting>
  <conditionalFormatting sqref="AK102">
    <cfRule type="containsText" dxfId="9003" priority="9722" operator="containsText" text="FAT">
      <formula>NOT(ISERROR(SEARCH("FAT",AK102)))</formula>
    </cfRule>
    <cfRule type="containsText" dxfId="9002" priority="9723" operator="containsText" text="FIRE">
      <formula>NOT(ISERROR(SEARCH("FIRE",AK102)))</formula>
    </cfRule>
    <cfRule type="containsText" dxfId="9001" priority="9724" operator="containsText" text="COSH">
      <formula>NOT(ISERROR(SEARCH("COSH",AK102)))</formula>
    </cfRule>
  </conditionalFormatting>
  <conditionalFormatting sqref="AK107">
    <cfRule type="containsText" dxfId="9000" priority="9719" operator="containsText" text="FAT">
      <formula>NOT(ISERROR(SEARCH("FAT",AK107)))</formula>
    </cfRule>
    <cfRule type="containsText" dxfId="8999" priority="9720" operator="containsText" text="FIRE">
      <formula>NOT(ISERROR(SEARCH("FIRE",AK107)))</formula>
    </cfRule>
    <cfRule type="containsText" dxfId="8998" priority="9721" operator="containsText" text="COSH">
      <formula>NOT(ISERROR(SEARCH("COSH",AK107)))</formula>
    </cfRule>
  </conditionalFormatting>
  <conditionalFormatting sqref="AK103">
    <cfRule type="containsText" dxfId="8997" priority="9716" operator="containsText" text="FAT">
      <formula>NOT(ISERROR(SEARCH("FAT",AK103)))</formula>
    </cfRule>
    <cfRule type="containsText" dxfId="8996" priority="9717" operator="containsText" text="FIRE">
      <formula>NOT(ISERROR(SEARCH("FIRE",AK103)))</formula>
    </cfRule>
    <cfRule type="containsText" dxfId="8995" priority="9718" operator="containsText" text="COSH">
      <formula>NOT(ISERROR(SEARCH("COSH",AK103)))</formula>
    </cfRule>
  </conditionalFormatting>
  <conditionalFormatting sqref="J89">
    <cfRule type="containsText" dxfId="8994" priority="9713" operator="containsText" text="FAT">
      <formula>NOT(ISERROR(SEARCH("FAT",J89)))</formula>
    </cfRule>
    <cfRule type="containsText" dxfId="8993" priority="9714" operator="containsText" text="FIRE">
      <formula>NOT(ISERROR(SEARCH("FIRE",J89)))</formula>
    </cfRule>
    <cfRule type="containsText" dxfId="8992" priority="9715" operator="containsText" text="COSH">
      <formula>NOT(ISERROR(SEARCH("COSH",J89)))</formula>
    </cfRule>
  </conditionalFormatting>
  <conditionalFormatting sqref="AI76">
    <cfRule type="containsText" dxfId="8991" priority="9710" operator="containsText" text="FAT">
      <formula>NOT(ISERROR(SEARCH("FAT",AI76)))</formula>
    </cfRule>
    <cfRule type="containsText" dxfId="8990" priority="9711" operator="containsText" text="FIRE">
      <formula>NOT(ISERROR(SEARCH("FIRE",AI76)))</formula>
    </cfRule>
    <cfRule type="containsText" dxfId="8989" priority="9712" operator="containsText" text="COSH">
      <formula>NOT(ISERROR(SEARCH("COSH",AI76)))</formula>
    </cfRule>
  </conditionalFormatting>
  <conditionalFormatting sqref="D5:AI5">
    <cfRule type="containsText" dxfId="8988" priority="9707" operator="containsText" text="FAT">
      <formula>NOT(ISERROR(SEARCH("FAT",D5)))</formula>
    </cfRule>
    <cfRule type="containsText" dxfId="8987" priority="9708" operator="containsText" text="FIRE">
      <formula>NOT(ISERROR(SEARCH("FIRE",D5)))</formula>
    </cfRule>
    <cfRule type="containsText" dxfId="8986" priority="9709" operator="containsText" text="COSH">
      <formula>NOT(ISERROR(SEARCH("COSH",D5)))</formula>
    </cfRule>
  </conditionalFormatting>
  <conditionalFormatting sqref="AJ5:AK5">
    <cfRule type="containsText" dxfId="8985" priority="9704" operator="containsText" text="FAT">
      <formula>NOT(ISERROR(SEARCH("FAT",AJ5)))</formula>
    </cfRule>
    <cfRule type="containsText" dxfId="8984" priority="9705" operator="containsText" text="FIRE">
      <formula>NOT(ISERROR(SEARCH("FIRE",AJ5)))</formula>
    </cfRule>
    <cfRule type="containsText" dxfId="8983" priority="9706" operator="containsText" text="COSH">
      <formula>NOT(ISERROR(SEARCH("COSH",AJ5)))</formula>
    </cfRule>
  </conditionalFormatting>
  <conditionalFormatting sqref="D38">
    <cfRule type="containsText" dxfId="8982" priority="9701" operator="containsText" text="FAT">
      <formula>NOT(ISERROR(SEARCH("FAT",D38)))</formula>
    </cfRule>
    <cfRule type="containsText" dxfId="8981" priority="9702" operator="containsText" text="FIRE">
      <formula>NOT(ISERROR(SEARCH("FIRE",D38)))</formula>
    </cfRule>
    <cfRule type="containsText" dxfId="8980" priority="9703" operator="containsText" text="COSH">
      <formula>NOT(ISERROR(SEARCH("COSH",D38)))</formula>
    </cfRule>
  </conditionalFormatting>
  <conditionalFormatting sqref="F35 F37">
    <cfRule type="containsText" dxfId="8979" priority="9698" operator="containsText" text="FAT">
      <formula>NOT(ISERROR(SEARCH("FAT",F35)))</formula>
    </cfRule>
    <cfRule type="containsText" dxfId="8978" priority="9699" operator="containsText" text="FIRE">
      <formula>NOT(ISERROR(SEARCH("FIRE",F35)))</formula>
    </cfRule>
    <cfRule type="containsText" dxfId="8977" priority="9700" operator="containsText" text="COSH">
      <formula>NOT(ISERROR(SEARCH("COSH",F35)))</formula>
    </cfRule>
  </conditionalFormatting>
  <conditionalFormatting sqref="F36">
    <cfRule type="containsText" dxfId="8976" priority="9695" operator="containsText" text="FAT">
      <formula>NOT(ISERROR(SEARCH("FAT",F36)))</formula>
    </cfRule>
    <cfRule type="containsText" dxfId="8975" priority="9696" operator="containsText" text="FIRE">
      <formula>NOT(ISERROR(SEARCH("FIRE",F36)))</formula>
    </cfRule>
    <cfRule type="containsText" dxfId="8974" priority="9697" operator="containsText" text="COSH">
      <formula>NOT(ISERROR(SEARCH("COSH",F36)))</formula>
    </cfRule>
  </conditionalFormatting>
  <conditionalFormatting sqref="G80 N80 T80:W80 P80">
    <cfRule type="containsText" dxfId="8973" priority="9692" operator="containsText" text="FAT">
      <formula>NOT(ISERROR(SEARCH("FAT",G80)))</formula>
    </cfRule>
    <cfRule type="containsText" dxfId="8972" priority="9693" operator="containsText" text="FIRE">
      <formula>NOT(ISERROR(SEARCH("FIRE",G80)))</formula>
    </cfRule>
    <cfRule type="containsText" dxfId="8971" priority="9694" operator="containsText" text="COSH">
      <formula>NOT(ISERROR(SEARCH("COSH",G80)))</formula>
    </cfRule>
  </conditionalFormatting>
  <conditionalFormatting sqref="L80">
    <cfRule type="containsText" dxfId="8970" priority="9689" operator="containsText" text="FAT">
      <formula>NOT(ISERROR(SEARCH("FAT",L80)))</formula>
    </cfRule>
    <cfRule type="containsText" dxfId="8969" priority="9690" operator="containsText" text="FIRE">
      <formula>NOT(ISERROR(SEARCH("FIRE",L80)))</formula>
    </cfRule>
    <cfRule type="containsText" dxfId="8968" priority="9691" operator="containsText" text="COSH">
      <formula>NOT(ISERROR(SEARCH("COSH",L80)))</formula>
    </cfRule>
  </conditionalFormatting>
  <conditionalFormatting sqref="S80">
    <cfRule type="containsText" dxfId="8967" priority="9686" operator="containsText" text="FAT">
      <formula>NOT(ISERROR(SEARCH("FAT",S80)))</formula>
    </cfRule>
    <cfRule type="containsText" dxfId="8966" priority="9687" operator="containsText" text="FIRE">
      <formula>NOT(ISERROR(SEARCH("FIRE",S80)))</formula>
    </cfRule>
    <cfRule type="containsText" dxfId="8965" priority="9688" operator="containsText" text="COSH">
      <formula>NOT(ISERROR(SEARCH("COSH",S80)))</formula>
    </cfRule>
  </conditionalFormatting>
  <conditionalFormatting sqref="J80">
    <cfRule type="containsText" dxfId="8964" priority="9683" operator="containsText" text="FAT">
      <formula>NOT(ISERROR(SEARCH("FAT",J80)))</formula>
    </cfRule>
    <cfRule type="containsText" dxfId="8963" priority="9684" operator="containsText" text="FIRE">
      <formula>NOT(ISERROR(SEARCH("FIRE",J80)))</formula>
    </cfRule>
    <cfRule type="containsText" dxfId="8962" priority="9685" operator="containsText" text="COSH">
      <formula>NOT(ISERROR(SEARCH("COSH",J80)))</formula>
    </cfRule>
  </conditionalFormatting>
  <conditionalFormatting sqref="X80">
    <cfRule type="containsText" dxfId="8961" priority="9680" operator="containsText" text="FAT">
      <formula>NOT(ISERROR(SEARCH("FAT",X80)))</formula>
    </cfRule>
    <cfRule type="containsText" dxfId="8960" priority="9681" operator="containsText" text="FIRE">
      <formula>NOT(ISERROR(SEARCH("FIRE",X80)))</formula>
    </cfRule>
    <cfRule type="containsText" dxfId="8959" priority="9682" operator="containsText" text="COSH">
      <formula>NOT(ISERROR(SEARCH("COSH",X80)))</formula>
    </cfRule>
  </conditionalFormatting>
  <conditionalFormatting sqref="M80">
    <cfRule type="containsText" dxfId="8958" priority="9677" operator="containsText" text="FAT">
      <formula>NOT(ISERROR(SEARCH("FAT",M80)))</formula>
    </cfRule>
    <cfRule type="containsText" dxfId="8957" priority="9678" operator="containsText" text="FIRE">
      <formula>NOT(ISERROR(SEARCH("FIRE",M80)))</formula>
    </cfRule>
    <cfRule type="containsText" dxfId="8956" priority="9679" operator="containsText" text="COSH">
      <formula>NOT(ISERROR(SEARCH("COSH",M80)))</formula>
    </cfRule>
  </conditionalFormatting>
  <conditionalFormatting sqref="T80">
    <cfRule type="containsText" dxfId="8955" priority="9674" operator="containsText" text="FAT">
      <formula>NOT(ISERROR(SEARCH("FAT",T80)))</formula>
    </cfRule>
    <cfRule type="containsText" dxfId="8954" priority="9675" operator="containsText" text="FIRE">
      <formula>NOT(ISERROR(SEARCH("FIRE",T80)))</formula>
    </cfRule>
    <cfRule type="containsText" dxfId="8953" priority="9676" operator="containsText" text="COSH">
      <formula>NOT(ISERROR(SEARCH("COSH",T80)))</formula>
    </cfRule>
  </conditionalFormatting>
  <conditionalFormatting sqref="K80">
    <cfRule type="containsText" dxfId="8952" priority="9671" operator="containsText" text="FAT">
      <formula>NOT(ISERROR(SEARCH("FAT",K80)))</formula>
    </cfRule>
    <cfRule type="containsText" dxfId="8951" priority="9672" operator="containsText" text="FIRE">
      <formula>NOT(ISERROR(SEARCH("FIRE",K80)))</formula>
    </cfRule>
    <cfRule type="containsText" dxfId="8950" priority="9673" operator="containsText" text="COSH">
      <formula>NOT(ISERROR(SEARCH("COSH",K80)))</formula>
    </cfRule>
  </conditionalFormatting>
  <conditionalFormatting sqref="R80:W80">
    <cfRule type="containsText" dxfId="8949" priority="9668" operator="containsText" text="FAT">
      <formula>NOT(ISERROR(SEARCH("FAT",R80)))</formula>
    </cfRule>
    <cfRule type="containsText" dxfId="8948" priority="9669" operator="containsText" text="FIRE">
      <formula>NOT(ISERROR(SEARCH("FIRE",R80)))</formula>
    </cfRule>
    <cfRule type="containsText" dxfId="8947" priority="9670" operator="containsText" text="COSH">
      <formula>NOT(ISERROR(SEARCH("COSH",R80)))</formula>
    </cfRule>
  </conditionalFormatting>
  <conditionalFormatting sqref="Y80">
    <cfRule type="containsText" dxfId="8946" priority="9665" operator="containsText" text="FAT">
      <formula>NOT(ISERROR(SEARCH("FAT",Y80)))</formula>
    </cfRule>
    <cfRule type="containsText" dxfId="8945" priority="9666" operator="containsText" text="FIRE">
      <formula>NOT(ISERROR(SEARCH("FIRE",Y80)))</formula>
    </cfRule>
    <cfRule type="containsText" dxfId="8944" priority="9667" operator="containsText" text="COSH">
      <formula>NOT(ISERROR(SEARCH("COSH",Y80)))</formula>
    </cfRule>
  </conditionalFormatting>
  <conditionalFormatting sqref="D66">
    <cfRule type="containsText" dxfId="8943" priority="9662" operator="containsText" text="FAT">
      <formula>NOT(ISERROR(SEARCH("FAT",D66)))</formula>
    </cfRule>
    <cfRule type="containsText" dxfId="8942" priority="9663" operator="containsText" text="FIRE">
      <formula>NOT(ISERROR(SEARCH("FIRE",D66)))</formula>
    </cfRule>
    <cfRule type="containsText" dxfId="8941" priority="9664" operator="containsText" text="COSH">
      <formula>NOT(ISERROR(SEARCH("COSH",D66)))</formula>
    </cfRule>
  </conditionalFormatting>
  <conditionalFormatting sqref="D93">
    <cfRule type="containsText" dxfId="8940" priority="9659" operator="containsText" text="FAT">
      <formula>NOT(ISERROR(SEARCH("FAT",D93)))</formula>
    </cfRule>
    <cfRule type="containsText" dxfId="8939" priority="9660" operator="containsText" text="FIRE">
      <formula>NOT(ISERROR(SEARCH("FIRE",D93)))</formula>
    </cfRule>
    <cfRule type="containsText" dxfId="8938" priority="9661" operator="containsText" text="COSH">
      <formula>NOT(ISERROR(SEARCH("COSH",D93)))</formula>
    </cfRule>
  </conditionalFormatting>
  <conditionalFormatting sqref="D89:D92">
    <cfRule type="containsText" dxfId="8937" priority="9656" operator="containsText" text="FAT">
      <formula>NOT(ISERROR(SEARCH("FAT",D89)))</formula>
    </cfRule>
    <cfRule type="containsText" dxfId="8936" priority="9657" operator="containsText" text="FIRE">
      <formula>NOT(ISERROR(SEARCH("FIRE",D89)))</formula>
    </cfRule>
    <cfRule type="containsText" dxfId="8935" priority="9658" operator="containsText" text="COSH">
      <formula>NOT(ISERROR(SEARCH("COSH",D89)))</formula>
    </cfRule>
  </conditionalFormatting>
  <conditionalFormatting sqref="F89 F92">
    <cfRule type="containsText" dxfId="8934" priority="9653" operator="containsText" text="FAT">
      <formula>NOT(ISERROR(SEARCH("FAT",F89)))</formula>
    </cfRule>
    <cfRule type="containsText" dxfId="8933" priority="9654" operator="containsText" text="FIRE">
      <formula>NOT(ISERROR(SEARCH("FIRE",F89)))</formula>
    </cfRule>
    <cfRule type="containsText" dxfId="8932" priority="9655" operator="containsText" text="COSH">
      <formula>NOT(ISERROR(SEARCH("COSH",F89)))</formula>
    </cfRule>
  </conditionalFormatting>
  <conditionalFormatting sqref="F90:F91">
    <cfRule type="containsText" dxfId="8931" priority="9650" operator="containsText" text="FAT">
      <formula>NOT(ISERROR(SEARCH("FAT",F90)))</formula>
    </cfRule>
    <cfRule type="containsText" dxfId="8930" priority="9651" operator="containsText" text="FIRE">
      <formula>NOT(ISERROR(SEARCH("FIRE",F90)))</formula>
    </cfRule>
    <cfRule type="containsText" dxfId="8929" priority="9652" operator="containsText" text="COSH">
      <formula>NOT(ISERROR(SEARCH("COSH",F90)))</formula>
    </cfRule>
  </conditionalFormatting>
  <conditionalFormatting sqref="AN67">
    <cfRule type="containsText" dxfId="8928" priority="9647" operator="containsText" text="FAT">
      <formula>NOT(ISERROR(SEARCH("FAT",AN67)))</formula>
    </cfRule>
    <cfRule type="containsText" dxfId="8927" priority="9648" operator="containsText" text="FIRE">
      <formula>NOT(ISERROR(SEARCH("FIRE",AN67)))</formula>
    </cfRule>
    <cfRule type="containsText" dxfId="8926" priority="9649" operator="containsText" text="COSH">
      <formula>NOT(ISERROR(SEARCH("COSH",AN67)))</formula>
    </cfRule>
  </conditionalFormatting>
  <conditionalFormatting sqref="AN94">
    <cfRule type="containsText" dxfId="8925" priority="9644" operator="containsText" text="FAT">
      <formula>NOT(ISERROR(SEARCH("FAT",AN94)))</formula>
    </cfRule>
    <cfRule type="containsText" dxfId="8924" priority="9645" operator="containsText" text="FIRE">
      <formula>NOT(ISERROR(SEARCH("FIRE",AN94)))</formula>
    </cfRule>
    <cfRule type="containsText" dxfId="8923" priority="9646" operator="containsText" text="COSH">
      <formula>NOT(ISERROR(SEARCH("COSH",AN94)))</formula>
    </cfRule>
  </conditionalFormatting>
  <conditionalFormatting sqref="AF42:AF44">
    <cfRule type="containsText" dxfId="8922" priority="9641" operator="containsText" text="FAT">
      <formula>NOT(ISERROR(SEARCH("FAT",AF42)))</formula>
    </cfRule>
    <cfRule type="containsText" dxfId="8921" priority="9642" operator="containsText" text="FIRE">
      <formula>NOT(ISERROR(SEARCH("FIRE",AF42)))</formula>
    </cfRule>
    <cfRule type="containsText" dxfId="8920" priority="9643" operator="containsText" text="COSH">
      <formula>NOT(ISERROR(SEARCH("COSH",AF42)))</formula>
    </cfRule>
  </conditionalFormatting>
  <conditionalFormatting sqref="E42:E44">
    <cfRule type="duplicateValues" dxfId="8919" priority="9639"/>
  </conditionalFormatting>
  <conditionalFormatting sqref="E48 E42:E44 E46">
    <cfRule type="duplicateValues" dxfId="8918" priority="9636"/>
  </conditionalFormatting>
  <conditionalFormatting sqref="E48">
    <cfRule type="duplicateValues" dxfId="8917" priority="9637"/>
  </conditionalFormatting>
  <conditionalFormatting sqref="E48">
    <cfRule type="duplicateValues" dxfId="8916" priority="9638"/>
  </conditionalFormatting>
  <conditionalFormatting sqref="E47">
    <cfRule type="duplicateValues" dxfId="8915" priority="9634"/>
  </conditionalFormatting>
  <conditionalFormatting sqref="E47">
    <cfRule type="duplicateValues" dxfId="8914" priority="9635"/>
  </conditionalFormatting>
  <conditionalFormatting sqref="E47">
    <cfRule type="duplicateValues" dxfId="8913" priority="9633"/>
  </conditionalFormatting>
  <conditionalFormatting sqref="E46">
    <cfRule type="duplicateValues" dxfId="8912" priority="9631"/>
  </conditionalFormatting>
  <conditionalFormatting sqref="E46">
    <cfRule type="duplicateValues" dxfId="8911" priority="9632"/>
  </conditionalFormatting>
  <conditionalFormatting sqref="E46">
    <cfRule type="duplicateValues" dxfId="8910" priority="9630"/>
  </conditionalFormatting>
  <conditionalFormatting sqref="E45">
    <cfRule type="duplicateValues" dxfId="8909" priority="9621"/>
  </conditionalFormatting>
  <conditionalFormatting sqref="E45">
    <cfRule type="duplicateValues" dxfId="8908" priority="9620"/>
  </conditionalFormatting>
  <conditionalFormatting sqref="E45">
    <cfRule type="duplicateValues" dxfId="8907" priority="9622"/>
  </conditionalFormatting>
  <conditionalFormatting sqref="E45">
    <cfRule type="duplicateValues" dxfId="8906" priority="9623"/>
  </conditionalFormatting>
  <conditionalFormatting sqref="E45">
    <cfRule type="duplicateValues" dxfId="8905" priority="9624"/>
  </conditionalFormatting>
  <conditionalFormatting sqref="E45">
    <cfRule type="duplicateValues" dxfId="8904" priority="9625"/>
  </conditionalFormatting>
  <conditionalFormatting sqref="E45">
    <cfRule type="duplicateValues" dxfId="8903" priority="9626"/>
  </conditionalFormatting>
  <conditionalFormatting sqref="E45">
    <cfRule type="duplicateValues" dxfId="8902" priority="9627"/>
  </conditionalFormatting>
  <conditionalFormatting sqref="E45">
    <cfRule type="duplicateValues" dxfId="8901" priority="9628"/>
  </conditionalFormatting>
  <conditionalFormatting sqref="E45">
    <cfRule type="duplicateValues" dxfId="8900" priority="9629"/>
  </conditionalFormatting>
  <conditionalFormatting sqref="E41">
    <cfRule type="duplicateValues" dxfId="8899" priority="9640"/>
  </conditionalFormatting>
  <conditionalFormatting sqref="E49">
    <cfRule type="duplicateValues" dxfId="8898" priority="9617"/>
  </conditionalFormatting>
  <conditionalFormatting sqref="E49">
    <cfRule type="duplicateValues" dxfId="8897" priority="9618"/>
  </conditionalFormatting>
  <conditionalFormatting sqref="E49">
    <cfRule type="duplicateValues" dxfId="8896" priority="9619"/>
  </conditionalFormatting>
  <conditionalFormatting sqref="E51">
    <cfRule type="duplicateValues" dxfId="8895" priority="9614"/>
  </conditionalFormatting>
  <conditionalFormatting sqref="E51">
    <cfRule type="duplicateValues" dxfId="8894" priority="9615"/>
  </conditionalFormatting>
  <conditionalFormatting sqref="E51">
    <cfRule type="duplicateValues" dxfId="8893" priority="9616"/>
  </conditionalFormatting>
  <conditionalFormatting sqref="E50">
    <cfRule type="duplicateValues" dxfId="8892" priority="9611"/>
  </conditionalFormatting>
  <conditionalFormatting sqref="E50">
    <cfRule type="duplicateValues" dxfId="8891" priority="9612"/>
  </conditionalFormatting>
  <conditionalFormatting sqref="E50">
    <cfRule type="duplicateValues" dxfId="8890" priority="9613"/>
  </conditionalFormatting>
  <conditionalFormatting sqref="AN11">
    <cfRule type="containsText" dxfId="8889" priority="9607" operator="containsText" text="FAT">
      <formula>NOT(ISERROR(SEARCH("FAT",AN11)))</formula>
    </cfRule>
    <cfRule type="containsText" dxfId="8888" priority="9608" operator="containsText" text="FIRE">
      <formula>NOT(ISERROR(SEARCH("FIRE",AN11)))</formula>
    </cfRule>
    <cfRule type="containsText" dxfId="8887" priority="9609" operator="containsText" text="COSH">
      <formula>NOT(ISERROR(SEARCH("COSH",AN11)))</formula>
    </cfRule>
  </conditionalFormatting>
  <conditionalFormatting sqref="AK19:AK22 AK27:AK33 AF54:AK54 AE39:AK52 AI53:AK53 AH56:AK56 AA40:AD52 AA53:AG53 AA54:AE55 AA56:AF56 AA94:AB111 AA113:AB116 AD94:AK116 G99:K101 G103:K108 G102:L102">
    <cfRule type="cellIs" dxfId="8886" priority="9606" operator="between">
      <formula>1</formula>
      <formula>3</formula>
    </cfRule>
  </conditionalFormatting>
  <conditionalFormatting sqref="E39:E40">
    <cfRule type="duplicateValues" dxfId="8885" priority="9605"/>
  </conditionalFormatting>
  <conditionalFormatting sqref="E60">
    <cfRule type="duplicateValues" dxfId="8884" priority="9603"/>
  </conditionalFormatting>
  <conditionalFormatting sqref="E60">
    <cfRule type="duplicateValues" dxfId="8883" priority="9604"/>
  </conditionalFormatting>
  <conditionalFormatting sqref="AK18">
    <cfRule type="containsText" dxfId="8882" priority="9600" operator="containsText" text="FAT">
      <formula>NOT(ISERROR(SEARCH("FAT",AK18)))</formula>
    </cfRule>
    <cfRule type="containsText" dxfId="8881" priority="9601" operator="containsText" text="FIRE">
      <formula>NOT(ISERROR(SEARCH("FIRE",AK18)))</formula>
    </cfRule>
    <cfRule type="containsText" dxfId="8880" priority="9602" operator="containsText" text="COSH">
      <formula>NOT(ISERROR(SEARCH("COSH",AK18)))</formula>
    </cfRule>
  </conditionalFormatting>
  <conditionalFormatting sqref="AE39:AE40 AA40:AD40">
    <cfRule type="containsText" dxfId="8879" priority="9597" operator="containsText" text="FAT">
      <formula>NOT(ISERROR(SEARCH("FAT",AA39)))</formula>
    </cfRule>
    <cfRule type="containsText" dxfId="8878" priority="9598" operator="containsText" text="FIRE">
      <formula>NOT(ISERROR(SEARCH("FIRE",AA39)))</formula>
    </cfRule>
    <cfRule type="containsText" dxfId="8877" priority="9599" operator="containsText" text="COSH">
      <formula>NOT(ISERROR(SEARCH("COSH",AA39)))</formula>
    </cfRule>
  </conditionalFormatting>
  <conditionalFormatting sqref="AK39:AK40">
    <cfRule type="containsText" dxfId="8876" priority="9594" operator="containsText" text="FAT">
      <formula>NOT(ISERROR(SEARCH("FAT",AK39)))</formula>
    </cfRule>
    <cfRule type="containsText" dxfId="8875" priority="9595" operator="containsText" text="FIRE">
      <formula>NOT(ISERROR(SEARCH("FIRE",AK39)))</formula>
    </cfRule>
    <cfRule type="containsText" dxfId="8874" priority="9596" operator="containsText" text="COSH">
      <formula>NOT(ISERROR(SEARCH("COSH",AK39)))</formula>
    </cfRule>
  </conditionalFormatting>
  <conditionalFormatting sqref="AK39:AK40">
    <cfRule type="containsText" dxfId="8873" priority="9591" operator="containsText" text="FAT">
      <formula>NOT(ISERROR(SEARCH("FAT",AK39)))</formula>
    </cfRule>
    <cfRule type="containsText" dxfId="8872" priority="9592" operator="containsText" text="FIRE">
      <formula>NOT(ISERROR(SEARCH("FIRE",AK39)))</formula>
    </cfRule>
    <cfRule type="containsText" dxfId="8871" priority="9593" operator="containsText" text="COSH">
      <formula>NOT(ISERROR(SEARCH("COSH",AK39)))</formula>
    </cfRule>
  </conditionalFormatting>
  <conditionalFormatting sqref="AE39:AE40 AA40:AD40">
    <cfRule type="containsText" dxfId="8870" priority="9588" operator="containsText" text="FAT">
      <formula>NOT(ISERROR(SEARCH("FAT",AA39)))</formula>
    </cfRule>
    <cfRule type="containsText" dxfId="8869" priority="9589" operator="containsText" text="FIRE">
      <formula>NOT(ISERROR(SEARCH("FIRE",AA39)))</formula>
    </cfRule>
    <cfRule type="containsText" dxfId="8868" priority="9590" operator="containsText" text="COSH">
      <formula>NOT(ISERROR(SEARCH("COSH",AA39)))</formula>
    </cfRule>
  </conditionalFormatting>
  <conditionalFormatting sqref="AK41:AK58 AK60">
    <cfRule type="containsText" dxfId="8867" priority="9585" operator="containsText" text="FAT">
      <formula>NOT(ISERROR(SEARCH("FAT",AK41)))</formula>
    </cfRule>
    <cfRule type="containsText" dxfId="8866" priority="9586" operator="containsText" text="FIRE">
      <formula>NOT(ISERROR(SEARCH("FIRE",AK41)))</formula>
    </cfRule>
    <cfRule type="containsText" dxfId="8865" priority="9587" operator="containsText" text="COSH">
      <formula>NOT(ISERROR(SEARCH("COSH",AK41)))</formula>
    </cfRule>
  </conditionalFormatting>
  <conditionalFormatting sqref="AK41:AK58 AK60">
    <cfRule type="containsText" dxfId="8864" priority="9582" operator="containsText" text="FAT">
      <formula>NOT(ISERROR(SEARCH("FAT",AK41)))</formula>
    </cfRule>
    <cfRule type="containsText" dxfId="8863" priority="9583" operator="containsText" text="FIRE">
      <formula>NOT(ISERROR(SEARCH("FIRE",AK41)))</formula>
    </cfRule>
    <cfRule type="containsText" dxfId="8862" priority="9584" operator="containsText" text="COSH">
      <formula>NOT(ISERROR(SEARCH("COSH",AK41)))</formula>
    </cfRule>
  </conditionalFormatting>
  <conditionalFormatting sqref="AK41:AK58 AK60">
    <cfRule type="containsText" dxfId="8861" priority="9579" operator="containsText" text="FAT">
      <formula>NOT(ISERROR(SEARCH("FAT",AK41)))</formula>
    </cfRule>
    <cfRule type="containsText" dxfId="8860" priority="9580" operator="containsText" text="FIRE">
      <formula>NOT(ISERROR(SEARCH("FIRE",AK41)))</formula>
    </cfRule>
    <cfRule type="containsText" dxfId="8859" priority="9581" operator="containsText" text="COSH">
      <formula>NOT(ISERROR(SEARCH("COSH",AK41)))</formula>
    </cfRule>
  </conditionalFormatting>
  <conditionalFormatting sqref="AA41:AE44">
    <cfRule type="containsText" dxfId="8858" priority="9576" operator="containsText" text="FAT">
      <formula>NOT(ISERROR(SEARCH("FAT",AA41)))</formula>
    </cfRule>
    <cfRule type="containsText" dxfId="8857" priority="9577" operator="containsText" text="FIRE">
      <formula>NOT(ISERROR(SEARCH("FIRE",AA41)))</formula>
    </cfRule>
    <cfRule type="containsText" dxfId="8856" priority="9578" operator="containsText" text="COSH">
      <formula>NOT(ISERROR(SEARCH("COSH",AA41)))</formula>
    </cfRule>
  </conditionalFormatting>
  <conditionalFormatting sqref="AA41:AE44">
    <cfRule type="containsText" dxfId="8855" priority="9573" operator="containsText" text="FAT">
      <formula>NOT(ISERROR(SEARCH("FAT",AA41)))</formula>
    </cfRule>
    <cfRule type="containsText" dxfId="8854" priority="9574" operator="containsText" text="FIRE">
      <formula>NOT(ISERROR(SEARCH("FIRE",AA41)))</formula>
    </cfRule>
    <cfRule type="containsText" dxfId="8853" priority="9575" operator="containsText" text="COSH">
      <formula>NOT(ISERROR(SEARCH("COSH",AA41)))</formula>
    </cfRule>
  </conditionalFormatting>
  <conditionalFormatting sqref="AA41:AE44">
    <cfRule type="containsText" dxfId="8852" priority="9570" operator="containsText" text="FAT">
      <formula>NOT(ISERROR(SEARCH("FAT",AA41)))</formula>
    </cfRule>
    <cfRule type="containsText" dxfId="8851" priority="9571" operator="containsText" text="FIRE">
      <formula>NOT(ISERROR(SEARCH("FIRE",AA41)))</formula>
    </cfRule>
    <cfRule type="containsText" dxfId="8850" priority="9572" operator="containsText" text="COSH">
      <formula>NOT(ISERROR(SEARCH("COSH",AA41)))</formula>
    </cfRule>
  </conditionalFormatting>
  <conditionalFormatting sqref="AA45:AE48">
    <cfRule type="containsText" dxfId="8849" priority="9567" operator="containsText" text="FAT">
      <formula>NOT(ISERROR(SEARCH("FAT",AA45)))</formula>
    </cfRule>
    <cfRule type="containsText" dxfId="8848" priority="9568" operator="containsText" text="FIRE">
      <formula>NOT(ISERROR(SEARCH("FIRE",AA45)))</formula>
    </cfRule>
    <cfRule type="containsText" dxfId="8847" priority="9569" operator="containsText" text="COSH">
      <formula>NOT(ISERROR(SEARCH("COSH",AA45)))</formula>
    </cfRule>
  </conditionalFormatting>
  <conditionalFormatting sqref="AA45:AE48">
    <cfRule type="containsText" dxfId="8846" priority="9564" operator="containsText" text="FAT">
      <formula>NOT(ISERROR(SEARCH("FAT",AA45)))</formula>
    </cfRule>
    <cfRule type="containsText" dxfId="8845" priority="9565" operator="containsText" text="FIRE">
      <formula>NOT(ISERROR(SEARCH("FIRE",AA45)))</formula>
    </cfRule>
    <cfRule type="containsText" dxfId="8844" priority="9566" operator="containsText" text="COSH">
      <formula>NOT(ISERROR(SEARCH("COSH",AA45)))</formula>
    </cfRule>
  </conditionalFormatting>
  <conditionalFormatting sqref="AA45:AE48">
    <cfRule type="containsText" dxfId="8843" priority="9561" operator="containsText" text="FAT">
      <formula>NOT(ISERROR(SEARCH("FAT",AA45)))</formula>
    </cfRule>
    <cfRule type="containsText" dxfId="8842" priority="9562" operator="containsText" text="FIRE">
      <formula>NOT(ISERROR(SEARCH("FIRE",AA45)))</formula>
    </cfRule>
    <cfRule type="containsText" dxfId="8841" priority="9563" operator="containsText" text="COSH">
      <formula>NOT(ISERROR(SEARCH("COSH",AA45)))</formula>
    </cfRule>
  </conditionalFormatting>
  <conditionalFormatting sqref="AA45:AE48">
    <cfRule type="containsText" dxfId="8840" priority="9558" operator="containsText" text="FAT">
      <formula>NOT(ISERROR(SEARCH("FAT",AA45)))</formula>
    </cfRule>
    <cfRule type="containsText" dxfId="8839" priority="9559" operator="containsText" text="FIRE">
      <formula>NOT(ISERROR(SEARCH("FIRE",AA45)))</formula>
    </cfRule>
    <cfRule type="containsText" dxfId="8838" priority="9560" operator="containsText" text="COSH">
      <formula>NOT(ISERROR(SEARCH("COSH",AA45)))</formula>
    </cfRule>
  </conditionalFormatting>
  <conditionalFormatting sqref="AA49:AE51">
    <cfRule type="containsText" dxfId="8837" priority="9555" operator="containsText" text="FAT">
      <formula>NOT(ISERROR(SEARCH("FAT",AA49)))</formula>
    </cfRule>
    <cfRule type="containsText" dxfId="8836" priority="9556" operator="containsText" text="FIRE">
      <formula>NOT(ISERROR(SEARCH("FIRE",AA49)))</formula>
    </cfRule>
    <cfRule type="containsText" dxfId="8835" priority="9557" operator="containsText" text="COSH">
      <formula>NOT(ISERROR(SEARCH("COSH",AA49)))</formula>
    </cfRule>
  </conditionalFormatting>
  <conditionalFormatting sqref="AA49:AE51">
    <cfRule type="containsText" dxfId="8834" priority="9552" operator="containsText" text="FAT">
      <formula>NOT(ISERROR(SEARCH("FAT",AA49)))</formula>
    </cfRule>
    <cfRule type="containsText" dxfId="8833" priority="9553" operator="containsText" text="FIRE">
      <formula>NOT(ISERROR(SEARCH("FIRE",AA49)))</formula>
    </cfRule>
    <cfRule type="containsText" dxfId="8832" priority="9554" operator="containsText" text="COSH">
      <formula>NOT(ISERROR(SEARCH("COSH",AA49)))</formula>
    </cfRule>
  </conditionalFormatting>
  <conditionalFormatting sqref="AA49:AE51">
    <cfRule type="containsText" dxfId="8831" priority="9549" operator="containsText" text="FAT">
      <formula>NOT(ISERROR(SEARCH("FAT",AA49)))</formula>
    </cfRule>
    <cfRule type="containsText" dxfId="8830" priority="9550" operator="containsText" text="FIRE">
      <formula>NOT(ISERROR(SEARCH("FIRE",AA49)))</formula>
    </cfRule>
    <cfRule type="containsText" dxfId="8829" priority="9551" operator="containsText" text="COSH">
      <formula>NOT(ISERROR(SEARCH("COSH",AA49)))</formula>
    </cfRule>
  </conditionalFormatting>
  <conditionalFormatting sqref="AA49:AE51">
    <cfRule type="containsText" dxfId="8828" priority="9546" operator="containsText" text="FAT">
      <formula>NOT(ISERROR(SEARCH("FAT",AA49)))</formula>
    </cfRule>
    <cfRule type="containsText" dxfId="8827" priority="9547" operator="containsText" text="FIRE">
      <formula>NOT(ISERROR(SEARCH("FIRE",AA49)))</formula>
    </cfRule>
    <cfRule type="containsText" dxfId="8826" priority="9548" operator="containsText" text="COSH">
      <formula>NOT(ISERROR(SEARCH("COSH",AA49)))</formula>
    </cfRule>
  </conditionalFormatting>
  <conditionalFormatting sqref="AK52">
    <cfRule type="containsText" dxfId="8825" priority="9543" operator="containsText" text="FAT">
      <formula>NOT(ISERROR(SEARCH("FAT",AK52)))</formula>
    </cfRule>
    <cfRule type="containsText" dxfId="8824" priority="9544" operator="containsText" text="FIRE">
      <formula>NOT(ISERROR(SEARCH("FIRE",AK52)))</formula>
    </cfRule>
    <cfRule type="containsText" dxfId="8823" priority="9545" operator="containsText" text="COSH">
      <formula>NOT(ISERROR(SEARCH("COSH",AK52)))</formula>
    </cfRule>
  </conditionalFormatting>
  <conditionalFormatting sqref="AA56:AE56 AA58:AE58">
    <cfRule type="containsText" dxfId="8822" priority="9540" operator="containsText" text="FAT">
      <formula>NOT(ISERROR(SEARCH("FAT",AA56)))</formula>
    </cfRule>
    <cfRule type="containsText" dxfId="8821" priority="9541" operator="containsText" text="FIRE">
      <formula>NOT(ISERROR(SEARCH("FIRE",AA56)))</formula>
    </cfRule>
    <cfRule type="containsText" dxfId="8820" priority="9542" operator="containsText" text="COSH">
      <formula>NOT(ISERROR(SEARCH("COSH",AA56)))</formula>
    </cfRule>
  </conditionalFormatting>
  <conditionalFormatting sqref="AA56:AE56 AA58:AE58">
    <cfRule type="containsText" dxfId="8819" priority="9537" operator="containsText" text="FAT">
      <formula>NOT(ISERROR(SEARCH("FAT",AA56)))</formula>
    </cfRule>
    <cfRule type="containsText" dxfId="8818" priority="9538" operator="containsText" text="FIRE">
      <formula>NOT(ISERROR(SEARCH("FIRE",AA56)))</formula>
    </cfRule>
    <cfRule type="containsText" dxfId="8817" priority="9539" operator="containsText" text="COSH">
      <formula>NOT(ISERROR(SEARCH("COSH",AA56)))</formula>
    </cfRule>
  </conditionalFormatting>
  <conditionalFormatting sqref="AA56:AE56 AA58:AE58">
    <cfRule type="containsText" dxfId="8816" priority="9534" operator="containsText" text="FAT">
      <formula>NOT(ISERROR(SEARCH("FAT",AA56)))</formula>
    </cfRule>
    <cfRule type="containsText" dxfId="8815" priority="9535" operator="containsText" text="FIRE">
      <formula>NOT(ISERROR(SEARCH("FIRE",AA56)))</formula>
    </cfRule>
    <cfRule type="containsText" dxfId="8814" priority="9536" operator="containsText" text="COSH">
      <formula>NOT(ISERROR(SEARCH("COSH",AA56)))</formula>
    </cfRule>
  </conditionalFormatting>
  <conditionalFormatting sqref="AA56:AE56 AA58:AE58">
    <cfRule type="containsText" dxfId="8813" priority="9531" operator="containsText" text="FAT">
      <formula>NOT(ISERROR(SEARCH("FAT",AA56)))</formula>
    </cfRule>
    <cfRule type="containsText" dxfId="8812" priority="9532" operator="containsText" text="FIRE">
      <formula>NOT(ISERROR(SEARCH("FIRE",AA56)))</formula>
    </cfRule>
    <cfRule type="containsText" dxfId="8811" priority="9533" operator="containsText" text="COSH">
      <formula>NOT(ISERROR(SEARCH("COSH",AA56)))</formula>
    </cfRule>
  </conditionalFormatting>
  <conditionalFormatting sqref="AA56:AE56 AA58:AE58">
    <cfRule type="containsText" dxfId="8810" priority="9528" operator="containsText" text="FAT">
      <formula>NOT(ISERROR(SEARCH("FAT",AA56)))</formula>
    </cfRule>
    <cfRule type="containsText" dxfId="8809" priority="9529" operator="containsText" text="FIRE">
      <formula>NOT(ISERROR(SEARCH("FIRE",AA56)))</formula>
    </cfRule>
    <cfRule type="containsText" dxfId="8808" priority="9530" operator="containsText" text="COSH">
      <formula>NOT(ISERROR(SEARCH("COSH",AA56)))</formula>
    </cfRule>
  </conditionalFormatting>
  <conditionalFormatting sqref="AA60:AE60">
    <cfRule type="containsText" dxfId="8807" priority="9525" operator="containsText" text="FAT">
      <formula>NOT(ISERROR(SEARCH("FAT",AA60)))</formula>
    </cfRule>
    <cfRule type="containsText" dxfId="8806" priority="9526" operator="containsText" text="FIRE">
      <formula>NOT(ISERROR(SEARCH("FIRE",AA60)))</formula>
    </cfRule>
    <cfRule type="containsText" dxfId="8805" priority="9527" operator="containsText" text="COSH">
      <formula>NOT(ISERROR(SEARCH("COSH",AA60)))</formula>
    </cfRule>
  </conditionalFormatting>
  <conditionalFormatting sqref="AA60:AE60">
    <cfRule type="containsText" dxfId="8804" priority="9522" operator="containsText" text="FAT">
      <formula>NOT(ISERROR(SEARCH("FAT",AA60)))</formula>
    </cfRule>
    <cfRule type="containsText" dxfId="8803" priority="9523" operator="containsText" text="FIRE">
      <formula>NOT(ISERROR(SEARCH("FIRE",AA60)))</formula>
    </cfRule>
    <cfRule type="containsText" dxfId="8802" priority="9524" operator="containsText" text="COSH">
      <formula>NOT(ISERROR(SEARCH("COSH",AA60)))</formula>
    </cfRule>
  </conditionalFormatting>
  <conditionalFormatting sqref="AA60:AE60">
    <cfRule type="containsText" dxfId="8801" priority="9519" operator="containsText" text="FAT">
      <formula>NOT(ISERROR(SEARCH("FAT",AA60)))</formula>
    </cfRule>
    <cfRule type="containsText" dxfId="8800" priority="9520" operator="containsText" text="FIRE">
      <formula>NOT(ISERROR(SEARCH("FIRE",AA60)))</formula>
    </cfRule>
    <cfRule type="containsText" dxfId="8799" priority="9521" operator="containsText" text="COSH">
      <formula>NOT(ISERROR(SEARCH("COSH",AA60)))</formula>
    </cfRule>
  </conditionalFormatting>
  <conditionalFormatting sqref="AA60:AE60">
    <cfRule type="containsText" dxfId="8798" priority="9516" operator="containsText" text="FAT">
      <formula>NOT(ISERROR(SEARCH("FAT",AA60)))</formula>
    </cfRule>
    <cfRule type="containsText" dxfId="8797" priority="9517" operator="containsText" text="FIRE">
      <formula>NOT(ISERROR(SEARCH("FIRE",AA60)))</formula>
    </cfRule>
    <cfRule type="containsText" dxfId="8796" priority="9518" operator="containsText" text="COSH">
      <formula>NOT(ISERROR(SEARCH("COSH",AA60)))</formula>
    </cfRule>
  </conditionalFormatting>
  <conditionalFormatting sqref="AA60:AE60">
    <cfRule type="containsText" dxfId="8795" priority="9513" operator="containsText" text="FAT">
      <formula>NOT(ISERROR(SEARCH("FAT",AA60)))</formula>
    </cfRule>
    <cfRule type="containsText" dxfId="8794" priority="9514" operator="containsText" text="FIRE">
      <formula>NOT(ISERROR(SEARCH("FIRE",AA60)))</formula>
    </cfRule>
    <cfRule type="containsText" dxfId="8793" priority="9515" operator="containsText" text="COSH">
      <formula>NOT(ISERROR(SEARCH("COSH",AA60)))</formula>
    </cfRule>
  </conditionalFormatting>
  <conditionalFormatting sqref="Q67">
    <cfRule type="containsText" dxfId="8792" priority="9510" operator="containsText" text="FAT">
      <formula>NOT(ISERROR(SEARCH("FAT",Q67)))</formula>
    </cfRule>
    <cfRule type="containsText" dxfId="8791" priority="9511" operator="containsText" text="FIRE">
      <formula>NOT(ISERROR(SEARCH("FIRE",Q67)))</formula>
    </cfRule>
    <cfRule type="containsText" dxfId="8790" priority="9512" operator="containsText" text="COSH">
      <formula>NOT(ISERROR(SEARCH("COSH",Q67)))</formula>
    </cfRule>
  </conditionalFormatting>
  <conditionalFormatting sqref="Q67">
    <cfRule type="containsText" dxfId="8789" priority="9507" operator="containsText" text="FAT">
      <formula>NOT(ISERROR(SEARCH("FAT",Q67)))</formula>
    </cfRule>
    <cfRule type="containsText" dxfId="8788" priority="9508" operator="containsText" text="FIRE">
      <formula>NOT(ISERROR(SEARCH("FIRE",Q67)))</formula>
    </cfRule>
    <cfRule type="containsText" dxfId="8787" priority="9509" operator="containsText" text="COSH">
      <formula>NOT(ISERROR(SEARCH("COSH",Q67)))</formula>
    </cfRule>
  </conditionalFormatting>
  <conditionalFormatting sqref="Q67">
    <cfRule type="containsText" dxfId="8786" priority="9504" operator="containsText" text="FAT">
      <formula>NOT(ISERROR(SEARCH("FAT",Q67)))</formula>
    </cfRule>
    <cfRule type="containsText" dxfId="8785" priority="9505" operator="containsText" text="FIRE">
      <formula>NOT(ISERROR(SEARCH("FIRE",Q67)))</formula>
    </cfRule>
    <cfRule type="containsText" dxfId="8784" priority="9506" operator="containsText" text="COSH">
      <formula>NOT(ISERROR(SEARCH("COSH",Q67)))</formula>
    </cfRule>
  </conditionalFormatting>
  <conditionalFormatting sqref="Q67">
    <cfRule type="containsText" dxfId="8783" priority="9501" operator="containsText" text="FAT">
      <formula>NOT(ISERROR(SEARCH("FAT",Q67)))</formula>
    </cfRule>
    <cfRule type="containsText" dxfId="8782" priority="9502" operator="containsText" text="FIRE">
      <formula>NOT(ISERROR(SEARCH("FIRE",Q67)))</formula>
    </cfRule>
    <cfRule type="containsText" dxfId="8781" priority="9503" operator="containsText" text="COSH">
      <formula>NOT(ISERROR(SEARCH("COSH",Q67)))</formula>
    </cfRule>
  </conditionalFormatting>
  <conditionalFormatting sqref="Q67">
    <cfRule type="containsText" dxfId="8780" priority="9498" operator="containsText" text="FAT">
      <formula>NOT(ISERROR(SEARCH("FAT",Q67)))</formula>
    </cfRule>
    <cfRule type="containsText" dxfId="8779" priority="9499" operator="containsText" text="FIRE">
      <formula>NOT(ISERROR(SEARCH("FIRE",Q67)))</formula>
    </cfRule>
    <cfRule type="containsText" dxfId="8778" priority="9500" operator="containsText" text="COSH">
      <formula>NOT(ISERROR(SEARCH("COSH",Q67)))</formula>
    </cfRule>
  </conditionalFormatting>
  <conditionalFormatting sqref="Q67">
    <cfRule type="containsText" dxfId="8777" priority="9495" operator="containsText" text="FAT">
      <formula>NOT(ISERROR(SEARCH("FAT",Q67)))</formula>
    </cfRule>
    <cfRule type="containsText" dxfId="8776" priority="9496" operator="containsText" text="FIRE">
      <formula>NOT(ISERROR(SEARCH("FIRE",Q67)))</formula>
    </cfRule>
    <cfRule type="containsText" dxfId="8775" priority="9497" operator="containsText" text="COSH">
      <formula>NOT(ISERROR(SEARCH("COSH",Q67)))</formula>
    </cfRule>
  </conditionalFormatting>
  <conditionalFormatting sqref="Q67">
    <cfRule type="containsText" dxfId="8774" priority="9492" operator="containsText" text="FAT">
      <formula>NOT(ISERROR(SEARCH("FAT",Q67)))</formula>
    </cfRule>
    <cfRule type="containsText" dxfId="8773" priority="9493" operator="containsText" text="FIRE">
      <formula>NOT(ISERROR(SEARCH("FIRE",Q67)))</formula>
    </cfRule>
    <cfRule type="containsText" dxfId="8772" priority="9494" operator="containsText" text="COSH">
      <formula>NOT(ISERROR(SEARCH("COSH",Q67)))</formula>
    </cfRule>
  </conditionalFormatting>
  <conditionalFormatting sqref="Y67">
    <cfRule type="containsText" dxfId="8771" priority="9489" operator="containsText" text="FAT">
      <formula>NOT(ISERROR(SEARCH("FAT",Y67)))</formula>
    </cfRule>
    <cfRule type="containsText" dxfId="8770" priority="9490" operator="containsText" text="FIRE">
      <formula>NOT(ISERROR(SEARCH("FIRE",Y67)))</formula>
    </cfRule>
    <cfRule type="containsText" dxfId="8769" priority="9491" operator="containsText" text="COSH">
      <formula>NOT(ISERROR(SEARCH("COSH",Y67)))</formula>
    </cfRule>
  </conditionalFormatting>
  <conditionalFormatting sqref="Y67">
    <cfRule type="containsText" dxfId="8768" priority="9486" operator="containsText" text="FAT">
      <formula>NOT(ISERROR(SEARCH("FAT",Y67)))</formula>
    </cfRule>
    <cfRule type="containsText" dxfId="8767" priority="9487" operator="containsText" text="FIRE">
      <formula>NOT(ISERROR(SEARCH("FIRE",Y67)))</formula>
    </cfRule>
    <cfRule type="containsText" dxfId="8766" priority="9488" operator="containsText" text="COSH">
      <formula>NOT(ISERROR(SEARCH("COSH",Y67)))</formula>
    </cfRule>
  </conditionalFormatting>
  <conditionalFormatting sqref="Y67">
    <cfRule type="containsText" dxfId="8765" priority="9483" operator="containsText" text="FAT">
      <formula>NOT(ISERROR(SEARCH("FAT",Y67)))</formula>
    </cfRule>
    <cfRule type="containsText" dxfId="8764" priority="9484" operator="containsText" text="FIRE">
      <formula>NOT(ISERROR(SEARCH("FIRE",Y67)))</formula>
    </cfRule>
    <cfRule type="containsText" dxfId="8763" priority="9485" operator="containsText" text="COSH">
      <formula>NOT(ISERROR(SEARCH("COSH",Y67)))</formula>
    </cfRule>
  </conditionalFormatting>
  <conditionalFormatting sqref="Y67">
    <cfRule type="containsText" dxfId="8762" priority="9480" operator="containsText" text="FAT">
      <formula>NOT(ISERROR(SEARCH("FAT",Y67)))</formula>
    </cfRule>
    <cfRule type="containsText" dxfId="8761" priority="9481" operator="containsText" text="FIRE">
      <formula>NOT(ISERROR(SEARCH("FIRE",Y67)))</formula>
    </cfRule>
    <cfRule type="containsText" dxfId="8760" priority="9482" operator="containsText" text="COSH">
      <formula>NOT(ISERROR(SEARCH("COSH",Y67)))</formula>
    </cfRule>
  </conditionalFormatting>
  <conditionalFormatting sqref="Y67">
    <cfRule type="containsText" dxfId="8759" priority="9477" operator="containsText" text="FAT">
      <formula>NOT(ISERROR(SEARCH("FAT",Y67)))</formula>
    </cfRule>
    <cfRule type="containsText" dxfId="8758" priority="9478" operator="containsText" text="FIRE">
      <formula>NOT(ISERROR(SEARCH("FIRE",Y67)))</formula>
    </cfRule>
    <cfRule type="containsText" dxfId="8757" priority="9479" operator="containsText" text="COSH">
      <formula>NOT(ISERROR(SEARCH("COSH",Y67)))</formula>
    </cfRule>
  </conditionalFormatting>
  <conditionalFormatting sqref="Y67">
    <cfRule type="containsText" dxfId="8756" priority="9474" operator="containsText" text="FAT">
      <formula>NOT(ISERROR(SEARCH("FAT",Y67)))</formula>
    </cfRule>
    <cfRule type="containsText" dxfId="8755" priority="9475" operator="containsText" text="FIRE">
      <formula>NOT(ISERROR(SEARCH("FIRE",Y67)))</formula>
    </cfRule>
    <cfRule type="containsText" dxfId="8754" priority="9476" operator="containsText" text="COSH">
      <formula>NOT(ISERROR(SEARCH("COSH",Y67)))</formula>
    </cfRule>
  </conditionalFormatting>
  <conditionalFormatting sqref="Y67">
    <cfRule type="containsText" dxfId="8753" priority="9471" operator="containsText" text="FAT">
      <formula>NOT(ISERROR(SEARCH("FAT",Y67)))</formula>
    </cfRule>
    <cfRule type="containsText" dxfId="8752" priority="9472" operator="containsText" text="FIRE">
      <formula>NOT(ISERROR(SEARCH("FIRE",Y67)))</formula>
    </cfRule>
    <cfRule type="containsText" dxfId="8751" priority="9473" operator="containsText" text="COSH">
      <formula>NOT(ISERROR(SEARCH("COSH",Y67)))</formula>
    </cfRule>
  </conditionalFormatting>
  <conditionalFormatting sqref="Y67">
    <cfRule type="containsText" dxfId="8750" priority="9468" operator="containsText" text="FAT">
      <formula>NOT(ISERROR(SEARCH("FAT",Y67)))</formula>
    </cfRule>
    <cfRule type="containsText" dxfId="8749" priority="9469" operator="containsText" text="FIRE">
      <formula>NOT(ISERROR(SEARCH("FIRE",Y67)))</formula>
    </cfRule>
    <cfRule type="containsText" dxfId="8748" priority="9470" operator="containsText" text="COSH">
      <formula>NOT(ISERROR(SEARCH("COSH",Y67)))</formula>
    </cfRule>
  </conditionalFormatting>
  <conditionalFormatting sqref="AG67">
    <cfRule type="containsText" dxfId="8747" priority="9465" operator="containsText" text="FAT">
      <formula>NOT(ISERROR(SEARCH("FAT",AG67)))</formula>
    </cfRule>
    <cfRule type="containsText" dxfId="8746" priority="9466" operator="containsText" text="FIRE">
      <formula>NOT(ISERROR(SEARCH("FIRE",AG67)))</formula>
    </cfRule>
    <cfRule type="containsText" dxfId="8745" priority="9467" operator="containsText" text="COSH">
      <formula>NOT(ISERROR(SEARCH("COSH",AG67)))</formula>
    </cfRule>
  </conditionalFormatting>
  <conditionalFormatting sqref="AG67">
    <cfRule type="containsText" dxfId="8744" priority="9462" operator="containsText" text="FAT">
      <formula>NOT(ISERROR(SEARCH("FAT",AG67)))</formula>
    </cfRule>
    <cfRule type="containsText" dxfId="8743" priority="9463" operator="containsText" text="FIRE">
      <formula>NOT(ISERROR(SEARCH("FIRE",AG67)))</formula>
    </cfRule>
    <cfRule type="containsText" dxfId="8742" priority="9464" operator="containsText" text="COSH">
      <formula>NOT(ISERROR(SEARCH("COSH",AG67)))</formula>
    </cfRule>
  </conditionalFormatting>
  <conditionalFormatting sqref="AG67">
    <cfRule type="containsText" dxfId="8741" priority="9459" operator="containsText" text="FAT">
      <formula>NOT(ISERROR(SEARCH("FAT",AG67)))</formula>
    </cfRule>
    <cfRule type="containsText" dxfId="8740" priority="9460" operator="containsText" text="FIRE">
      <formula>NOT(ISERROR(SEARCH("FIRE",AG67)))</formula>
    </cfRule>
    <cfRule type="containsText" dxfId="8739" priority="9461" operator="containsText" text="COSH">
      <formula>NOT(ISERROR(SEARCH("COSH",AG67)))</formula>
    </cfRule>
  </conditionalFormatting>
  <conditionalFormatting sqref="AG67">
    <cfRule type="containsText" dxfId="8738" priority="9456" operator="containsText" text="FAT">
      <formula>NOT(ISERROR(SEARCH("FAT",AG67)))</formula>
    </cfRule>
    <cfRule type="containsText" dxfId="8737" priority="9457" operator="containsText" text="FIRE">
      <formula>NOT(ISERROR(SEARCH("FIRE",AG67)))</formula>
    </cfRule>
    <cfRule type="containsText" dxfId="8736" priority="9458" operator="containsText" text="COSH">
      <formula>NOT(ISERROR(SEARCH("COSH",AG67)))</formula>
    </cfRule>
  </conditionalFormatting>
  <conditionalFormatting sqref="AG67">
    <cfRule type="containsText" dxfId="8735" priority="9453" operator="containsText" text="FAT">
      <formula>NOT(ISERROR(SEARCH("FAT",AG67)))</formula>
    </cfRule>
    <cfRule type="containsText" dxfId="8734" priority="9454" operator="containsText" text="FIRE">
      <formula>NOT(ISERROR(SEARCH("FIRE",AG67)))</formula>
    </cfRule>
    <cfRule type="containsText" dxfId="8733" priority="9455" operator="containsText" text="COSH">
      <formula>NOT(ISERROR(SEARCH("COSH",AG67)))</formula>
    </cfRule>
  </conditionalFormatting>
  <conditionalFormatting sqref="AG67">
    <cfRule type="containsText" dxfId="8732" priority="9450" operator="containsText" text="FAT">
      <formula>NOT(ISERROR(SEARCH("FAT",AG67)))</formula>
    </cfRule>
    <cfRule type="containsText" dxfId="8731" priority="9451" operator="containsText" text="FIRE">
      <formula>NOT(ISERROR(SEARCH("FIRE",AG67)))</formula>
    </cfRule>
    <cfRule type="containsText" dxfId="8730" priority="9452" operator="containsText" text="COSH">
      <formula>NOT(ISERROR(SEARCH("COSH",AG67)))</formula>
    </cfRule>
  </conditionalFormatting>
  <conditionalFormatting sqref="AG67">
    <cfRule type="containsText" dxfId="8729" priority="9447" operator="containsText" text="FAT">
      <formula>NOT(ISERROR(SEARCH("FAT",AG67)))</formula>
    </cfRule>
    <cfRule type="containsText" dxfId="8728" priority="9448" operator="containsText" text="FIRE">
      <formula>NOT(ISERROR(SEARCH("FIRE",AG67)))</formula>
    </cfRule>
    <cfRule type="containsText" dxfId="8727" priority="9449" operator="containsText" text="COSH">
      <formula>NOT(ISERROR(SEARCH("COSH",AG67)))</formula>
    </cfRule>
  </conditionalFormatting>
  <conditionalFormatting sqref="AG67">
    <cfRule type="containsText" dxfId="8726" priority="9444" operator="containsText" text="FAT">
      <formula>NOT(ISERROR(SEARCH("FAT",AG67)))</formula>
    </cfRule>
    <cfRule type="containsText" dxfId="8725" priority="9445" operator="containsText" text="FIRE">
      <formula>NOT(ISERROR(SEARCH("FIRE",AG67)))</formula>
    </cfRule>
    <cfRule type="containsText" dxfId="8724" priority="9446" operator="containsText" text="COSH">
      <formula>NOT(ISERROR(SEARCH("COSH",AG67)))</formula>
    </cfRule>
  </conditionalFormatting>
  <conditionalFormatting sqref="AG67">
    <cfRule type="containsText" dxfId="8723" priority="9441" operator="containsText" text="FAT">
      <formula>NOT(ISERROR(SEARCH("FAT",AG67)))</formula>
    </cfRule>
    <cfRule type="containsText" dxfId="8722" priority="9442" operator="containsText" text="FIRE">
      <formula>NOT(ISERROR(SEARCH("FIRE",AG67)))</formula>
    </cfRule>
    <cfRule type="containsText" dxfId="8721" priority="9443" operator="containsText" text="COSH">
      <formula>NOT(ISERROR(SEARCH("COSH",AG67)))</formula>
    </cfRule>
  </conditionalFormatting>
  <conditionalFormatting sqref="AF67">
    <cfRule type="containsText" dxfId="8720" priority="9438" operator="containsText" text="FAT">
      <formula>NOT(ISERROR(SEARCH("FAT",AF67)))</formula>
    </cfRule>
    <cfRule type="containsText" dxfId="8719" priority="9439" operator="containsText" text="FIRE">
      <formula>NOT(ISERROR(SEARCH("FIRE",AF67)))</formula>
    </cfRule>
    <cfRule type="containsText" dxfId="8718" priority="9440" operator="containsText" text="COSH">
      <formula>NOT(ISERROR(SEARCH("COSH",AF67)))</formula>
    </cfRule>
  </conditionalFormatting>
  <conditionalFormatting sqref="AF67">
    <cfRule type="containsText" dxfId="8717" priority="9435" operator="containsText" text="FAT">
      <formula>NOT(ISERROR(SEARCH("FAT",AF67)))</formula>
    </cfRule>
    <cfRule type="containsText" dxfId="8716" priority="9436" operator="containsText" text="FIRE">
      <formula>NOT(ISERROR(SEARCH("FIRE",AF67)))</formula>
    </cfRule>
    <cfRule type="containsText" dxfId="8715" priority="9437" operator="containsText" text="COSH">
      <formula>NOT(ISERROR(SEARCH("COSH",AF67)))</formula>
    </cfRule>
  </conditionalFormatting>
  <conditionalFormatting sqref="AF67">
    <cfRule type="containsText" dxfId="8714" priority="9432" operator="containsText" text="FAT">
      <formula>NOT(ISERROR(SEARCH("FAT",AF67)))</formula>
    </cfRule>
    <cfRule type="containsText" dxfId="8713" priority="9433" operator="containsText" text="FIRE">
      <formula>NOT(ISERROR(SEARCH("FIRE",AF67)))</formula>
    </cfRule>
    <cfRule type="containsText" dxfId="8712" priority="9434" operator="containsText" text="COSH">
      <formula>NOT(ISERROR(SEARCH("COSH",AF67)))</formula>
    </cfRule>
  </conditionalFormatting>
  <conditionalFormatting sqref="AF67">
    <cfRule type="containsText" dxfId="8711" priority="9429" operator="containsText" text="FAT">
      <formula>NOT(ISERROR(SEARCH("FAT",AF67)))</formula>
    </cfRule>
    <cfRule type="containsText" dxfId="8710" priority="9430" operator="containsText" text="FIRE">
      <formula>NOT(ISERROR(SEARCH("FIRE",AF67)))</formula>
    </cfRule>
    <cfRule type="containsText" dxfId="8709" priority="9431" operator="containsText" text="COSH">
      <formula>NOT(ISERROR(SEARCH("COSH",AF67)))</formula>
    </cfRule>
  </conditionalFormatting>
  <conditionalFormatting sqref="AF67">
    <cfRule type="containsText" dxfId="8708" priority="9426" operator="containsText" text="FAT">
      <formula>NOT(ISERROR(SEARCH("FAT",AF67)))</formula>
    </cfRule>
    <cfRule type="containsText" dxfId="8707" priority="9427" operator="containsText" text="FIRE">
      <formula>NOT(ISERROR(SEARCH("FIRE",AF67)))</formula>
    </cfRule>
    <cfRule type="containsText" dxfId="8706" priority="9428" operator="containsText" text="COSH">
      <formula>NOT(ISERROR(SEARCH("COSH",AF67)))</formula>
    </cfRule>
  </conditionalFormatting>
  <conditionalFormatting sqref="AF67">
    <cfRule type="containsText" dxfId="8705" priority="9423" operator="containsText" text="FAT">
      <formula>NOT(ISERROR(SEARCH("FAT",AF67)))</formula>
    </cfRule>
    <cfRule type="containsText" dxfId="8704" priority="9424" operator="containsText" text="FIRE">
      <formula>NOT(ISERROR(SEARCH("FIRE",AF67)))</formula>
    </cfRule>
    <cfRule type="containsText" dxfId="8703" priority="9425" operator="containsText" text="COSH">
      <formula>NOT(ISERROR(SEARCH("COSH",AF67)))</formula>
    </cfRule>
  </conditionalFormatting>
  <conditionalFormatting sqref="AF67">
    <cfRule type="containsText" dxfId="8702" priority="9420" operator="containsText" text="FAT">
      <formula>NOT(ISERROR(SEARCH("FAT",AF67)))</formula>
    </cfRule>
    <cfRule type="containsText" dxfId="8701" priority="9421" operator="containsText" text="FIRE">
      <formula>NOT(ISERROR(SEARCH("FIRE",AF67)))</formula>
    </cfRule>
    <cfRule type="containsText" dxfId="8700" priority="9422" operator="containsText" text="COSH">
      <formula>NOT(ISERROR(SEARCH("COSH",AF67)))</formula>
    </cfRule>
  </conditionalFormatting>
  <conditionalFormatting sqref="AF67">
    <cfRule type="containsText" dxfId="8699" priority="9417" operator="containsText" text="FAT">
      <formula>NOT(ISERROR(SEARCH("FAT",AF67)))</formula>
    </cfRule>
    <cfRule type="containsText" dxfId="8698" priority="9418" operator="containsText" text="FIRE">
      <formula>NOT(ISERROR(SEARCH("FIRE",AF67)))</formula>
    </cfRule>
    <cfRule type="containsText" dxfId="8697" priority="9419" operator="containsText" text="COSH">
      <formula>NOT(ISERROR(SEARCH("COSH",AF67)))</formula>
    </cfRule>
  </conditionalFormatting>
  <conditionalFormatting sqref="AF67">
    <cfRule type="containsText" dxfId="8696" priority="9414" operator="containsText" text="FAT">
      <formula>NOT(ISERROR(SEARCH("FAT",AF67)))</formula>
    </cfRule>
    <cfRule type="containsText" dxfId="8695" priority="9415" operator="containsText" text="FIRE">
      <formula>NOT(ISERROR(SEARCH("FIRE",AF67)))</formula>
    </cfRule>
    <cfRule type="containsText" dxfId="8694" priority="9416" operator="containsText" text="COSH">
      <formula>NOT(ISERROR(SEARCH("COSH",AF67)))</formula>
    </cfRule>
  </conditionalFormatting>
  <conditionalFormatting sqref="AF67">
    <cfRule type="containsText" dxfId="8693" priority="9411" operator="containsText" text="FAT">
      <formula>NOT(ISERROR(SEARCH("FAT",AF67)))</formula>
    </cfRule>
    <cfRule type="containsText" dxfId="8692" priority="9412" operator="containsText" text="FIRE">
      <formula>NOT(ISERROR(SEARCH("FIRE",AF67)))</formula>
    </cfRule>
    <cfRule type="containsText" dxfId="8691" priority="9413" operator="containsText" text="COSH">
      <formula>NOT(ISERROR(SEARCH("COSH",AF67)))</formula>
    </cfRule>
  </conditionalFormatting>
  <conditionalFormatting sqref="S67">
    <cfRule type="containsText" dxfId="8690" priority="9408" operator="containsText" text="FAT">
      <formula>NOT(ISERROR(SEARCH("FAT",S67)))</formula>
    </cfRule>
    <cfRule type="containsText" dxfId="8689" priority="9409" operator="containsText" text="FIRE">
      <formula>NOT(ISERROR(SEARCH("FIRE",S67)))</formula>
    </cfRule>
    <cfRule type="containsText" dxfId="8688" priority="9410" operator="containsText" text="COSH">
      <formula>NOT(ISERROR(SEARCH("COSH",S67)))</formula>
    </cfRule>
  </conditionalFormatting>
  <conditionalFormatting sqref="R67">
    <cfRule type="containsText" dxfId="8687" priority="9405" operator="containsText" text="FAT">
      <formula>NOT(ISERROR(SEARCH("FAT",R67)))</formula>
    </cfRule>
    <cfRule type="containsText" dxfId="8686" priority="9406" operator="containsText" text="FIRE">
      <formula>NOT(ISERROR(SEARCH("FIRE",R67)))</formula>
    </cfRule>
    <cfRule type="containsText" dxfId="8685" priority="9407" operator="containsText" text="COSH">
      <formula>NOT(ISERROR(SEARCH("COSH",R67)))</formula>
    </cfRule>
  </conditionalFormatting>
  <conditionalFormatting sqref="R67">
    <cfRule type="containsText" dxfId="8684" priority="9402" operator="containsText" text="FAT">
      <formula>NOT(ISERROR(SEARCH("FAT",R67)))</formula>
    </cfRule>
    <cfRule type="containsText" dxfId="8683" priority="9403" operator="containsText" text="FIRE">
      <formula>NOT(ISERROR(SEARCH("FIRE",R67)))</formula>
    </cfRule>
    <cfRule type="containsText" dxfId="8682" priority="9404" operator="containsText" text="COSH">
      <formula>NOT(ISERROR(SEARCH("COSH",R67)))</formula>
    </cfRule>
  </conditionalFormatting>
  <conditionalFormatting sqref="R67">
    <cfRule type="containsText" dxfId="8681" priority="9399" operator="containsText" text="FAT">
      <formula>NOT(ISERROR(SEARCH("FAT",R67)))</formula>
    </cfRule>
    <cfRule type="containsText" dxfId="8680" priority="9400" operator="containsText" text="FIRE">
      <formula>NOT(ISERROR(SEARCH("FIRE",R67)))</formula>
    </cfRule>
    <cfRule type="containsText" dxfId="8679" priority="9401" operator="containsText" text="COSH">
      <formula>NOT(ISERROR(SEARCH("COSH",R67)))</formula>
    </cfRule>
  </conditionalFormatting>
  <conditionalFormatting sqref="R67">
    <cfRule type="containsText" dxfId="8678" priority="9396" operator="containsText" text="FAT">
      <formula>NOT(ISERROR(SEARCH("FAT",R67)))</formula>
    </cfRule>
    <cfRule type="containsText" dxfId="8677" priority="9397" operator="containsText" text="FIRE">
      <formula>NOT(ISERROR(SEARCH("FIRE",R67)))</formula>
    </cfRule>
    <cfRule type="containsText" dxfId="8676" priority="9398" operator="containsText" text="COSH">
      <formula>NOT(ISERROR(SEARCH("COSH",R67)))</formula>
    </cfRule>
  </conditionalFormatting>
  <conditionalFormatting sqref="R67">
    <cfRule type="containsText" dxfId="8675" priority="9393" operator="containsText" text="FAT">
      <formula>NOT(ISERROR(SEARCH("FAT",R67)))</formula>
    </cfRule>
    <cfRule type="containsText" dxfId="8674" priority="9394" operator="containsText" text="FIRE">
      <formula>NOT(ISERROR(SEARCH("FIRE",R67)))</formula>
    </cfRule>
    <cfRule type="containsText" dxfId="8673" priority="9395" operator="containsText" text="COSH">
      <formula>NOT(ISERROR(SEARCH("COSH",R67)))</formula>
    </cfRule>
  </conditionalFormatting>
  <conditionalFormatting sqref="R67">
    <cfRule type="containsText" dxfId="8672" priority="9390" operator="containsText" text="FAT">
      <formula>NOT(ISERROR(SEARCH("FAT",R67)))</formula>
    </cfRule>
    <cfRule type="containsText" dxfId="8671" priority="9391" operator="containsText" text="FIRE">
      <formula>NOT(ISERROR(SEARCH("FIRE",R67)))</formula>
    </cfRule>
    <cfRule type="containsText" dxfId="8670" priority="9392" operator="containsText" text="COSH">
      <formula>NOT(ISERROR(SEARCH("COSH",R67)))</formula>
    </cfRule>
  </conditionalFormatting>
  <conditionalFormatting sqref="R67">
    <cfRule type="containsText" dxfId="8669" priority="9387" operator="containsText" text="FAT">
      <formula>NOT(ISERROR(SEARCH("FAT",R67)))</formula>
    </cfRule>
    <cfRule type="containsText" dxfId="8668" priority="9388" operator="containsText" text="FIRE">
      <formula>NOT(ISERROR(SEARCH("FIRE",R67)))</formula>
    </cfRule>
    <cfRule type="containsText" dxfId="8667" priority="9389" operator="containsText" text="COSH">
      <formula>NOT(ISERROR(SEARCH("COSH",R67)))</formula>
    </cfRule>
  </conditionalFormatting>
  <conditionalFormatting sqref="R67">
    <cfRule type="containsText" dxfId="8666" priority="9384" operator="containsText" text="FAT">
      <formula>NOT(ISERROR(SEARCH("FAT",R67)))</formula>
    </cfRule>
    <cfRule type="containsText" dxfId="8665" priority="9385" operator="containsText" text="FIRE">
      <formula>NOT(ISERROR(SEARCH("FIRE",R67)))</formula>
    </cfRule>
    <cfRule type="containsText" dxfId="8664" priority="9386" operator="containsText" text="COSH">
      <formula>NOT(ISERROR(SEARCH("COSH",R67)))</formula>
    </cfRule>
  </conditionalFormatting>
  <conditionalFormatting sqref="Q67">
    <cfRule type="containsText" dxfId="8663" priority="9381" operator="containsText" text="FAT">
      <formula>NOT(ISERROR(SEARCH("FAT",Q67)))</formula>
    </cfRule>
    <cfRule type="containsText" dxfId="8662" priority="9382" operator="containsText" text="FIRE">
      <formula>NOT(ISERROR(SEARCH("FIRE",Q67)))</formula>
    </cfRule>
    <cfRule type="containsText" dxfId="8661" priority="9383" operator="containsText" text="COSH">
      <formula>NOT(ISERROR(SEARCH("COSH",Q67)))</formula>
    </cfRule>
  </conditionalFormatting>
  <conditionalFormatting sqref="R68:S68">
    <cfRule type="containsText" dxfId="8660" priority="9378" operator="containsText" text="FAT">
      <formula>NOT(ISERROR(SEARCH("FAT",R68)))</formula>
    </cfRule>
    <cfRule type="containsText" dxfId="8659" priority="9379" operator="containsText" text="FIRE">
      <formula>NOT(ISERROR(SEARCH("FIRE",R68)))</formula>
    </cfRule>
    <cfRule type="containsText" dxfId="8658" priority="9380" operator="containsText" text="COSH">
      <formula>NOT(ISERROR(SEARCH("COSH",R68)))</formula>
    </cfRule>
  </conditionalFormatting>
  <conditionalFormatting sqref="R68:S68">
    <cfRule type="containsText" dxfId="8657" priority="9375" operator="containsText" text="FAT">
      <formula>NOT(ISERROR(SEARCH("FAT",R68)))</formula>
    </cfRule>
    <cfRule type="containsText" dxfId="8656" priority="9376" operator="containsText" text="FIRE">
      <formula>NOT(ISERROR(SEARCH("FIRE",R68)))</formula>
    </cfRule>
    <cfRule type="containsText" dxfId="8655" priority="9377" operator="containsText" text="COSH">
      <formula>NOT(ISERROR(SEARCH("COSH",R68)))</formula>
    </cfRule>
  </conditionalFormatting>
  <conditionalFormatting sqref="R68:S68">
    <cfRule type="containsText" dxfId="8654" priority="9372" operator="containsText" text="FAT">
      <formula>NOT(ISERROR(SEARCH("FAT",R68)))</formula>
    </cfRule>
    <cfRule type="containsText" dxfId="8653" priority="9373" operator="containsText" text="FIRE">
      <formula>NOT(ISERROR(SEARCH("FIRE",R68)))</formula>
    </cfRule>
    <cfRule type="containsText" dxfId="8652" priority="9374" operator="containsText" text="COSH">
      <formula>NOT(ISERROR(SEARCH("COSH",R68)))</formula>
    </cfRule>
  </conditionalFormatting>
  <conditionalFormatting sqref="R68:S68">
    <cfRule type="containsText" dxfId="8651" priority="9369" operator="containsText" text="FAT">
      <formula>NOT(ISERROR(SEARCH("FAT",R68)))</formula>
    </cfRule>
    <cfRule type="containsText" dxfId="8650" priority="9370" operator="containsText" text="FIRE">
      <formula>NOT(ISERROR(SEARCH("FIRE",R68)))</formula>
    </cfRule>
    <cfRule type="containsText" dxfId="8649" priority="9371" operator="containsText" text="COSH">
      <formula>NOT(ISERROR(SEARCH("COSH",R68)))</formula>
    </cfRule>
  </conditionalFormatting>
  <conditionalFormatting sqref="R68:S68">
    <cfRule type="containsText" dxfId="8648" priority="9366" operator="containsText" text="FAT">
      <formula>NOT(ISERROR(SEARCH("FAT",R68)))</formula>
    </cfRule>
    <cfRule type="containsText" dxfId="8647" priority="9367" operator="containsText" text="FIRE">
      <formula>NOT(ISERROR(SEARCH("FIRE",R68)))</formula>
    </cfRule>
    <cfRule type="containsText" dxfId="8646" priority="9368" operator="containsText" text="COSH">
      <formula>NOT(ISERROR(SEARCH("COSH",R68)))</formula>
    </cfRule>
  </conditionalFormatting>
  <conditionalFormatting sqref="R68:S68">
    <cfRule type="containsText" dxfId="8645" priority="9363" operator="containsText" text="FAT">
      <formula>NOT(ISERROR(SEARCH("FAT",R68)))</formula>
    </cfRule>
    <cfRule type="containsText" dxfId="8644" priority="9364" operator="containsText" text="FIRE">
      <formula>NOT(ISERROR(SEARCH("FIRE",R68)))</formula>
    </cfRule>
    <cfRule type="containsText" dxfId="8643" priority="9365" operator="containsText" text="COSH">
      <formula>NOT(ISERROR(SEARCH("COSH",R68)))</formula>
    </cfRule>
  </conditionalFormatting>
  <conditionalFormatting sqref="R68:S68">
    <cfRule type="containsText" dxfId="8642" priority="9360" operator="containsText" text="FAT">
      <formula>NOT(ISERROR(SEARCH("FAT",R68)))</formula>
    </cfRule>
    <cfRule type="containsText" dxfId="8641" priority="9361" operator="containsText" text="FIRE">
      <formula>NOT(ISERROR(SEARCH("FIRE",R68)))</formula>
    </cfRule>
    <cfRule type="containsText" dxfId="8640" priority="9362" operator="containsText" text="COSH">
      <formula>NOT(ISERROR(SEARCH("COSH",R68)))</formula>
    </cfRule>
  </conditionalFormatting>
  <conditionalFormatting sqref="R68:S68">
    <cfRule type="containsText" dxfId="8639" priority="9357" operator="containsText" text="FAT">
      <formula>NOT(ISERROR(SEARCH("FAT",R68)))</formula>
    </cfRule>
    <cfRule type="containsText" dxfId="8638" priority="9358" operator="containsText" text="FIRE">
      <formula>NOT(ISERROR(SEARCH("FIRE",R68)))</formula>
    </cfRule>
    <cfRule type="containsText" dxfId="8637" priority="9359" operator="containsText" text="COSH">
      <formula>NOT(ISERROR(SEARCH("COSH",R68)))</formula>
    </cfRule>
  </conditionalFormatting>
  <conditionalFormatting sqref="R68:S68">
    <cfRule type="containsText" dxfId="8636" priority="9354" operator="containsText" text="FAT">
      <formula>NOT(ISERROR(SEARCH("FAT",R68)))</formula>
    </cfRule>
    <cfRule type="containsText" dxfId="8635" priority="9355" operator="containsText" text="FIRE">
      <formula>NOT(ISERROR(SEARCH("FIRE",R68)))</formula>
    </cfRule>
    <cfRule type="containsText" dxfId="8634" priority="9356" operator="containsText" text="COSH">
      <formula>NOT(ISERROR(SEARCH("COSH",R68)))</formula>
    </cfRule>
  </conditionalFormatting>
  <conditionalFormatting sqref="AF68">
    <cfRule type="containsText" dxfId="8633" priority="9351" operator="containsText" text="FAT">
      <formula>NOT(ISERROR(SEARCH("FAT",AF68)))</formula>
    </cfRule>
    <cfRule type="containsText" dxfId="8632" priority="9352" operator="containsText" text="FIRE">
      <formula>NOT(ISERROR(SEARCH("FIRE",AF68)))</formula>
    </cfRule>
    <cfRule type="containsText" dxfId="8631" priority="9353" operator="containsText" text="COSH">
      <formula>NOT(ISERROR(SEARCH("COSH",AF68)))</formula>
    </cfRule>
  </conditionalFormatting>
  <conditionalFormatting sqref="AF68">
    <cfRule type="containsText" dxfId="8630" priority="9348" operator="containsText" text="FAT">
      <formula>NOT(ISERROR(SEARCH("FAT",AF68)))</formula>
    </cfRule>
    <cfRule type="containsText" dxfId="8629" priority="9349" operator="containsText" text="FIRE">
      <formula>NOT(ISERROR(SEARCH("FIRE",AF68)))</formula>
    </cfRule>
    <cfRule type="containsText" dxfId="8628" priority="9350" operator="containsText" text="COSH">
      <formula>NOT(ISERROR(SEARCH("COSH",AF68)))</formula>
    </cfRule>
  </conditionalFormatting>
  <conditionalFormatting sqref="AF68">
    <cfRule type="containsText" dxfId="8627" priority="9345" operator="containsText" text="FAT">
      <formula>NOT(ISERROR(SEARCH("FAT",AF68)))</formula>
    </cfRule>
    <cfRule type="containsText" dxfId="8626" priority="9346" operator="containsText" text="FIRE">
      <formula>NOT(ISERROR(SEARCH("FIRE",AF68)))</formula>
    </cfRule>
    <cfRule type="containsText" dxfId="8625" priority="9347" operator="containsText" text="COSH">
      <formula>NOT(ISERROR(SEARCH("COSH",AF68)))</formula>
    </cfRule>
  </conditionalFormatting>
  <conditionalFormatting sqref="AF68">
    <cfRule type="containsText" dxfId="8624" priority="9342" operator="containsText" text="FAT">
      <formula>NOT(ISERROR(SEARCH("FAT",AF68)))</formula>
    </cfRule>
    <cfRule type="containsText" dxfId="8623" priority="9343" operator="containsText" text="FIRE">
      <formula>NOT(ISERROR(SEARCH("FIRE",AF68)))</formula>
    </cfRule>
    <cfRule type="containsText" dxfId="8622" priority="9344" operator="containsText" text="COSH">
      <formula>NOT(ISERROR(SEARCH("COSH",AF68)))</formula>
    </cfRule>
  </conditionalFormatting>
  <conditionalFormatting sqref="AF68">
    <cfRule type="containsText" dxfId="8621" priority="9339" operator="containsText" text="FAT">
      <formula>NOT(ISERROR(SEARCH("FAT",AF68)))</formula>
    </cfRule>
    <cfRule type="containsText" dxfId="8620" priority="9340" operator="containsText" text="FIRE">
      <formula>NOT(ISERROR(SEARCH("FIRE",AF68)))</formula>
    </cfRule>
    <cfRule type="containsText" dxfId="8619" priority="9341" operator="containsText" text="COSH">
      <formula>NOT(ISERROR(SEARCH("COSH",AF68)))</formula>
    </cfRule>
  </conditionalFormatting>
  <conditionalFormatting sqref="AF68">
    <cfRule type="containsText" dxfId="8618" priority="9336" operator="containsText" text="FAT">
      <formula>NOT(ISERROR(SEARCH("FAT",AF68)))</formula>
    </cfRule>
    <cfRule type="containsText" dxfId="8617" priority="9337" operator="containsText" text="FIRE">
      <formula>NOT(ISERROR(SEARCH("FIRE",AF68)))</formula>
    </cfRule>
    <cfRule type="containsText" dxfId="8616" priority="9338" operator="containsText" text="COSH">
      <formula>NOT(ISERROR(SEARCH("COSH",AF68)))</formula>
    </cfRule>
  </conditionalFormatting>
  <conditionalFormatting sqref="AF68">
    <cfRule type="containsText" dxfId="8615" priority="9333" operator="containsText" text="FAT">
      <formula>NOT(ISERROR(SEARCH("FAT",AF68)))</formula>
    </cfRule>
    <cfRule type="containsText" dxfId="8614" priority="9334" operator="containsText" text="FIRE">
      <formula>NOT(ISERROR(SEARCH("FIRE",AF68)))</formula>
    </cfRule>
    <cfRule type="containsText" dxfId="8613" priority="9335" operator="containsText" text="COSH">
      <formula>NOT(ISERROR(SEARCH("COSH",AF68)))</formula>
    </cfRule>
  </conditionalFormatting>
  <conditionalFormatting sqref="AF68">
    <cfRule type="containsText" dxfId="8612" priority="9330" operator="containsText" text="FAT">
      <formula>NOT(ISERROR(SEARCH("FAT",AF68)))</formula>
    </cfRule>
    <cfRule type="containsText" dxfId="8611" priority="9331" operator="containsText" text="FIRE">
      <formula>NOT(ISERROR(SEARCH("FIRE",AF68)))</formula>
    </cfRule>
    <cfRule type="containsText" dxfId="8610" priority="9332" operator="containsText" text="COSH">
      <formula>NOT(ISERROR(SEARCH("COSH",AF68)))</formula>
    </cfRule>
  </conditionalFormatting>
  <conditionalFormatting sqref="AF68">
    <cfRule type="containsText" dxfId="8609" priority="9327" operator="containsText" text="FAT">
      <formula>NOT(ISERROR(SEARCH("FAT",AF68)))</formula>
    </cfRule>
    <cfRule type="containsText" dxfId="8608" priority="9328" operator="containsText" text="FIRE">
      <formula>NOT(ISERROR(SEARCH("FIRE",AF68)))</formula>
    </cfRule>
    <cfRule type="containsText" dxfId="8607" priority="9329" operator="containsText" text="COSH">
      <formula>NOT(ISERROR(SEARCH("COSH",AF68)))</formula>
    </cfRule>
  </conditionalFormatting>
  <conditionalFormatting sqref="AD71:AD87 R69:Y69 AA69:AD69 AF69:AI69 AK69">
    <cfRule type="containsText" dxfId="8606" priority="9324" operator="containsText" text="FAT">
      <formula>NOT(ISERROR(SEARCH("FAT",R69)))</formula>
    </cfRule>
    <cfRule type="containsText" dxfId="8605" priority="9325" operator="containsText" text="FIRE">
      <formula>NOT(ISERROR(SEARCH("FIRE",R69)))</formula>
    </cfRule>
    <cfRule type="containsText" dxfId="8604" priority="9326" operator="containsText" text="COSH">
      <formula>NOT(ISERROR(SEARCH("COSH",R69)))</formula>
    </cfRule>
  </conditionalFormatting>
  <conditionalFormatting sqref="AD71:AD87 R69:Y69 AA69:AD69 AF69:AI69 AK69">
    <cfRule type="containsText" dxfId="8603" priority="9321" operator="containsText" text="FAT">
      <formula>NOT(ISERROR(SEARCH("FAT",R69)))</formula>
    </cfRule>
    <cfRule type="containsText" dxfId="8602" priority="9322" operator="containsText" text="FIRE">
      <formula>NOT(ISERROR(SEARCH("FIRE",R69)))</formula>
    </cfRule>
    <cfRule type="containsText" dxfId="8601" priority="9323" operator="containsText" text="COSH">
      <formula>NOT(ISERROR(SEARCH("COSH",R69)))</formula>
    </cfRule>
  </conditionalFormatting>
  <conditionalFormatting sqref="AD71:AD87 R69:Y69 AA69:AD69 AF69:AI69 AK69">
    <cfRule type="containsText" dxfId="8600" priority="9318" operator="containsText" text="FAT">
      <formula>NOT(ISERROR(SEARCH("FAT",R69)))</formula>
    </cfRule>
    <cfRule type="containsText" dxfId="8599" priority="9319" operator="containsText" text="FIRE">
      <formula>NOT(ISERROR(SEARCH("FIRE",R69)))</formula>
    </cfRule>
    <cfRule type="containsText" dxfId="8598" priority="9320" operator="containsText" text="COSH">
      <formula>NOT(ISERROR(SEARCH("COSH",R69)))</formula>
    </cfRule>
  </conditionalFormatting>
  <conditionalFormatting sqref="AD71:AD87 R69:Y69 AA69:AD69 AF69:AI69 AK69">
    <cfRule type="containsText" dxfId="8597" priority="9315" operator="containsText" text="FAT">
      <formula>NOT(ISERROR(SEARCH("FAT",R69)))</formula>
    </cfRule>
    <cfRule type="containsText" dxfId="8596" priority="9316" operator="containsText" text="FIRE">
      <formula>NOT(ISERROR(SEARCH("FIRE",R69)))</formula>
    </cfRule>
    <cfRule type="containsText" dxfId="8595" priority="9317" operator="containsText" text="COSH">
      <formula>NOT(ISERROR(SEARCH("COSH",R69)))</formula>
    </cfRule>
  </conditionalFormatting>
  <conditionalFormatting sqref="AD71:AD87 R69:Y69 AA69:AD69 AF69:AI69 AK69">
    <cfRule type="containsText" dxfId="8594" priority="9312" operator="containsText" text="FAT">
      <formula>NOT(ISERROR(SEARCH("FAT",R69)))</formula>
    </cfRule>
    <cfRule type="containsText" dxfId="8593" priority="9313" operator="containsText" text="FIRE">
      <formula>NOT(ISERROR(SEARCH("FIRE",R69)))</formula>
    </cfRule>
    <cfRule type="containsText" dxfId="8592" priority="9314" operator="containsText" text="COSH">
      <formula>NOT(ISERROR(SEARCH("COSH",R69)))</formula>
    </cfRule>
  </conditionalFormatting>
  <conditionalFormatting sqref="AD71:AD87 R69:Y69 AA69:AD69 AF69:AI69 AK69">
    <cfRule type="containsText" dxfId="8591" priority="9309" operator="containsText" text="FAT">
      <formula>NOT(ISERROR(SEARCH("FAT",R69)))</formula>
    </cfRule>
    <cfRule type="containsText" dxfId="8590" priority="9310" operator="containsText" text="FIRE">
      <formula>NOT(ISERROR(SEARCH("FIRE",R69)))</formula>
    </cfRule>
    <cfRule type="containsText" dxfId="8589" priority="9311" operator="containsText" text="COSH">
      <formula>NOT(ISERROR(SEARCH("COSH",R69)))</formula>
    </cfRule>
  </conditionalFormatting>
  <conditionalFormatting sqref="AD71:AD87 R69:Y69 AA69:AD69 AF69:AI69 AK69">
    <cfRule type="containsText" dxfId="8588" priority="9306" operator="containsText" text="FAT">
      <formula>NOT(ISERROR(SEARCH("FAT",R69)))</formula>
    </cfRule>
    <cfRule type="containsText" dxfId="8587" priority="9307" operator="containsText" text="FIRE">
      <formula>NOT(ISERROR(SEARCH("FIRE",R69)))</formula>
    </cfRule>
    <cfRule type="containsText" dxfId="8586" priority="9308" operator="containsText" text="COSH">
      <formula>NOT(ISERROR(SEARCH("COSH",R69)))</formula>
    </cfRule>
  </conditionalFormatting>
  <conditionalFormatting sqref="AD71:AD87 R69:Y69 AA69:AD69 AF69:AI69 AK69">
    <cfRule type="containsText" dxfId="8585" priority="9303" operator="containsText" text="FAT">
      <formula>NOT(ISERROR(SEARCH("FAT",R69)))</formula>
    </cfRule>
    <cfRule type="containsText" dxfId="8584" priority="9304" operator="containsText" text="FIRE">
      <formula>NOT(ISERROR(SEARCH("FIRE",R69)))</formula>
    </cfRule>
    <cfRule type="containsText" dxfId="8583" priority="9305" operator="containsText" text="COSH">
      <formula>NOT(ISERROR(SEARCH("COSH",R69)))</formula>
    </cfRule>
  </conditionalFormatting>
  <conditionalFormatting sqref="AD71:AD87 R69:Y69 AA69:AD69 AF69:AI69 AK69">
    <cfRule type="containsText" dxfId="8582" priority="9300" operator="containsText" text="FAT">
      <formula>NOT(ISERROR(SEARCH("FAT",R69)))</formula>
    </cfRule>
    <cfRule type="containsText" dxfId="8581" priority="9301" operator="containsText" text="FIRE">
      <formula>NOT(ISERROR(SEARCH("FIRE",R69)))</formula>
    </cfRule>
    <cfRule type="containsText" dxfId="8580" priority="9302" operator="containsText" text="COSH">
      <formula>NOT(ISERROR(SEARCH("COSH",R69)))</formula>
    </cfRule>
  </conditionalFormatting>
  <conditionalFormatting sqref="AD71:AD87 R69:Y69 AA69:AD69 AF69:AI69 AK69">
    <cfRule type="containsText" dxfId="8579" priority="9297" operator="containsText" text="FAT">
      <formula>NOT(ISERROR(SEARCH("FAT",R69)))</formula>
    </cfRule>
    <cfRule type="containsText" dxfId="8578" priority="9298" operator="containsText" text="FIRE">
      <formula>NOT(ISERROR(SEARCH("FIRE",R69)))</formula>
    </cfRule>
    <cfRule type="containsText" dxfId="8577" priority="9299" operator="containsText" text="COSH">
      <formula>NOT(ISERROR(SEARCH("COSH",R69)))</formula>
    </cfRule>
  </conditionalFormatting>
  <conditionalFormatting sqref="R71:R77">
    <cfRule type="containsText" dxfId="8576" priority="9294" operator="containsText" text="FAT">
      <formula>NOT(ISERROR(SEARCH("FAT",R71)))</formula>
    </cfRule>
    <cfRule type="containsText" dxfId="8575" priority="9295" operator="containsText" text="FIRE">
      <formula>NOT(ISERROR(SEARCH("FIRE",R71)))</formula>
    </cfRule>
    <cfRule type="containsText" dxfId="8574" priority="9296" operator="containsText" text="COSH">
      <formula>NOT(ISERROR(SEARCH("COSH",R71)))</formula>
    </cfRule>
  </conditionalFormatting>
  <conditionalFormatting sqref="S71:S77">
    <cfRule type="containsText" dxfId="8573" priority="9291" operator="containsText" text="FAT">
      <formula>NOT(ISERROR(SEARCH("FAT",S71)))</formula>
    </cfRule>
    <cfRule type="containsText" dxfId="8572" priority="9292" operator="containsText" text="FIRE">
      <formula>NOT(ISERROR(SEARCH("FIRE",S71)))</formula>
    </cfRule>
    <cfRule type="containsText" dxfId="8571" priority="9293" operator="containsText" text="COSH">
      <formula>NOT(ISERROR(SEARCH("COSH",S71)))</formula>
    </cfRule>
  </conditionalFormatting>
  <conditionalFormatting sqref="T71:T77">
    <cfRule type="containsText" dxfId="8570" priority="9288" operator="containsText" text="FAT">
      <formula>NOT(ISERROR(SEARCH("FAT",T71)))</formula>
    </cfRule>
    <cfRule type="containsText" dxfId="8569" priority="9289" operator="containsText" text="FIRE">
      <formula>NOT(ISERROR(SEARCH("FIRE",T71)))</formula>
    </cfRule>
    <cfRule type="containsText" dxfId="8568" priority="9290" operator="containsText" text="COSH">
      <formula>NOT(ISERROR(SEARCH("COSH",T71)))</formula>
    </cfRule>
  </conditionalFormatting>
  <conditionalFormatting sqref="R71:S77">
    <cfRule type="containsText" dxfId="8567" priority="9285" operator="containsText" text="FAT">
      <formula>NOT(ISERROR(SEARCH("FAT",R71)))</formula>
    </cfRule>
    <cfRule type="containsText" dxfId="8566" priority="9286" operator="containsText" text="FIRE">
      <formula>NOT(ISERROR(SEARCH("FIRE",R71)))</formula>
    </cfRule>
    <cfRule type="containsText" dxfId="8565" priority="9287" operator="containsText" text="COSH">
      <formula>NOT(ISERROR(SEARCH("COSH",R71)))</formula>
    </cfRule>
  </conditionalFormatting>
  <conditionalFormatting sqref="R71:S77">
    <cfRule type="containsText" dxfId="8564" priority="9282" operator="containsText" text="FAT">
      <formula>NOT(ISERROR(SEARCH("FAT",R71)))</formula>
    </cfRule>
    <cfRule type="containsText" dxfId="8563" priority="9283" operator="containsText" text="FIRE">
      <formula>NOT(ISERROR(SEARCH("FIRE",R71)))</formula>
    </cfRule>
    <cfRule type="containsText" dxfId="8562" priority="9284" operator="containsText" text="COSH">
      <formula>NOT(ISERROR(SEARCH("COSH",R71)))</formula>
    </cfRule>
  </conditionalFormatting>
  <conditionalFormatting sqref="R71:S77">
    <cfRule type="containsText" dxfId="8561" priority="9279" operator="containsText" text="FAT">
      <formula>NOT(ISERROR(SEARCH("FAT",R71)))</formula>
    </cfRule>
    <cfRule type="containsText" dxfId="8560" priority="9280" operator="containsText" text="FIRE">
      <formula>NOT(ISERROR(SEARCH("FIRE",R71)))</formula>
    </cfRule>
    <cfRule type="containsText" dxfId="8559" priority="9281" operator="containsText" text="COSH">
      <formula>NOT(ISERROR(SEARCH("COSH",R71)))</formula>
    </cfRule>
  </conditionalFormatting>
  <conditionalFormatting sqref="R71:S77">
    <cfRule type="containsText" dxfId="8558" priority="9276" operator="containsText" text="FAT">
      <formula>NOT(ISERROR(SEARCH("FAT",R71)))</formula>
    </cfRule>
    <cfRule type="containsText" dxfId="8557" priority="9277" operator="containsText" text="FIRE">
      <formula>NOT(ISERROR(SEARCH("FIRE",R71)))</formula>
    </cfRule>
    <cfRule type="containsText" dxfId="8556" priority="9278" operator="containsText" text="COSH">
      <formula>NOT(ISERROR(SEARCH("COSH",R71)))</formula>
    </cfRule>
  </conditionalFormatting>
  <conditionalFormatting sqref="R71:S77">
    <cfRule type="containsText" dxfId="8555" priority="9273" operator="containsText" text="FAT">
      <formula>NOT(ISERROR(SEARCH("FAT",R71)))</formula>
    </cfRule>
    <cfRule type="containsText" dxfId="8554" priority="9274" operator="containsText" text="FIRE">
      <formula>NOT(ISERROR(SEARCH("FIRE",R71)))</formula>
    </cfRule>
    <cfRule type="containsText" dxfId="8553" priority="9275" operator="containsText" text="COSH">
      <formula>NOT(ISERROR(SEARCH("COSH",R71)))</formula>
    </cfRule>
  </conditionalFormatting>
  <conditionalFormatting sqref="R71:S77">
    <cfRule type="containsText" dxfId="8552" priority="9270" operator="containsText" text="FAT">
      <formula>NOT(ISERROR(SEARCH("FAT",R71)))</formula>
    </cfRule>
    <cfRule type="containsText" dxfId="8551" priority="9271" operator="containsText" text="FIRE">
      <formula>NOT(ISERROR(SEARCH("FIRE",R71)))</formula>
    </cfRule>
    <cfRule type="containsText" dxfId="8550" priority="9272" operator="containsText" text="COSH">
      <formula>NOT(ISERROR(SEARCH("COSH",R71)))</formula>
    </cfRule>
  </conditionalFormatting>
  <conditionalFormatting sqref="R71:S77">
    <cfRule type="containsText" dxfId="8549" priority="9267" operator="containsText" text="FAT">
      <formula>NOT(ISERROR(SEARCH("FAT",R71)))</formula>
    </cfRule>
    <cfRule type="containsText" dxfId="8548" priority="9268" operator="containsText" text="FIRE">
      <formula>NOT(ISERROR(SEARCH("FIRE",R71)))</formula>
    </cfRule>
    <cfRule type="containsText" dxfId="8547" priority="9269" operator="containsText" text="COSH">
      <formula>NOT(ISERROR(SEARCH("COSH",R71)))</formula>
    </cfRule>
  </conditionalFormatting>
  <conditionalFormatting sqref="R71:S77">
    <cfRule type="containsText" dxfId="8546" priority="9264" operator="containsText" text="FAT">
      <formula>NOT(ISERROR(SEARCH("FAT",R71)))</formula>
    </cfRule>
    <cfRule type="containsText" dxfId="8545" priority="9265" operator="containsText" text="FIRE">
      <formula>NOT(ISERROR(SEARCH("FIRE",R71)))</formula>
    </cfRule>
    <cfRule type="containsText" dxfId="8544" priority="9266" operator="containsText" text="COSH">
      <formula>NOT(ISERROR(SEARCH("COSH",R71)))</formula>
    </cfRule>
  </conditionalFormatting>
  <conditionalFormatting sqref="R71:S77">
    <cfRule type="containsText" dxfId="8543" priority="9261" operator="containsText" text="FAT">
      <formula>NOT(ISERROR(SEARCH("FAT",R71)))</formula>
    </cfRule>
    <cfRule type="containsText" dxfId="8542" priority="9262" operator="containsText" text="FIRE">
      <formula>NOT(ISERROR(SEARCH("FIRE",R71)))</formula>
    </cfRule>
    <cfRule type="containsText" dxfId="8541" priority="9263" operator="containsText" text="COSH">
      <formula>NOT(ISERROR(SEARCH("COSH",R71)))</formula>
    </cfRule>
  </conditionalFormatting>
  <conditionalFormatting sqref="AA71:AA77">
    <cfRule type="containsText" dxfId="8540" priority="9258" operator="containsText" text="FAT">
      <formula>NOT(ISERROR(SEARCH("FAT",AA71)))</formula>
    </cfRule>
    <cfRule type="containsText" dxfId="8539" priority="9259" operator="containsText" text="FIRE">
      <formula>NOT(ISERROR(SEARCH("FIRE",AA71)))</formula>
    </cfRule>
    <cfRule type="containsText" dxfId="8538" priority="9260" operator="containsText" text="COSH">
      <formula>NOT(ISERROR(SEARCH("COSH",AA71)))</formula>
    </cfRule>
  </conditionalFormatting>
  <conditionalFormatting sqref="AA71:AA77">
    <cfRule type="containsText" dxfId="8537" priority="9255" operator="containsText" text="FAT">
      <formula>NOT(ISERROR(SEARCH("FAT",AA71)))</formula>
    </cfRule>
    <cfRule type="containsText" dxfId="8536" priority="9256" operator="containsText" text="FIRE">
      <formula>NOT(ISERROR(SEARCH("FIRE",AA71)))</formula>
    </cfRule>
    <cfRule type="containsText" dxfId="8535" priority="9257" operator="containsText" text="COSH">
      <formula>NOT(ISERROR(SEARCH("COSH",AA71)))</formula>
    </cfRule>
  </conditionalFormatting>
  <conditionalFormatting sqref="AH71:AH77">
    <cfRule type="containsText" dxfId="8534" priority="9252" operator="containsText" text="FAT">
      <formula>NOT(ISERROR(SEARCH("FAT",AH71)))</formula>
    </cfRule>
    <cfRule type="containsText" dxfId="8533" priority="9253" operator="containsText" text="FIRE">
      <formula>NOT(ISERROR(SEARCH("FIRE",AH71)))</formula>
    </cfRule>
    <cfRule type="containsText" dxfId="8532" priority="9254" operator="containsText" text="COSH">
      <formula>NOT(ISERROR(SEARCH("COSH",AH71)))</formula>
    </cfRule>
  </conditionalFormatting>
  <conditionalFormatting sqref="AG71:AG77">
    <cfRule type="containsText" dxfId="8531" priority="9249" operator="containsText" text="FAT">
      <formula>NOT(ISERROR(SEARCH("FAT",AG71)))</formula>
    </cfRule>
    <cfRule type="containsText" dxfId="8530" priority="9250" operator="containsText" text="FIRE">
      <formula>NOT(ISERROR(SEARCH("FIRE",AG71)))</formula>
    </cfRule>
    <cfRule type="containsText" dxfId="8529" priority="9251" operator="containsText" text="COSH">
      <formula>NOT(ISERROR(SEARCH("COSH",AG71)))</formula>
    </cfRule>
  </conditionalFormatting>
  <conditionalFormatting sqref="AH71:AH77">
    <cfRule type="containsText" dxfId="8528" priority="9246" operator="containsText" text="FAT">
      <formula>NOT(ISERROR(SEARCH("FAT",AH71)))</formula>
    </cfRule>
    <cfRule type="containsText" dxfId="8527" priority="9247" operator="containsText" text="FIRE">
      <formula>NOT(ISERROR(SEARCH("FIRE",AH71)))</formula>
    </cfRule>
    <cfRule type="containsText" dxfId="8526" priority="9248" operator="containsText" text="COSH">
      <formula>NOT(ISERROR(SEARCH("COSH",AH71)))</formula>
    </cfRule>
  </conditionalFormatting>
  <conditionalFormatting sqref="AF71:AF77">
    <cfRule type="containsText" dxfId="8525" priority="9243" operator="containsText" text="FAT">
      <formula>NOT(ISERROR(SEARCH("FAT",AF71)))</formula>
    </cfRule>
    <cfRule type="containsText" dxfId="8524" priority="9244" operator="containsText" text="FIRE">
      <formula>NOT(ISERROR(SEARCH("FIRE",AF71)))</formula>
    </cfRule>
    <cfRule type="containsText" dxfId="8523" priority="9245" operator="containsText" text="COSH">
      <formula>NOT(ISERROR(SEARCH("COSH",AF71)))</formula>
    </cfRule>
  </conditionalFormatting>
  <conditionalFormatting sqref="AG71:AG77">
    <cfRule type="containsText" dxfId="8522" priority="9240" operator="containsText" text="FAT">
      <formula>NOT(ISERROR(SEARCH("FAT",AG71)))</formula>
    </cfRule>
    <cfRule type="containsText" dxfId="8521" priority="9241" operator="containsText" text="FIRE">
      <formula>NOT(ISERROR(SEARCH("FIRE",AG71)))</formula>
    </cfRule>
    <cfRule type="containsText" dxfId="8520" priority="9242" operator="containsText" text="COSH">
      <formula>NOT(ISERROR(SEARCH("COSH",AG71)))</formula>
    </cfRule>
  </conditionalFormatting>
  <conditionalFormatting sqref="AH71:AH77">
    <cfRule type="containsText" dxfId="8519" priority="9237" operator="containsText" text="FAT">
      <formula>NOT(ISERROR(SEARCH("FAT",AH71)))</formula>
    </cfRule>
    <cfRule type="containsText" dxfId="8518" priority="9238" operator="containsText" text="FIRE">
      <formula>NOT(ISERROR(SEARCH("FIRE",AH71)))</formula>
    </cfRule>
    <cfRule type="containsText" dxfId="8517" priority="9239" operator="containsText" text="COSH">
      <formula>NOT(ISERROR(SEARCH("COSH",AH71)))</formula>
    </cfRule>
  </conditionalFormatting>
  <conditionalFormatting sqref="AF71:AG77">
    <cfRule type="containsText" dxfId="8516" priority="9234" operator="containsText" text="FAT">
      <formula>NOT(ISERROR(SEARCH("FAT",AF71)))</formula>
    </cfRule>
    <cfRule type="containsText" dxfId="8515" priority="9235" operator="containsText" text="FIRE">
      <formula>NOT(ISERROR(SEARCH("FIRE",AF71)))</formula>
    </cfRule>
    <cfRule type="containsText" dxfId="8514" priority="9236" operator="containsText" text="COSH">
      <formula>NOT(ISERROR(SEARCH("COSH",AF71)))</formula>
    </cfRule>
  </conditionalFormatting>
  <conditionalFormatting sqref="AF71:AG77">
    <cfRule type="containsText" dxfId="8513" priority="9231" operator="containsText" text="FAT">
      <formula>NOT(ISERROR(SEARCH("FAT",AF71)))</formula>
    </cfRule>
    <cfRule type="containsText" dxfId="8512" priority="9232" operator="containsText" text="FIRE">
      <formula>NOT(ISERROR(SEARCH("FIRE",AF71)))</formula>
    </cfRule>
    <cfRule type="containsText" dxfId="8511" priority="9233" operator="containsText" text="COSH">
      <formula>NOT(ISERROR(SEARCH("COSH",AF71)))</formula>
    </cfRule>
  </conditionalFormatting>
  <conditionalFormatting sqref="AF71:AG77">
    <cfRule type="containsText" dxfId="8510" priority="9228" operator="containsText" text="FAT">
      <formula>NOT(ISERROR(SEARCH("FAT",AF71)))</formula>
    </cfRule>
    <cfRule type="containsText" dxfId="8509" priority="9229" operator="containsText" text="FIRE">
      <formula>NOT(ISERROR(SEARCH("FIRE",AF71)))</formula>
    </cfRule>
    <cfRule type="containsText" dxfId="8508" priority="9230" operator="containsText" text="COSH">
      <formula>NOT(ISERROR(SEARCH("COSH",AF71)))</formula>
    </cfRule>
  </conditionalFormatting>
  <conditionalFormatting sqref="AF71:AG77">
    <cfRule type="containsText" dxfId="8507" priority="9225" operator="containsText" text="FAT">
      <formula>NOT(ISERROR(SEARCH("FAT",AF71)))</formula>
    </cfRule>
    <cfRule type="containsText" dxfId="8506" priority="9226" operator="containsText" text="FIRE">
      <formula>NOT(ISERROR(SEARCH("FIRE",AF71)))</formula>
    </cfRule>
    <cfRule type="containsText" dxfId="8505" priority="9227" operator="containsText" text="COSH">
      <formula>NOT(ISERROR(SEARCH("COSH",AF71)))</formula>
    </cfRule>
  </conditionalFormatting>
  <conditionalFormatting sqref="AF71:AG77">
    <cfRule type="containsText" dxfId="8504" priority="9222" operator="containsText" text="FAT">
      <formula>NOT(ISERROR(SEARCH("FAT",AF71)))</formula>
    </cfRule>
    <cfRule type="containsText" dxfId="8503" priority="9223" operator="containsText" text="FIRE">
      <formula>NOT(ISERROR(SEARCH("FIRE",AF71)))</formula>
    </cfRule>
    <cfRule type="containsText" dxfId="8502" priority="9224" operator="containsText" text="COSH">
      <formula>NOT(ISERROR(SEARCH("COSH",AF71)))</formula>
    </cfRule>
  </conditionalFormatting>
  <conditionalFormatting sqref="AF71:AG77">
    <cfRule type="containsText" dxfId="8501" priority="9219" operator="containsText" text="FAT">
      <formula>NOT(ISERROR(SEARCH("FAT",AF71)))</formula>
    </cfRule>
    <cfRule type="containsText" dxfId="8500" priority="9220" operator="containsText" text="FIRE">
      <formula>NOT(ISERROR(SEARCH("FIRE",AF71)))</formula>
    </cfRule>
    <cfRule type="containsText" dxfId="8499" priority="9221" operator="containsText" text="COSH">
      <formula>NOT(ISERROR(SEARCH("COSH",AF71)))</formula>
    </cfRule>
  </conditionalFormatting>
  <conditionalFormatting sqref="AF71:AG77">
    <cfRule type="containsText" dxfId="8498" priority="9216" operator="containsText" text="FAT">
      <formula>NOT(ISERROR(SEARCH("FAT",AF71)))</formula>
    </cfRule>
    <cfRule type="containsText" dxfId="8497" priority="9217" operator="containsText" text="FIRE">
      <formula>NOT(ISERROR(SEARCH("FIRE",AF71)))</formula>
    </cfRule>
    <cfRule type="containsText" dxfId="8496" priority="9218" operator="containsText" text="COSH">
      <formula>NOT(ISERROR(SEARCH("COSH",AF71)))</formula>
    </cfRule>
  </conditionalFormatting>
  <conditionalFormatting sqref="AF71:AG77">
    <cfRule type="containsText" dxfId="8495" priority="9213" operator="containsText" text="FAT">
      <formula>NOT(ISERROR(SEARCH("FAT",AF71)))</formula>
    </cfRule>
    <cfRule type="containsText" dxfId="8494" priority="9214" operator="containsText" text="FIRE">
      <formula>NOT(ISERROR(SEARCH("FIRE",AF71)))</formula>
    </cfRule>
    <cfRule type="containsText" dxfId="8493" priority="9215" operator="containsText" text="COSH">
      <formula>NOT(ISERROR(SEARCH("COSH",AF71)))</formula>
    </cfRule>
  </conditionalFormatting>
  <conditionalFormatting sqref="AF71:AG77">
    <cfRule type="containsText" dxfId="8492" priority="9210" operator="containsText" text="FAT">
      <formula>NOT(ISERROR(SEARCH("FAT",AF71)))</formula>
    </cfRule>
    <cfRule type="containsText" dxfId="8491" priority="9211" operator="containsText" text="FIRE">
      <formula>NOT(ISERROR(SEARCH("FIRE",AF71)))</formula>
    </cfRule>
    <cfRule type="containsText" dxfId="8490" priority="9212" operator="containsText" text="COSH">
      <formula>NOT(ISERROR(SEARCH("COSH",AF71)))</formula>
    </cfRule>
  </conditionalFormatting>
  <conditionalFormatting sqref="L78:L83">
    <cfRule type="containsText" dxfId="8489" priority="9207" operator="containsText" text="FAT">
      <formula>NOT(ISERROR(SEARCH("FAT",L78)))</formula>
    </cfRule>
    <cfRule type="containsText" dxfId="8488" priority="9208" operator="containsText" text="FIRE">
      <formula>NOT(ISERROR(SEARCH("FIRE",L78)))</formula>
    </cfRule>
    <cfRule type="containsText" dxfId="8487" priority="9209" operator="containsText" text="COSH">
      <formula>NOT(ISERROR(SEARCH("COSH",L78)))</formula>
    </cfRule>
  </conditionalFormatting>
  <conditionalFormatting sqref="M78:M83">
    <cfRule type="containsText" dxfId="8486" priority="9204" operator="containsText" text="FAT">
      <formula>NOT(ISERROR(SEARCH("FAT",M78)))</formula>
    </cfRule>
    <cfRule type="containsText" dxfId="8485" priority="9205" operator="containsText" text="FIRE">
      <formula>NOT(ISERROR(SEARCH("FIRE",M78)))</formula>
    </cfRule>
    <cfRule type="containsText" dxfId="8484" priority="9206" operator="containsText" text="COSH">
      <formula>NOT(ISERROR(SEARCH("COSH",M78)))</formula>
    </cfRule>
  </conditionalFormatting>
  <conditionalFormatting sqref="S78:S83">
    <cfRule type="containsText" dxfId="8483" priority="9201" operator="containsText" text="FAT">
      <formula>NOT(ISERROR(SEARCH("FAT",S78)))</formula>
    </cfRule>
    <cfRule type="containsText" dxfId="8482" priority="9202" operator="containsText" text="FIRE">
      <formula>NOT(ISERROR(SEARCH("FIRE",S78)))</formula>
    </cfRule>
    <cfRule type="containsText" dxfId="8481" priority="9203" operator="containsText" text="COSH">
      <formula>NOT(ISERROR(SEARCH("COSH",S78)))</formula>
    </cfRule>
  </conditionalFormatting>
  <conditionalFormatting sqref="T78:T83">
    <cfRule type="containsText" dxfId="8480" priority="9198" operator="containsText" text="FAT">
      <formula>NOT(ISERROR(SEARCH("FAT",T78)))</formula>
    </cfRule>
    <cfRule type="containsText" dxfId="8479" priority="9199" operator="containsText" text="FIRE">
      <formula>NOT(ISERROR(SEARCH("FIRE",T78)))</formula>
    </cfRule>
    <cfRule type="containsText" dxfId="8478" priority="9200" operator="containsText" text="COSH">
      <formula>NOT(ISERROR(SEARCH("COSH",T78)))</formula>
    </cfRule>
  </conditionalFormatting>
  <conditionalFormatting sqref="R78:R83 S80:W80 S82:W82">
    <cfRule type="containsText" dxfId="8477" priority="9195" operator="containsText" text="FAT">
      <formula>NOT(ISERROR(SEARCH("FAT",R78)))</formula>
    </cfRule>
    <cfRule type="containsText" dxfId="8476" priority="9196" operator="containsText" text="FIRE">
      <formula>NOT(ISERROR(SEARCH("FIRE",R78)))</formula>
    </cfRule>
    <cfRule type="containsText" dxfId="8475" priority="9197" operator="containsText" text="COSH">
      <formula>NOT(ISERROR(SEARCH("COSH",R78)))</formula>
    </cfRule>
  </conditionalFormatting>
  <conditionalFormatting sqref="S78:S83">
    <cfRule type="containsText" dxfId="8474" priority="9192" operator="containsText" text="FAT">
      <formula>NOT(ISERROR(SEARCH("FAT",S78)))</formula>
    </cfRule>
    <cfRule type="containsText" dxfId="8473" priority="9193" operator="containsText" text="FIRE">
      <formula>NOT(ISERROR(SEARCH("FIRE",S78)))</formula>
    </cfRule>
    <cfRule type="containsText" dxfId="8472" priority="9194" operator="containsText" text="COSH">
      <formula>NOT(ISERROR(SEARCH("COSH",S78)))</formula>
    </cfRule>
  </conditionalFormatting>
  <conditionalFormatting sqref="T78:T83">
    <cfRule type="containsText" dxfId="8471" priority="9189" operator="containsText" text="FAT">
      <formula>NOT(ISERROR(SEARCH("FAT",T78)))</formula>
    </cfRule>
    <cfRule type="containsText" dxfId="8470" priority="9190" operator="containsText" text="FIRE">
      <formula>NOT(ISERROR(SEARCH("FIRE",T78)))</formula>
    </cfRule>
    <cfRule type="containsText" dxfId="8469" priority="9191" operator="containsText" text="COSH">
      <formula>NOT(ISERROR(SEARCH("COSH",T78)))</formula>
    </cfRule>
  </conditionalFormatting>
  <conditionalFormatting sqref="R78:S83 T80:W80 T82:W82">
    <cfRule type="containsText" dxfId="8468" priority="9186" operator="containsText" text="FAT">
      <formula>NOT(ISERROR(SEARCH("FAT",R78)))</formula>
    </cfRule>
    <cfRule type="containsText" dxfId="8467" priority="9187" operator="containsText" text="FIRE">
      <formula>NOT(ISERROR(SEARCH("FIRE",R78)))</formula>
    </cfRule>
    <cfRule type="containsText" dxfId="8466" priority="9188" operator="containsText" text="COSH">
      <formula>NOT(ISERROR(SEARCH("COSH",R78)))</formula>
    </cfRule>
  </conditionalFormatting>
  <conditionalFormatting sqref="R78:S83 T80:W80 T82:W82">
    <cfRule type="containsText" dxfId="8465" priority="9183" operator="containsText" text="FAT">
      <formula>NOT(ISERROR(SEARCH("FAT",R78)))</formula>
    </cfRule>
    <cfRule type="containsText" dxfId="8464" priority="9184" operator="containsText" text="FIRE">
      <formula>NOT(ISERROR(SEARCH("FIRE",R78)))</formula>
    </cfRule>
    <cfRule type="containsText" dxfId="8463" priority="9185" operator="containsText" text="COSH">
      <formula>NOT(ISERROR(SEARCH("COSH",R78)))</formula>
    </cfRule>
  </conditionalFormatting>
  <conditionalFormatting sqref="R78:S83 T80:W80 T82:W82">
    <cfRule type="containsText" dxfId="8462" priority="9180" operator="containsText" text="FAT">
      <formula>NOT(ISERROR(SEARCH("FAT",R78)))</formula>
    </cfRule>
    <cfRule type="containsText" dxfId="8461" priority="9181" operator="containsText" text="FIRE">
      <formula>NOT(ISERROR(SEARCH("FIRE",R78)))</formula>
    </cfRule>
    <cfRule type="containsText" dxfId="8460" priority="9182" operator="containsText" text="COSH">
      <formula>NOT(ISERROR(SEARCH("COSH",R78)))</formula>
    </cfRule>
  </conditionalFormatting>
  <conditionalFormatting sqref="R78:S83 T80:W80 T82:W82">
    <cfRule type="containsText" dxfId="8459" priority="9177" operator="containsText" text="FAT">
      <formula>NOT(ISERROR(SEARCH("FAT",R78)))</formula>
    </cfRule>
    <cfRule type="containsText" dxfId="8458" priority="9178" operator="containsText" text="FIRE">
      <formula>NOT(ISERROR(SEARCH("FIRE",R78)))</formula>
    </cfRule>
    <cfRule type="containsText" dxfId="8457" priority="9179" operator="containsText" text="COSH">
      <formula>NOT(ISERROR(SEARCH("COSH",R78)))</formula>
    </cfRule>
  </conditionalFormatting>
  <conditionalFormatting sqref="R78:S83 T80:W80 T82:W82">
    <cfRule type="containsText" dxfId="8456" priority="9174" operator="containsText" text="FAT">
      <formula>NOT(ISERROR(SEARCH("FAT",R78)))</formula>
    </cfRule>
    <cfRule type="containsText" dxfId="8455" priority="9175" operator="containsText" text="FIRE">
      <formula>NOT(ISERROR(SEARCH("FIRE",R78)))</formula>
    </cfRule>
    <cfRule type="containsText" dxfId="8454" priority="9176" operator="containsText" text="COSH">
      <formula>NOT(ISERROR(SEARCH("COSH",R78)))</formula>
    </cfRule>
  </conditionalFormatting>
  <conditionalFormatting sqref="R78:S83 T80:W80 T82:W82">
    <cfRule type="containsText" dxfId="8453" priority="9171" operator="containsText" text="FAT">
      <formula>NOT(ISERROR(SEARCH("FAT",R78)))</formula>
    </cfRule>
    <cfRule type="containsText" dxfId="8452" priority="9172" operator="containsText" text="FIRE">
      <formula>NOT(ISERROR(SEARCH("FIRE",R78)))</formula>
    </cfRule>
    <cfRule type="containsText" dxfId="8451" priority="9173" operator="containsText" text="COSH">
      <formula>NOT(ISERROR(SEARCH("COSH",R78)))</formula>
    </cfRule>
  </conditionalFormatting>
  <conditionalFormatting sqref="R78:S83 T80:W80 T82:W82">
    <cfRule type="containsText" dxfId="8450" priority="9168" operator="containsText" text="FAT">
      <formula>NOT(ISERROR(SEARCH("FAT",R78)))</formula>
    </cfRule>
    <cfRule type="containsText" dxfId="8449" priority="9169" operator="containsText" text="FIRE">
      <formula>NOT(ISERROR(SEARCH("FIRE",R78)))</formula>
    </cfRule>
    <cfRule type="containsText" dxfId="8448" priority="9170" operator="containsText" text="COSH">
      <formula>NOT(ISERROR(SEARCH("COSH",R78)))</formula>
    </cfRule>
  </conditionalFormatting>
  <conditionalFormatting sqref="R78:S83 T80:W80 T82:W82">
    <cfRule type="containsText" dxfId="8447" priority="9165" operator="containsText" text="FAT">
      <formula>NOT(ISERROR(SEARCH("FAT",R78)))</formula>
    </cfRule>
    <cfRule type="containsText" dxfId="8446" priority="9166" operator="containsText" text="FIRE">
      <formula>NOT(ISERROR(SEARCH("FIRE",R78)))</formula>
    </cfRule>
    <cfRule type="containsText" dxfId="8445" priority="9167" operator="containsText" text="COSH">
      <formula>NOT(ISERROR(SEARCH("COSH",R78)))</formula>
    </cfRule>
  </conditionalFormatting>
  <conditionalFormatting sqref="R78:S83 T80:W80 T82:W82">
    <cfRule type="containsText" dxfId="8444" priority="9162" operator="containsText" text="FAT">
      <formula>NOT(ISERROR(SEARCH("FAT",R78)))</formula>
    </cfRule>
    <cfRule type="containsText" dxfId="8443" priority="9163" operator="containsText" text="FIRE">
      <formula>NOT(ISERROR(SEARCH("FIRE",R78)))</formula>
    </cfRule>
    <cfRule type="containsText" dxfId="8442" priority="9164" operator="containsText" text="COSH">
      <formula>NOT(ISERROR(SEARCH("COSH",R78)))</formula>
    </cfRule>
  </conditionalFormatting>
  <conditionalFormatting sqref="AG78">
    <cfRule type="containsText" dxfId="8441" priority="9159" operator="containsText" text="FAT">
      <formula>NOT(ISERROR(SEARCH("FAT",AG78)))</formula>
    </cfRule>
    <cfRule type="containsText" dxfId="8440" priority="9160" operator="containsText" text="FIRE">
      <formula>NOT(ISERROR(SEARCH("FIRE",AG78)))</formula>
    </cfRule>
    <cfRule type="containsText" dxfId="8439" priority="9161" operator="containsText" text="COSH">
      <formula>NOT(ISERROR(SEARCH("COSH",AG78)))</formula>
    </cfRule>
  </conditionalFormatting>
  <conditionalFormatting sqref="AH78">
    <cfRule type="containsText" dxfId="8438" priority="9156" operator="containsText" text="FAT">
      <formula>NOT(ISERROR(SEARCH("FAT",AH78)))</formula>
    </cfRule>
    <cfRule type="containsText" dxfId="8437" priority="9157" operator="containsText" text="FIRE">
      <formula>NOT(ISERROR(SEARCH("FIRE",AH78)))</formula>
    </cfRule>
    <cfRule type="containsText" dxfId="8436" priority="9158" operator="containsText" text="COSH">
      <formula>NOT(ISERROR(SEARCH("COSH",AH78)))</formula>
    </cfRule>
  </conditionalFormatting>
  <conditionalFormatting sqref="AF78">
    <cfRule type="containsText" dxfId="8435" priority="9153" operator="containsText" text="FAT">
      <formula>NOT(ISERROR(SEARCH("FAT",AF78)))</formula>
    </cfRule>
    <cfRule type="containsText" dxfId="8434" priority="9154" operator="containsText" text="FIRE">
      <formula>NOT(ISERROR(SEARCH("FIRE",AF78)))</formula>
    </cfRule>
    <cfRule type="containsText" dxfId="8433" priority="9155" operator="containsText" text="COSH">
      <formula>NOT(ISERROR(SEARCH("COSH",AF78)))</formula>
    </cfRule>
  </conditionalFormatting>
  <conditionalFormatting sqref="AG78">
    <cfRule type="containsText" dxfId="8432" priority="9150" operator="containsText" text="FAT">
      <formula>NOT(ISERROR(SEARCH("FAT",AG78)))</formula>
    </cfRule>
    <cfRule type="containsText" dxfId="8431" priority="9151" operator="containsText" text="FIRE">
      <formula>NOT(ISERROR(SEARCH("FIRE",AG78)))</formula>
    </cfRule>
    <cfRule type="containsText" dxfId="8430" priority="9152" operator="containsText" text="COSH">
      <formula>NOT(ISERROR(SEARCH("COSH",AG78)))</formula>
    </cfRule>
  </conditionalFormatting>
  <conditionalFormatting sqref="AH78">
    <cfRule type="containsText" dxfId="8429" priority="9147" operator="containsText" text="FAT">
      <formula>NOT(ISERROR(SEARCH("FAT",AH78)))</formula>
    </cfRule>
    <cfRule type="containsText" dxfId="8428" priority="9148" operator="containsText" text="FIRE">
      <formula>NOT(ISERROR(SEARCH("FIRE",AH78)))</formula>
    </cfRule>
    <cfRule type="containsText" dxfId="8427" priority="9149" operator="containsText" text="COSH">
      <formula>NOT(ISERROR(SEARCH("COSH",AH78)))</formula>
    </cfRule>
  </conditionalFormatting>
  <conditionalFormatting sqref="AF78:AG78">
    <cfRule type="containsText" dxfId="8426" priority="9144" operator="containsText" text="FAT">
      <formula>NOT(ISERROR(SEARCH("FAT",AF78)))</formula>
    </cfRule>
    <cfRule type="containsText" dxfId="8425" priority="9145" operator="containsText" text="FIRE">
      <formula>NOT(ISERROR(SEARCH("FIRE",AF78)))</formula>
    </cfRule>
    <cfRule type="containsText" dxfId="8424" priority="9146" operator="containsText" text="COSH">
      <formula>NOT(ISERROR(SEARCH("COSH",AF78)))</formula>
    </cfRule>
  </conditionalFormatting>
  <conditionalFormatting sqref="AF78:AG78">
    <cfRule type="containsText" dxfId="8423" priority="9141" operator="containsText" text="FAT">
      <formula>NOT(ISERROR(SEARCH("FAT",AF78)))</formula>
    </cfRule>
    <cfRule type="containsText" dxfId="8422" priority="9142" operator="containsText" text="FIRE">
      <formula>NOT(ISERROR(SEARCH("FIRE",AF78)))</formula>
    </cfRule>
    <cfRule type="containsText" dxfId="8421" priority="9143" operator="containsText" text="COSH">
      <formula>NOT(ISERROR(SEARCH("COSH",AF78)))</formula>
    </cfRule>
  </conditionalFormatting>
  <conditionalFormatting sqref="AF78:AG78">
    <cfRule type="containsText" dxfId="8420" priority="9138" operator="containsText" text="FAT">
      <formula>NOT(ISERROR(SEARCH("FAT",AF78)))</formula>
    </cfRule>
    <cfRule type="containsText" dxfId="8419" priority="9139" operator="containsText" text="FIRE">
      <formula>NOT(ISERROR(SEARCH("FIRE",AF78)))</formula>
    </cfRule>
    <cfRule type="containsText" dxfId="8418" priority="9140" operator="containsText" text="COSH">
      <formula>NOT(ISERROR(SEARCH("COSH",AF78)))</formula>
    </cfRule>
  </conditionalFormatting>
  <conditionalFormatting sqref="AF78:AG78">
    <cfRule type="containsText" dxfId="8417" priority="9135" operator="containsText" text="FAT">
      <formula>NOT(ISERROR(SEARCH("FAT",AF78)))</formula>
    </cfRule>
    <cfRule type="containsText" dxfId="8416" priority="9136" operator="containsText" text="FIRE">
      <formula>NOT(ISERROR(SEARCH("FIRE",AF78)))</formula>
    </cfRule>
    <cfRule type="containsText" dxfId="8415" priority="9137" operator="containsText" text="COSH">
      <formula>NOT(ISERROR(SEARCH("COSH",AF78)))</formula>
    </cfRule>
  </conditionalFormatting>
  <conditionalFormatting sqref="AF78:AG78">
    <cfRule type="containsText" dxfId="8414" priority="9132" operator="containsText" text="FAT">
      <formula>NOT(ISERROR(SEARCH("FAT",AF78)))</formula>
    </cfRule>
    <cfRule type="containsText" dxfId="8413" priority="9133" operator="containsText" text="FIRE">
      <formula>NOT(ISERROR(SEARCH("FIRE",AF78)))</formula>
    </cfRule>
    <cfRule type="containsText" dxfId="8412" priority="9134" operator="containsText" text="COSH">
      <formula>NOT(ISERROR(SEARCH("COSH",AF78)))</formula>
    </cfRule>
  </conditionalFormatting>
  <conditionalFormatting sqref="AF78:AG78">
    <cfRule type="containsText" dxfId="8411" priority="9129" operator="containsText" text="FAT">
      <formula>NOT(ISERROR(SEARCH("FAT",AF78)))</formula>
    </cfRule>
    <cfRule type="containsText" dxfId="8410" priority="9130" operator="containsText" text="FIRE">
      <formula>NOT(ISERROR(SEARCH("FIRE",AF78)))</formula>
    </cfRule>
    <cfRule type="containsText" dxfId="8409" priority="9131" operator="containsText" text="COSH">
      <formula>NOT(ISERROR(SEARCH("COSH",AF78)))</formula>
    </cfRule>
  </conditionalFormatting>
  <conditionalFormatting sqref="AF78:AG78">
    <cfRule type="containsText" dxfId="8408" priority="9126" operator="containsText" text="FAT">
      <formula>NOT(ISERROR(SEARCH("FAT",AF78)))</formula>
    </cfRule>
    <cfRule type="containsText" dxfId="8407" priority="9127" operator="containsText" text="FIRE">
      <formula>NOT(ISERROR(SEARCH("FIRE",AF78)))</formula>
    </cfRule>
    <cfRule type="containsText" dxfId="8406" priority="9128" operator="containsText" text="COSH">
      <formula>NOT(ISERROR(SEARCH("COSH",AF78)))</formula>
    </cfRule>
  </conditionalFormatting>
  <conditionalFormatting sqref="AF78:AG78">
    <cfRule type="containsText" dxfId="8405" priority="9123" operator="containsText" text="FAT">
      <formula>NOT(ISERROR(SEARCH("FAT",AF78)))</formula>
    </cfRule>
    <cfRule type="containsText" dxfId="8404" priority="9124" operator="containsText" text="FIRE">
      <formula>NOT(ISERROR(SEARCH("FIRE",AF78)))</formula>
    </cfRule>
    <cfRule type="containsText" dxfId="8403" priority="9125" operator="containsText" text="COSH">
      <formula>NOT(ISERROR(SEARCH("COSH",AF78)))</formula>
    </cfRule>
  </conditionalFormatting>
  <conditionalFormatting sqref="AF78:AG78">
    <cfRule type="containsText" dxfId="8402" priority="9120" operator="containsText" text="FAT">
      <formula>NOT(ISERROR(SEARCH("FAT",AF78)))</formula>
    </cfRule>
    <cfRule type="containsText" dxfId="8401" priority="9121" operator="containsText" text="FIRE">
      <formula>NOT(ISERROR(SEARCH("FIRE",AF78)))</formula>
    </cfRule>
    <cfRule type="containsText" dxfId="8400" priority="9122" operator="containsText" text="COSH">
      <formula>NOT(ISERROR(SEARCH("COSH",AF78)))</formula>
    </cfRule>
  </conditionalFormatting>
  <conditionalFormatting sqref="AG79:AG83">
    <cfRule type="containsText" dxfId="8399" priority="9117" operator="containsText" text="FAT">
      <formula>NOT(ISERROR(SEARCH("FAT",AG79)))</formula>
    </cfRule>
    <cfRule type="containsText" dxfId="8398" priority="9118" operator="containsText" text="FIRE">
      <formula>NOT(ISERROR(SEARCH("FIRE",AG79)))</formula>
    </cfRule>
    <cfRule type="containsText" dxfId="8397" priority="9119" operator="containsText" text="COSH">
      <formula>NOT(ISERROR(SEARCH("COSH",AG79)))</formula>
    </cfRule>
  </conditionalFormatting>
  <conditionalFormatting sqref="AH79:AH83">
    <cfRule type="containsText" dxfId="8396" priority="9114" operator="containsText" text="FAT">
      <formula>NOT(ISERROR(SEARCH("FAT",AH79)))</formula>
    </cfRule>
    <cfRule type="containsText" dxfId="8395" priority="9115" operator="containsText" text="FIRE">
      <formula>NOT(ISERROR(SEARCH("FIRE",AH79)))</formula>
    </cfRule>
    <cfRule type="containsText" dxfId="8394" priority="9116" operator="containsText" text="COSH">
      <formula>NOT(ISERROR(SEARCH("COSH",AH79)))</formula>
    </cfRule>
  </conditionalFormatting>
  <conditionalFormatting sqref="AF79:AF83">
    <cfRule type="containsText" dxfId="8393" priority="9111" operator="containsText" text="FAT">
      <formula>NOT(ISERROR(SEARCH("FAT",AF79)))</formula>
    </cfRule>
    <cfRule type="containsText" dxfId="8392" priority="9112" operator="containsText" text="FIRE">
      <formula>NOT(ISERROR(SEARCH("FIRE",AF79)))</formula>
    </cfRule>
    <cfRule type="containsText" dxfId="8391" priority="9113" operator="containsText" text="COSH">
      <formula>NOT(ISERROR(SEARCH("COSH",AF79)))</formula>
    </cfRule>
  </conditionalFormatting>
  <conditionalFormatting sqref="AG79:AG83">
    <cfRule type="containsText" dxfId="8390" priority="9108" operator="containsText" text="FAT">
      <formula>NOT(ISERROR(SEARCH("FAT",AG79)))</formula>
    </cfRule>
    <cfRule type="containsText" dxfId="8389" priority="9109" operator="containsText" text="FIRE">
      <formula>NOT(ISERROR(SEARCH("FIRE",AG79)))</formula>
    </cfRule>
    <cfRule type="containsText" dxfId="8388" priority="9110" operator="containsText" text="COSH">
      <formula>NOT(ISERROR(SEARCH("COSH",AG79)))</formula>
    </cfRule>
  </conditionalFormatting>
  <conditionalFormatting sqref="AH79:AH83">
    <cfRule type="containsText" dxfId="8387" priority="9105" operator="containsText" text="FAT">
      <formula>NOT(ISERROR(SEARCH("FAT",AH79)))</formula>
    </cfRule>
    <cfRule type="containsText" dxfId="8386" priority="9106" operator="containsText" text="FIRE">
      <formula>NOT(ISERROR(SEARCH("FIRE",AH79)))</formula>
    </cfRule>
    <cfRule type="containsText" dxfId="8385" priority="9107" operator="containsText" text="COSH">
      <formula>NOT(ISERROR(SEARCH("COSH",AH79)))</formula>
    </cfRule>
  </conditionalFormatting>
  <conditionalFormatting sqref="AF79:AG83">
    <cfRule type="containsText" dxfId="8384" priority="9102" operator="containsText" text="FAT">
      <formula>NOT(ISERROR(SEARCH("FAT",AF79)))</formula>
    </cfRule>
    <cfRule type="containsText" dxfId="8383" priority="9103" operator="containsText" text="FIRE">
      <formula>NOT(ISERROR(SEARCH("FIRE",AF79)))</formula>
    </cfRule>
    <cfRule type="containsText" dxfId="8382" priority="9104" operator="containsText" text="COSH">
      <formula>NOT(ISERROR(SEARCH("COSH",AF79)))</formula>
    </cfRule>
  </conditionalFormatting>
  <conditionalFormatting sqref="AF79:AG83">
    <cfRule type="containsText" dxfId="8381" priority="9099" operator="containsText" text="FAT">
      <formula>NOT(ISERROR(SEARCH("FAT",AF79)))</formula>
    </cfRule>
    <cfRule type="containsText" dxfId="8380" priority="9100" operator="containsText" text="FIRE">
      <formula>NOT(ISERROR(SEARCH("FIRE",AF79)))</formula>
    </cfRule>
    <cfRule type="containsText" dxfId="8379" priority="9101" operator="containsText" text="COSH">
      <formula>NOT(ISERROR(SEARCH("COSH",AF79)))</formula>
    </cfRule>
  </conditionalFormatting>
  <conditionalFormatting sqref="AF79:AG83">
    <cfRule type="containsText" dxfId="8378" priority="9096" operator="containsText" text="FAT">
      <formula>NOT(ISERROR(SEARCH("FAT",AF79)))</formula>
    </cfRule>
    <cfRule type="containsText" dxfId="8377" priority="9097" operator="containsText" text="FIRE">
      <formula>NOT(ISERROR(SEARCH("FIRE",AF79)))</formula>
    </cfRule>
    <cfRule type="containsText" dxfId="8376" priority="9098" operator="containsText" text="COSH">
      <formula>NOT(ISERROR(SEARCH("COSH",AF79)))</formula>
    </cfRule>
  </conditionalFormatting>
  <conditionalFormatting sqref="AF79:AG83">
    <cfRule type="containsText" dxfId="8375" priority="9093" operator="containsText" text="FAT">
      <formula>NOT(ISERROR(SEARCH("FAT",AF79)))</formula>
    </cfRule>
    <cfRule type="containsText" dxfId="8374" priority="9094" operator="containsText" text="FIRE">
      <formula>NOT(ISERROR(SEARCH("FIRE",AF79)))</formula>
    </cfRule>
    <cfRule type="containsText" dxfId="8373" priority="9095" operator="containsText" text="COSH">
      <formula>NOT(ISERROR(SEARCH("COSH",AF79)))</formula>
    </cfRule>
  </conditionalFormatting>
  <conditionalFormatting sqref="AF79:AG83">
    <cfRule type="containsText" dxfId="8372" priority="9090" operator="containsText" text="FAT">
      <formula>NOT(ISERROR(SEARCH("FAT",AF79)))</formula>
    </cfRule>
    <cfRule type="containsText" dxfId="8371" priority="9091" operator="containsText" text="FIRE">
      <formula>NOT(ISERROR(SEARCH("FIRE",AF79)))</formula>
    </cfRule>
    <cfRule type="containsText" dxfId="8370" priority="9092" operator="containsText" text="COSH">
      <formula>NOT(ISERROR(SEARCH("COSH",AF79)))</formula>
    </cfRule>
  </conditionalFormatting>
  <conditionalFormatting sqref="AF79:AG83">
    <cfRule type="containsText" dxfId="8369" priority="9087" operator="containsText" text="FAT">
      <formula>NOT(ISERROR(SEARCH("FAT",AF79)))</formula>
    </cfRule>
    <cfRule type="containsText" dxfId="8368" priority="9088" operator="containsText" text="FIRE">
      <formula>NOT(ISERROR(SEARCH("FIRE",AF79)))</formula>
    </cfRule>
    <cfRule type="containsText" dxfId="8367" priority="9089" operator="containsText" text="COSH">
      <formula>NOT(ISERROR(SEARCH("COSH",AF79)))</formula>
    </cfRule>
  </conditionalFormatting>
  <conditionalFormatting sqref="AF79:AG83">
    <cfRule type="containsText" dxfId="8366" priority="9084" operator="containsText" text="FAT">
      <formula>NOT(ISERROR(SEARCH("FAT",AF79)))</formula>
    </cfRule>
    <cfRule type="containsText" dxfId="8365" priority="9085" operator="containsText" text="FIRE">
      <formula>NOT(ISERROR(SEARCH("FIRE",AF79)))</formula>
    </cfRule>
    <cfRule type="containsText" dxfId="8364" priority="9086" operator="containsText" text="COSH">
      <formula>NOT(ISERROR(SEARCH("COSH",AF79)))</formula>
    </cfRule>
  </conditionalFormatting>
  <conditionalFormatting sqref="AF79:AG83">
    <cfRule type="containsText" dxfId="8363" priority="9081" operator="containsText" text="FAT">
      <formula>NOT(ISERROR(SEARCH("FAT",AF79)))</formula>
    </cfRule>
    <cfRule type="containsText" dxfId="8362" priority="9082" operator="containsText" text="FIRE">
      <formula>NOT(ISERROR(SEARCH("FIRE",AF79)))</formula>
    </cfRule>
    <cfRule type="containsText" dxfId="8361" priority="9083" operator="containsText" text="COSH">
      <formula>NOT(ISERROR(SEARCH("COSH",AF79)))</formula>
    </cfRule>
  </conditionalFormatting>
  <conditionalFormatting sqref="AF79:AG83">
    <cfRule type="containsText" dxfId="8360" priority="9078" operator="containsText" text="FAT">
      <formula>NOT(ISERROR(SEARCH("FAT",AF79)))</formula>
    </cfRule>
    <cfRule type="containsText" dxfId="8359" priority="9079" operator="containsText" text="FIRE">
      <formula>NOT(ISERROR(SEARCH("FIRE",AF79)))</formula>
    </cfRule>
    <cfRule type="containsText" dxfId="8358" priority="9080" operator="containsText" text="COSH">
      <formula>NOT(ISERROR(SEARCH("COSH",AF79)))</formula>
    </cfRule>
  </conditionalFormatting>
  <conditionalFormatting sqref="AA78:AA83">
    <cfRule type="containsText" dxfId="8357" priority="9075" operator="containsText" text="FAT">
      <formula>NOT(ISERROR(SEARCH("FAT",AA78)))</formula>
    </cfRule>
    <cfRule type="containsText" dxfId="8356" priority="9076" operator="containsText" text="FIRE">
      <formula>NOT(ISERROR(SEARCH("FIRE",AA78)))</formula>
    </cfRule>
    <cfRule type="containsText" dxfId="8355" priority="9077" operator="containsText" text="COSH">
      <formula>NOT(ISERROR(SEARCH("COSH",AA78)))</formula>
    </cfRule>
  </conditionalFormatting>
  <conditionalFormatting sqref="Y82">
    <cfRule type="containsText" dxfId="8354" priority="9072" operator="containsText" text="FAT">
      <formula>NOT(ISERROR(SEARCH("FAT",Y82)))</formula>
    </cfRule>
    <cfRule type="containsText" dxfId="8353" priority="9073" operator="containsText" text="FIRE">
      <formula>NOT(ISERROR(SEARCH("FIRE",Y82)))</formula>
    </cfRule>
    <cfRule type="containsText" dxfId="8352" priority="9074" operator="containsText" text="COSH">
      <formula>NOT(ISERROR(SEARCH("COSH",Y82)))</formula>
    </cfRule>
  </conditionalFormatting>
  <conditionalFormatting sqref="AA78:AA83">
    <cfRule type="containsText" dxfId="8351" priority="9069" operator="containsText" text="FAT">
      <formula>NOT(ISERROR(SEARCH("FAT",AA78)))</formula>
    </cfRule>
    <cfRule type="containsText" dxfId="8350" priority="9070" operator="containsText" text="FIRE">
      <formula>NOT(ISERROR(SEARCH("FIRE",AA78)))</formula>
    </cfRule>
    <cfRule type="containsText" dxfId="8349" priority="9071" operator="containsText" text="COSH">
      <formula>NOT(ISERROR(SEARCH("COSH",AA78)))</formula>
    </cfRule>
  </conditionalFormatting>
  <conditionalFormatting sqref="AA78:AA83">
    <cfRule type="containsText" dxfId="8348" priority="9066" operator="containsText" text="FAT">
      <formula>NOT(ISERROR(SEARCH("FAT",AA78)))</formula>
    </cfRule>
    <cfRule type="containsText" dxfId="8347" priority="9067" operator="containsText" text="FIRE">
      <formula>NOT(ISERROR(SEARCH("FIRE",AA78)))</formula>
    </cfRule>
    <cfRule type="containsText" dxfId="8346" priority="9068" operator="containsText" text="COSH">
      <formula>NOT(ISERROR(SEARCH("COSH",AA78)))</formula>
    </cfRule>
  </conditionalFormatting>
  <conditionalFormatting sqref="Y82">
    <cfRule type="containsText" dxfId="8345" priority="9063" operator="containsText" text="FAT">
      <formula>NOT(ISERROR(SEARCH("FAT",Y82)))</formula>
    </cfRule>
    <cfRule type="containsText" dxfId="8344" priority="9064" operator="containsText" text="FIRE">
      <formula>NOT(ISERROR(SEARCH("FIRE",Y82)))</formula>
    </cfRule>
    <cfRule type="containsText" dxfId="8343" priority="9065" operator="containsText" text="COSH">
      <formula>NOT(ISERROR(SEARCH("COSH",Y82)))</formula>
    </cfRule>
  </conditionalFormatting>
  <conditionalFormatting sqref="AA78:AA83">
    <cfRule type="containsText" dxfId="8342" priority="9060" operator="containsText" text="FAT">
      <formula>NOT(ISERROR(SEARCH("FAT",AA78)))</formula>
    </cfRule>
    <cfRule type="containsText" dxfId="8341" priority="9061" operator="containsText" text="FIRE">
      <formula>NOT(ISERROR(SEARCH("FIRE",AA78)))</formula>
    </cfRule>
    <cfRule type="containsText" dxfId="8340" priority="9062" operator="containsText" text="COSH">
      <formula>NOT(ISERROR(SEARCH("COSH",AA78)))</formula>
    </cfRule>
  </conditionalFormatting>
  <conditionalFormatting sqref="L84:L86">
    <cfRule type="containsText" dxfId="8339" priority="9057" operator="containsText" text="FAT">
      <formula>NOT(ISERROR(SEARCH("FAT",L84)))</formula>
    </cfRule>
    <cfRule type="containsText" dxfId="8338" priority="9058" operator="containsText" text="FIRE">
      <formula>NOT(ISERROR(SEARCH("FIRE",L84)))</formula>
    </cfRule>
    <cfRule type="containsText" dxfId="8337" priority="9059" operator="containsText" text="COSH">
      <formula>NOT(ISERROR(SEARCH("COSH",L84)))</formula>
    </cfRule>
  </conditionalFormatting>
  <conditionalFormatting sqref="M84:M86">
    <cfRule type="containsText" dxfId="8336" priority="9054" operator="containsText" text="FAT">
      <formula>NOT(ISERROR(SEARCH("FAT",M84)))</formula>
    </cfRule>
    <cfRule type="containsText" dxfId="8335" priority="9055" operator="containsText" text="FIRE">
      <formula>NOT(ISERROR(SEARCH("FIRE",M84)))</formula>
    </cfRule>
    <cfRule type="containsText" dxfId="8334" priority="9056" operator="containsText" text="COSH">
      <formula>NOT(ISERROR(SEARCH("COSH",M84)))</formula>
    </cfRule>
  </conditionalFormatting>
  <conditionalFormatting sqref="AA84:AA86">
    <cfRule type="containsText" dxfId="8333" priority="9051" operator="containsText" text="FAT">
      <formula>NOT(ISERROR(SEARCH("FAT",AA84)))</formula>
    </cfRule>
    <cfRule type="containsText" dxfId="8332" priority="9052" operator="containsText" text="FIRE">
      <formula>NOT(ISERROR(SEARCH("FIRE",AA84)))</formula>
    </cfRule>
    <cfRule type="containsText" dxfId="8331" priority="9053" operator="containsText" text="COSH">
      <formula>NOT(ISERROR(SEARCH("COSH",AA84)))</formula>
    </cfRule>
  </conditionalFormatting>
  <conditionalFormatting sqref="AA84:AA86">
    <cfRule type="containsText" dxfId="8330" priority="9048" operator="containsText" text="FAT">
      <formula>NOT(ISERROR(SEARCH("FAT",AA84)))</formula>
    </cfRule>
    <cfRule type="containsText" dxfId="8329" priority="9049" operator="containsText" text="FIRE">
      <formula>NOT(ISERROR(SEARCH("FIRE",AA84)))</formula>
    </cfRule>
    <cfRule type="containsText" dxfId="8328" priority="9050" operator="containsText" text="COSH">
      <formula>NOT(ISERROR(SEARCH("COSH",AA84)))</formula>
    </cfRule>
  </conditionalFormatting>
  <conditionalFormatting sqref="AA84:AA86">
    <cfRule type="containsText" dxfId="8327" priority="9045" operator="containsText" text="FAT">
      <formula>NOT(ISERROR(SEARCH("FAT",AA84)))</formula>
    </cfRule>
    <cfRule type="containsText" dxfId="8326" priority="9046" operator="containsText" text="FIRE">
      <formula>NOT(ISERROR(SEARCH("FIRE",AA84)))</formula>
    </cfRule>
    <cfRule type="containsText" dxfId="8325" priority="9047" operator="containsText" text="COSH">
      <formula>NOT(ISERROR(SEARCH("COSH",AA84)))</formula>
    </cfRule>
  </conditionalFormatting>
  <conditionalFormatting sqref="L87">
    <cfRule type="containsText" dxfId="8324" priority="9042" operator="containsText" text="FAT">
      <formula>NOT(ISERROR(SEARCH("FAT",L87)))</formula>
    </cfRule>
    <cfRule type="containsText" dxfId="8323" priority="9043" operator="containsText" text="FIRE">
      <formula>NOT(ISERROR(SEARCH("FIRE",L87)))</formula>
    </cfRule>
    <cfRule type="containsText" dxfId="8322" priority="9044" operator="containsText" text="COSH">
      <formula>NOT(ISERROR(SEARCH("COSH",L87)))</formula>
    </cfRule>
  </conditionalFormatting>
  <conditionalFormatting sqref="M87">
    <cfRule type="containsText" dxfId="8321" priority="9039" operator="containsText" text="FAT">
      <formula>NOT(ISERROR(SEARCH("FAT",M87)))</formula>
    </cfRule>
    <cfRule type="containsText" dxfId="8320" priority="9040" operator="containsText" text="FIRE">
      <formula>NOT(ISERROR(SEARCH("FIRE",M87)))</formula>
    </cfRule>
    <cfRule type="containsText" dxfId="8319" priority="9041" operator="containsText" text="COSH">
      <formula>NOT(ISERROR(SEARCH("COSH",M87)))</formula>
    </cfRule>
  </conditionalFormatting>
  <conditionalFormatting sqref="AA87">
    <cfRule type="containsText" dxfId="8318" priority="9036" operator="containsText" text="FAT">
      <formula>NOT(ISERROR(SEARCH("FAT",AA87)))</formula>
    </cfRule>
    <cfRule type="containsText" dxfId="8317" priority="9037" operator="containsText" text="FIRE">
      <formula>NOT(ISERROR(SEARCH("FIRE",AA87)))</formula>
    </cfRule>
    <cfRule type="containsText" dxfId="8316" priority="9038" operator="containsText" text="COSH">
      <formula>NOT(ISERROR(SEARCH("COSH",AA87)))</formula>
    </cfRule>
  </conditionalFormatting>
  <conditionalFormatting sqref="AA87">
    <cfRule type="containsText" dxfId="8315" priority="9033" operator="containsText" text="FAT">
      <formula>NOT(ISERROR(SEARCH("FAT",AA87)))</formula>
    </cfRule>
    <cfRule type="containsText" dxfId="8314" priority="9034" operator="containsText" text="FIRE">
      <formula>NOT(ISERROR(SEARCH("FIRE",AA87)))</formula>
    </cfRule>
    <cfRule type="containsText" dxfId="8313" priority="9035" operator="containsText" text="COSH">
      <formula>NOT(ISERROR(SEARCH("COSH",AA87)))</formula>
    </cfRule>
  </conditionalFormatting>
  <conditionalFormatting sqref="AA87">
    <cfRule type="containsText" dxfId="8312" priority="9030" operator="containsText" text="FAT">
      <formula>NOT(ISERROR(SEARCH("FAT",AA87)))</formula>
    </cfRule>
    <cfRule type="containsText" dxfId="8311" priority="9031" operator="containsText" text="FIRE">
      <formula>NOT(ISERROR(SEARCH("FIRE",AA87)))</formula>
    </cfRule>
    <cfRule type="containsText" dxfId="8310" priority="9032" operator="containsText" text="COSH">
      <formula>NOT(ISERROR(SEARCH("COSH",AA87)))</formula>
    </cfRule>
  </conditionalFormatting>
  <conditionalFormatting sqref="R84:R87 S86:W86">
    <cfRule type="containsText" dxfId="8309" priority="9027" operator="containsText" text="FAT">
      <formula>NOT(ISERROR(SEARCH("FAT",R84)))</formula>
    </cfRule>
    <cfRule type="containsText" dxfId="8308" priority="9028" operator="containsText" text="FIRE">
      <formula>NOT(ISERROR(SEARCH("FIRE",R84)))</formula>
    </cfRule>
    <cfRule type="containsText" dxfId="8307" priority="9029" operator="containsText" text="COSH">
      <formula>NOT(ISERROR(SEARCH("COSH",R84)))</formula>
    </cfRule>
  </conditionalFormatting>
  <conditionalFormatting sqref="S84:S87">
    <cfRule type="containsText" dxfId="8306" priority="9024" operator="containsText" text="FAT">
      <formula>NOT(ISERROR(SEARCH("FAT",S84)))</formula>
    </cfRule>
    <cfRule type="containsText" dxfId="8305" priority="9025" operator="containsText" text="FIRE">
      <formula>NOT(ISERROR(SEARCH("FIRE",S84)))</formula>
    </cfRule>
    <cfRule type="containsText" dxfId="8304" priority="9026" operator="containsText" text="COSH">
      <formula>NOT(ISERROR(SEARCH("COSH",S84)))</formula>
    </cfRule>
  </conditionalFormatting>
  <conditionalFormatting sqref="T84:T87">
    <cfRule type="containsText" dxfId="8303" priority="9021" operator="containsText" text="FAT">
      <formula>NOT(ISERROR(SEARCH("FAT",T84)))</formula>
    </cfRule>
    <cfRule type="containsText" dxfId="8302" priority="9022" operator="containsText" text="FIRE">
      <formula>NOT(ISERROR(SEARCH("FIRE",T84)))</formula>
    </cfRule>
    <cfRule type="containsText" dxfId="8301" priority="9023" operator="containsText" text="COSH">
      <formula>NOT(ISERROR(SEARCH("COSH",T84)))</formula>
    </cfRule>
  </conditionalFormatting>
  <conditionalFormatting sqref="R84:R87 S86:W86">
    <cfRule type="containsText" dxfId="8300" priority="9018" operator="containsText" text="FAT">
      <formula>NOT(ISERROR(SEARCH("FAT",R84)))</formula>
    </cfRule>
    <cfRule type="containsText" dxfId="8299" priority="9019" operator="containsText" text="FIRE">
      <formula>NOT(ISERROR(SEARCH("FIRE",R84)))</formula>
    </cfRule>
    <cfRule type="containsText" dxfId="8298" priority="9020" operator="containsText" text="COSH">
      <formula>NOT(ISERROR(SEARCH("COSH",R84)))</formula>
    </cfRule>
  </conditionalFormatting>
  <conditionalFormatting sqref="S84:S87">
    <cfRule type="containsText" dxfId="8297" priority="9015" operator="containsText" text="FAT">
      <formula>NOT(ISERROR(SEARCH("FAT",S84)))</formula>
    </cfRule>
    <cfRule type="containsText" dxfId="8296" priority="9016" operator="containsText" text="FIRE">
      <formula>NOT(ISERROR(SEARCH("FIRE",S84)))</formula>
    </cfRule>
    <cfRule type="containsText" dxfId="8295" priority="9017" operator="containsText" text="COSH">
      <formula>NOT(ISERROR(SEARCH("COSH",S84)))</formula>
    </cfRule>
  </conditionalFormatting>
  <conditionalFormatting sqref="T84:T87">
    <cfRule type="containsText" dxfId="8294" priority="9012" operator="containsText" text="FAT">
      <formula>NOT(ISERROR(SEARCH("FAT",T84)))</formula>
    </cfRule>
    <cfRule type="containsText" dxfId="8293" priority="9013" operator="containsText" text="FIRE">
      <formula>NOT(ISERROR(SEARCH("FIRE",T84)))</formula>
    </cfRule>
    <cfRule type="containsText" dxfId="8292" priority="9014" operator="containsText" text="COSH">
      <formula>NOT(ISERROR(SEARCH("COSH",T84)))</formula>
    </cfRule>
  </conditionalFormatting>
  <conditionalFormatting sqref="R84:S87 T86:W86">
    <cfRule type="containsText" dxfId="8291" priority="9009" operator="containsText" text="FAT">
      <formula>NOT(ISERROR(SEARCH("FAT",R84)))</formula>
    </cfRule>
    <cfRule type="containsText" dxfId="8290" priority="9010" operator="containsText" text="FIRE">
      <formula>NOT(ISERROR(SEARCH("FIRE",R84)))</formula>
    </cfRule>
    <cfRule type="containsText" dxfId="8289" priority="9011" operator="containsText" text="COSH">
      <formula>NOT(ISERROR(SEARCH("COSH",R84)))</formula>
    </cfRule>
  </conditionalFormatting>
  <conditionalFormatting sqref="R84:S87 T86:W86">
    <cfRule type="containsText" dxfId="8288" priority="9006" operator="containsText" text="FAT">
      <formula>NOT(ISERROR(SEARCH("FAT",R84)))</formula>
    </cfRule>
    <cfRule type="containsText" dxfId="8287" priority="9007" operator="containsText" text="FIRE">
      <formula>NOT(ISERROR(SEARCH("FIRE",R84)))</formula>
    </cfRule>
    <cfRule type="containsText" dxfId="8286" priority="9008" operator="containsText" text="COSH">
      <formula>NOT(ISERROR(SEARCH("COSH",R84)))</formula>
    </cfRule>
  </conditionalFormatting>
  <conditionalFormatting sqref="R84:S87 T86:W86">
    <cfRule type="containsText" dxfId="8285" priority="9003" operator="containsText" text="FAT">
      <formula>NOT(ISERROR(SEARCH("FAT",R84)))</formula>
    </cfRule>
    <cfRule type="containsText" dxfId="8284" priority="9004" operator="containsText" text="FIRE">
      <formula>NOT(ISERROR(SEARCH("FIRE",R84)))</formula>
    </cfRule>
    <cfRule type="containsText" dxfId="8283" priority="9005" operator="containsText" text="COSH">
      <formula>NOT(ISERROR(SEARCH("COSH",R84)))</formula>
    </cfRule>
  </conditionalFormatting>
  <conditionalFormatting sqref="R84:S87 T86:W86">
    <cfRule type="containsText" dxfId="8282" priority="9000" operator="containsText" text="FAT">
      <formula>NOT(ISERROR(SEARCH("FAT",R84)))</formula>
    </cfRule>
    <cfRule type="containsText" dxfId="8281" priority="9001" operator="containsText" text="FIRE">
      <formula>NOT(ISERROR(SEARCH("FIRE",R84)))</formula>
    </cfRule>
    <cfRule type="containsText" dxfId="8280" priority="9002" operator="containsText" text="COSH">
      <formula>NOT(ISERROR(SEARCH("COSH",R84)))</formula>
    </cfRule>
  </conditionalFormatting>
  <conditionalFormatting sqref="R84:S87 T86:W86">
    <cfRule type="containsText" dxfId="8279" priority="8997" operator="containsText" text="FAT">
      <formula>NOT(ISERROR(SEARCH("FAT",R84)))</formula>
    </cfRule>
    <cfRule type="containsText" dxfId="8278" priority="8998" operator="containsText" text="FIRE">
      <formula>NOT(ISERROR(SEARCH("FIRE",R84)))</formula>
    </cfRule>
    <cfRule type="containsText" dxfId="8277" priority="8999" operator="containsText" text="COSH">
      <formula>NOT(ISERROR(SEARCH("COSH",R84)))</formula>
    </cfRule>
  </conditionalFormatting>
  <conditionalFormatting sqref="R84:S87 T86:W86">
    <cfRule type="containsText" dxfId="8276" priority="8994" operator="containsText" text="FAT">
      <formula>NOT(ISERROR(SEARCH("FAT",R84)))</formula>
    </cfRule>
    <cfRule type="containsText" dxfId="8275" priority="8995" operator="containsText" text="FIRE">
      <formula>NOT(ISERROR(SEARCH("FIRE",R84)))</formula>
    </cfRule>
    <cfRule type="containsText" dxfId="8274" priority="8996" operator="containsText" text="COSH">
      <formula>NOT(ISERROR(SEARCH("COSH",R84)))</formula>
    </cfRule>
  </conditionalFormatting>
  <conditionalFormatting sqref="R84:S87 T86:W86">
    <cfRule type="containsText" dxfId="8273" priority="8991" operator="containsText" text="FAT">
      <formula>NOT(ISERROR(SEARCH("FAT",R84)))</formula>
    </cfRule>
    <cfRule type="containsText" dxfId="8272" priority="8992" operator="containsText" text="FIRE">
      <formula>NOT(ISERROR(SEARCH("FIRE",R84)))</formula>
    </cfRule>
    <cfRule type="containsText" dxfId="8271" priority="8993" operator="containsText" text="COSH">
      <formula>NOT(ISERROR(SEARCH("COSH",R84)))</formula>
    </cfRule>
  </conditionalFormatting>
  <conditionalFormatting sqref="R84:S87 T86:W86">
    <cfRule type="containsText" dxfId="8270" priority="8988" operator="containsText" text="FAT">
      <formula>NOT(ISERROR(SEARCH("FAT",R84)))</formula>
    </cfRule>
    <cfRule type="containsText" dxfId="8269" priority="8989" operator="containsText" text="FIRE">
      <formula>NOT(ISERROR(SEARCH("FIRE",R84)))</formula>
    </cfRule>
    <cfRule type="containsText" dxfId="8268" priority="8990" operator="containsText" text="COSH">
      <formula>NOT(ISERROR(SEARCH("COSH",R84)))</formula>
    </cfRule>
  </conditionalFormatting>
  <conditionalFormatting sqref="R84:S87 T86:W86">
    <cfRule type="containsText" dxfId="8267" priority="8985" operator="containsText" text="FAT">
      <formula>NOT(ISERROR(SEARCH("FAT",R84)))</formula>
    </cfRule>
    <cfRule type="containsText" dxfId="8266" priority="8986" operator="containsText" text="FIRE">
      <formula>NOT(ISERROR(SEARCH("FIRE",R84)))</formula>
    </cfRule>
    <cfRule type="containsText" dxfId="8265" priority="8987" operator="containsText" text="COSH">
      <formula>NOT(ISERROR(SEARCH("COSH",R84)))</formula>
    </cfRule>
  </conditionalFormatting>
  <conditionalFormatting sqref="AF84:AF87">
    <cfRule type="containsText" dxfId="8264" priority="8982" operator="containsText" text="FAT">
      <formula>NOT(ISERROR(SEARCH("FAT",AF84)))</formula>
    </cfRule>
    <cfRule type="containsText" dxfId="8263" priority="8983" operator="containsText" text="FIRE">
      <formula>NOT(ISERROR(SEARCH("FIRE",AF84)))</formula>
    </cfRule>
    <cfRule type="containsText" dxfId="8262" priority="8984" operator="containsText" text="COSH">
      <formula>NOT(ISERROR(SEARCH("COSH",AF84)))</formula>
    </cfRule>
  </conditionalFormatting>
  <conditionalFormatting sqref="AG84:AG87">
    <cfRule type="containsText" dxfId="8261" priority="8979" operator="containsText" text="FAT">
      <formula>NOT(ISERROR(SEARCH("FAT",AG84)))</formula>
    </cfRule>
    <cfRule type="containsText" dxfId="8260" priority="8980" operator="containsText" text="FIRE">
      <formula>NOT(ISERROR(SEARCH("FIRE",AG84)))</formula>
    </cfRule>
    <cfRule type="containsText" dxfId="8259" priority="8981" operator="containsText" text="COSH">
      <formula>NOT(ISERROR(SEARCH("COSH",AG84)))</formula>
    </cfRule>
  </conditionalFormatting>
  <conditionalFormatting sqref="AH84:AH87">
    <cfRule type="containsText" dxfId="8258" priority="8976" operator="containsText" text="FAT">
      <formula>NOT(ISERROR(SEARCH("FAT",AH84)))</formula>
    </cfRule>
    <cfRule type="containsText" dxfId="8257" priority="8977" operator="containsText" text="FIRE">
      <formula>NOT(ISERROR(SEARCH("FIRE",AH84)))</formula>
    </cfRule>
    <cfRule type="containsText" dxfId="8256" priority="8978" operator="containsText" text="COSH">
      <formula>NOT(ISERROR(SEARCH("COSH",AH84)))</formula>
    </cfRule>
  </conditionalFormatting>
  <conditionalFormatting sqref="AG84:AG87">
    <cfRule type="containsText" dxfId="8255" priority="8973" operator="containsText" text="FAT">
      <formula>NOT(ISERROR(SEARCH("FAT",AG84)))</formula>
    </cfRule>
    <cfRule type="containsText" dxfId="8254" priority="8974" operator="containsText" text="FIRE">
      <formula>NOT(ISERROR(SEARCH("FIRE",AG84)))</formula>
    </cfRule>
    <cfRule type="containsText" dxfId="8253" priority="8975" operator="containsText" text="COSH">
      <formula>NOT(ISERROR(SEARCH("COSH",AG84)))</formula>
    </cfRule>
  </conditionalFormatting>
  <conditionalFormatting sqref="AH84:AH87">
    <cfRule type="containsText" dxfId="8252" priority="8970" operator="containsText" text="FAT">
      <formula>NOT(ISERROR(SEARCH("FAT",AH84)))</formula>
    </cfRule>
    <cfRule type="containsText" dxfId="8251" priority="8971" operator="containsText" text="FIRE">
      <formula>NOT(ISERROR(SEARCH("FIRE",AH84)))</formula>
    </cfRule>
    <cfRule type="containsText" dxfId="8250" priority="8972" operator="containsText" text="COSH">
      <formula>NOT(ISERROR(SEARCH("COSH",AH84)))</formula>
    </cfRule>
  </conditionalFormatting>
  <conditionalFormatting sqref="AF84:AF87">
    <cfRule type="containsText" dxfId="8249" priority="8967" operator="containsText" text="FAT">
      <formula>NOT(ISERROR(SEARCH("FAT",AF84)))</formula>
    </cfRule>
    <cfRule type="containsText" dxfId="8248" priority="8968" operator="containsText" text="FIRE">
      <formula>NOT(ISERROR(SEARCH("FIRE",AF84)))</formula>
    </cfRule>
    <cfRule type="containsText" dxfId="8247" priority="8969" operator="containsText" text="COSH">
      <formula>NOT(ISERROR(SEARCH("COSH",AF84)))</formula>
    </cfRule>
  </conditionalFormatting>
  <conditionalFormatting sqref="AG84:AG87">
    <cfRule type="containsText" dxfId="8246" priority="8964" operator="containsText" text="FAT">
      <formula>NOT(ISERROR(SEARCH("FAT",AG84)))</formula>
    </cfRule>
    <cfRule type="containsText" dxfId="8245" priority="8965" operator="containsText" text="FIRE">
      <formula>NOT(ISERROR(SEARCH("FIRE",AG84)))</formula>
    </cfRule>
    <cfRule type="containsText" dxfId="8244" priority="8966" operator="containsText" text="COSH">
      <formula>NOT(ISERROR(SEARCH("COSH",AG84)))</formula>
    </cfRule>
  </conditionalFormatting>
  <conditionalFormatting sqref="AH84:AH87">
    <cfRule type="containsText" dxfId="8243" priority="8961" operator="containsText" text="FAT">
      <formula>NOT(ISERROR(SEARCH("FAT",AH84)))</formula>
    </cfRule>
    <cfRule type="containsText" dxfId="8242" priority="8962" operator="containsText" text="FIRE">
      <formula>NOT(ISERROR(SEARCH("FIRE",AH84)))</formula>
    </cfRule>
    <cfRule type="containsText" dxfId="8241" priority="8963" operator="containsText" text="COSH">
      <formula>NOT(ISERROR(SEARCH("COSH",AH84)))</formula>
    </cfRule>
  </conditionalFormatting>
  <conditionalFormatting sqref="AF84:AG87">
    <cfRule type="containsText" dxfId="8240" priority="8958" operator="containsText" text="FAT">
      <formula>NOT(ISERROR(SEARCH("FAT",AF84)))</formula>
    </cfRule>
    <cfRule type="containsText" dxfId="8239" priority="8959" operator="containsText" text="FIRE">
      <formula>NOT(ISERROR(SEARCH("FIRE",AF84)))</formula>
    </cfRule>
    <cfRule type="containsText" dxfId="8238" priority="8960" operator="containsText" text="COSH">
      <formula>NOT(ISERROR(SEARCH("COSH",AF84)))</formula>
    </cfRule>
  </conditionalFormatting>
  <conditionalFormatting sqref="AF84:AG87">
    <cfRule type="containsText" dxfId="8237" priority="8955" operator="containsText" text="FAT">
      <formula>NOT(ISERROR(SEARCH("FAT",AF84)))</formula>
    </cfRule>
    <cfRule type="containsText" dxfId="8236" priority="8956" operator="containsText" text="FIRE">
      <formula>NOT(ISERROR(SEARCH("FIRE",AF84)))</formula>
    </cfRule>
    <cfRule type="containsText" dxfId="8235" priority="8957" operator="containsText" text="COSH">
      <formula>NOT(ISERROR(SEARCH("COSH",AF84)))</formula>
    </cfRule>
  </conditionalFormatting>
  <conditionalFormatting sqref="AF84:AG87">
    <cfRule type="containsText" dxfId="8234" priority="8952" operator="containsText" text="FAT">
      <formula>NOT(ISERROR(SEARCH("FAT",AF84)))</formula>
    </cfRule>
    <cfRule type="containsText" dxfId="8233" priority="8953" operator="containsText" text="FIRE">
      <formula>NOT(ISERROR(SEARCH("FIRE",AF84)))</formula>
    </cfRule>
    <cfRule type="containsText" dxfId="8232" priority="8954" operator="containsText" text="COSH">
      <formula>NOT(ISERROR(SEARCH("COSH",AF84)))</formula>
    </cfRule>
  </conditionalFormatting>
  <conditionalFormatting sqref="AF84:AG87">
    <cfRule type="containsText" dxfId="8231" priority="8949" operator="containsText" text="FAT">
      <formula>NOT(ISERROR(SEARCH("FAT",AF84)))</formula>
    </cfRule>
    <cfRule type="containsText" dxfId="8230" priority="8950" operator="containsText" text="FIRE">
      <formula>NOT(ISERROR(SEARCH("FIRE",AF84)))</formula>
    </cfRule>
    <cfRule type="containsText" dxfId="8229" priority="8951" operator="containsText" text="COSH">
      <formula>NOT(ISERROR(SEARCH("COSH",AF84)))</formula>
    </cfRule>
  </conditionalFormatting>
  <conditionalFormatting sqref="AF84:AG87">
    <cfRule type="containsText" dxfId="8228" priority="8946" operator="containsText" text="FAT">
      <formula>NOT(ISERROR(SEARCH("FAT",AF84)))</formula>
    </cfRule>
    <cfRule type="containsText" dxfId="8227" priority="8947" operator="containsText" text="FIRE">
      <formula>NOT(ISERROR(SEARCH("FIRE",AF84)))</formula>
    </cfRule>
    <cfRule type="containsText" dxfId="8226" priority="8948" operator="containsText" text="COSH">
      <formula>NOT(ISERROR(SEARCH("COSH",AF84)))</formula>
    </cfRule>
  </conditionalFormatting>
  <conditionalFormatting sqref="AF84:AG87">
    <cfRule type="containsText" dxfId="8225" priority="8943" operator="containsText" text="FAT">
      <formula>NOT(ISERROR(SEARCH("FAT",AF84)))</formula>
    </cfRule>
    <cfRule type="containsText" dxfId="8224" priority="8944" operator="containsText" text="FIRE">
      <formula>NOT(ISERROR(SEARCH("FIRE",AF84)))</formula>
    </cfRule>
    <cfRule type="containsText" dxfId="8223" priority="8945" operator="containsText" text="COSH">
      <formula>NOT(ISERROR(SEARCH("COSH",AF84)))</formula>
    </cfRule>
  </conditionalFormatting>
  <conditionalFormatting sqref="AF84:AG87">
    <cfRule type="containsText" dxfId="8222" priority="8940" operator="containsText" text="FAT">
      <formula>NOT(ISERROR(SEARCH("FAT",AF84)))</formula>
    </cfRule>
    <cfRule type="containsText" dxfId="8221" priority="8941" operator="containsText" text="FIRE">
      <formula>NOT(ISERROR(SEARCH("FIRE",AF84)))</formula>
    </cfRule>
    <cfRule type="containsText" dxfId="8220" priority="8942" operator="containsText" text="COSH">
      <formula>NOT(ISERROR(SEARCH("COSH",AF84)))</formula>
    </cfRule>
  </conditionalFormatting>
  <conditionalFormatting sqref="AF84:AG87">
    <cfRule type="containsText" dxfId="8219" priority="8937" operator="containsText" text="FAT">
      <formula>NOT(ISERROR(SEARCH("FAT",AF84)))</formula>
    </cfRule>
    <cfRule type="containsText" dxfId="8218" priority="8938" operator="containsText" text="FIRE">
      <formula>NOT(ISERROR(SEARCH("FIRE",AF84)))</formula>
    </cfRule>
    <cfRule type="containsText" dxfId="8217" priority="8939" operator="containsText" text="COSH">
      <formula>NOT(ISERROR(SEARCH("COSH",AF84)))</formula>
    </cfRule>
  </conditionalFormatting>
  <conditionalFormatting sqref="AF84:AG87">
    <cfRule type="containsText" dxfId="8216" priority="8934" operator="containsText" text="FAT">
      <formula>NOT(ISERROR(SEARCH("FAT",AF84)))</formula>
    </cfRule>
    <cfRule type="containsText" dxfId="8215" priority="8935" operator="containsText" text="FIRE">
      <formula>NOT(ISERROR(SEARCH("FIRE",AF84)))</formula>
    </cfRule>
    <cfRule type="containsText" dxfId="8214" priority="8936" operator="containsText" text="COSH">
      <formula>NOT(ISERROR(SEARCH("COSH",AF84)))</formula>
    </cfRule>
  </conditionalFormatting>
  <conditionalFormatting sqref="K87">
    <cfRule type="containsText" dxfId="8213" priority="8931" operator="containsText" text="FAT">
      <formula>NOT(ISERROR(SEARCH("FAT",K87)))</formula>
    </cfRule>
    <cfRule type="containsText" dxfId="8212" priority="8932" operator="containsText" text="FIRE">
      <formula>NOT(ISERROR(SEARCH("FIRE",K87)))</formula>
    </cfRule>
    <cfRule type="containsText" dxfId="8211" priority="8933" operator="containsText" text="COSH">
      <formula>NOT(ISERROR(SEARCH("COSH",K87)))</formula>
    </cfRule>
  </conditionalFormatting>
  <conditionalFormatting sqref="K87">
    <cfRule type="containsText" dxfId="8210" priority="8928" operator="containsText" text="FAT">
      <formula>NOT(ISERROR(SEARCH("FAT",K87)))</formula>
    </cfRule>
    <cfRule type="containsText" dxfId="8209" priority="8929" operator="containsText" text="FIRE">
      <formula>NOT(ISERROR(SEARCH("FIRE",K87)))</formula>
    </cfRule>
    <cfRule type="containsText" dxfId="8208" priority="8930" operator="containsText" text="COSH">
      <formula>NOT(ISERROR(SEARCH("COSH",K87)))</formula>
    </cfRule>
  </conditionalFormatting>
  <conditionalFormatting sqref="K87">
    <cfRule type="containsText" dxfId="8207" priority="8925" operator="containsText" text="FAT">
      <formula>NOT(ISERROR(SEARCH("FAT",K87)))</formula>
    </cfRule>
    <cfRule type="containsText" dxfId="8206" priority="8926" operator="containsText" text="FIRE">
      <formula>NOT(ISERROR(SEARCH("FIRE",K87)))</formula>
    </cfRule>
    <cfRule type="containsText" dxfId="8205" priority="8927" operator="containsText" text="COSH">
      <formula>NOT(ISERROR(SEARCH("COSH",K87)))</formula>
    </cfRule>
  </conditionalFormatting>
  <conditionalFormatting sqref="K87">
    <cfRule type="containsText" dxfId="8204" priority="8922" operator="containsText" text="FAT">
      <formula>NOT(ISERROR(SEARCH("FAT",K87)))</formula>
    </cfRule>
    <cfRule type="containsText" dxfId="8203" priority="8923" operator="containsText" text="FIRE">
      <formula>NOT(ISERROR(SEARCH("FIRE",K87)))</formula>
    </cfRule>
    <cfRule type="containsText" dxfId="8202" priority="8924" operator="containsText" text="COSH">
      <formula>NOT(ISERROR(SEARCH("COSH",K87)))</formula>
    </cfRule>
  </conditionalFormatting>
  <conditionalFormatting sqref="K87">
    <cfRule type="containsText" dxfId="8201" priority="8919" operator="containsText" text="FAT">
      <formula>NOT(ISERROR(SEARCH("FAT",K87)))</formula>
    </cfRule>
    <cfRule type="containsText" dxfId="8200" priority="8920" operator="containsText" text="FIRE">
      <formula>NOT(ISERROR(SEARCH("FIRE",K87)))</formula>
    </cfRule>
    <cfRule type="containsText" dxfId="8199" priority="8921" operator="containsText" text="COSH">
      <formula>NOT(ISERROR(SEARCH("COSH",K87)))</formula>
    </cfRule>
  </conditionalFormatting>
  <conditionalFormatting sqref="K87">
    <cfRule type="containsText" dxfId="8198" priority="8916" operator="containsText" text="FAT">
      <formula>NOT(ISERROR(SEARCH("FAT",K87)))</formula>
    </cfRule>
    <cfRule type="containsText" dxfId="8197" priority="8917" operator="containsText" text="FIRE">
      <formula>NOT(ISERROR(SEARCH("FIRE",K87)))</formula>
    </cfRule>
    <cfRule type="containsText" dxfId="8196" priority="8918" operator="containsText" text="COSH">
      <formula>NOT(ISERROR(SEARCH("COSH",K87)))</formula>
    </cfRule>
  </conditionalFormatting>
  <conditionalFormatting sqref="K87">
    <cfRule type="containsText" dxfId="8195" priority="8913" operator="containsText" text="FAT">
      <formula>NOT(ISERROR(SEARCH("FAT",K87)))</formula>
    </cfRule>
    <cfRule type="containsText" dxfId="8194" priority="8914" operator="containsText" text="FIRE">
      <formula>NOT(ISERROR(SEARCH("FIRE",K87)))</formula>
    </cfRule>
    <cfRule type="containsText" dxfId="8193" priority="8915" operator="containsText" text="COSH">
      <formula>NOT(ISERROR(SEARCH("COSH",K87)))</formula>
    </cfRule>
  </conditionalFormatting>
  <conditionalFormatting sqref="K87">
    <cfRule type="containsText" dxfId="8192" priority="8910" operator="containsText" text="FAT">
      <formula>NOT(ISERROR(SEARCH("FAT",K87)))</formula>
    </cfRule>
    <cfRule type="containsText" dxfId="8191" priority="8911" operator="containsText" text="FIRE">
      <formula>NOT(ISERROR(SEARCH("FIRE",K87)))</formula>
    </cfRule>
    <cfRule type="containsText" dxfId="8190" priority="8912" operator="containsText" text="COSH">
      <formula>NOT(ISERROR(SEARCH("COSH",K87)))</formula>
    </cfRule>
  </conditionalFormatting>
  <conditionalFormatting sqref="K87">
    <cfRule type="containsText" dxfId="8189" priority="8907" operator="containsText" text="FAT">
      <formula>NOT(ISERROR(SEARCH("FAT",K87)))</formula>
    </cfRule>
    <cfRule type="containsText" dxfId="8188" priority="8908" operator="containsText" text="FIRE">
      <formula>NOT(ISERROR(SEARCH("FIRE",K87)))</formula>
    </cfRule>
    <cfRule type="containsText" dxfId="8187" priority="8909" operator="containsText" text="COSH">
      <formula>NOT(ISERROR(SEARCH("COSH",K87)))</formula>
    </cfRule>
  </conditionalFormatting>
  <conditionalFormatting sqref="K87">
    <cfRule type="containsText" dxfId="8186" priority="8904" operator="containsText" text="FAT">
      <formula>NOT(ISERROR(SEARCH("FAT",K87)))</formula>
    </cfRule>
    <cfRule type="containsText" dxfId="8185" priority="8905" operator="containsText" text="FIRE">
      <formula>NOT(ISERROR(SEARCH("FIRE",K87)))</formula>
    </cfRule>
    <cfRule type="containsText" dxfId="8184" priority="8906" operator="containsText" text="COSH">
      <formula>NOT(ISERROR(SEARCH("COSH",K87)))</formula>
    </cfRule>
  </conditionalFormatting>
  <conditionalFormatting sqref="K87">
    <cfRule type="containsText" dxfId="8183" priority="8901" operator="containsText" text="FAT">
      <formula>NOT(ISERROR(SEARCH("FAT",K87)))</formula>
    </cfRule>
    <cfRule type="containsText" dxfId="8182" priority="8902" operator="containsText" text="FIRE">
      <formula>NOT(ISERROR(SEARCH("FIRE",K87)))</formula>
    </cfRule>
    <cfRule type="containsText" dxfId="8181" priority="8903" operator="containsText" text="COSH">
      <formula>NOT(ISERROR(SEARCH("COSH",K87)))</formula>
    </cfRule>
  </conditionalFormatting>
  <conditionalFormatting sqref="AK11:AK17">
    <cfRule type="containsText" dxfId="8180" priority="8898" operator="containsText" text="FAT">
      <formula>NOT(ISERROR(SEARCH("FAT",AK11)))</formula>
    </cfRule>
    <cfRule type="containsText" dxfId="8179" priority="8899" operator="containsText" text="FIRE">
      <formula>NOT(ISERROR(SEARCH("FIRE",AK11)))</formula>
    </cfRule>
    <cfRule type="containsText" dxfId="8178" priority="8900" operator="containsText" text="COSH">
      <formula>NOT(ISERROR(SEARCH("COSH",AK11)))</formula>
    </cfRule>
  </conditionalFormatting>
  <conditionalFormatting sqref="AK11:AK17">
    <cfRule type="cellIs" dxfId="8177" priority="8897" operator="between">
      <formula>1</formula>
      <formula>3</formula>
    </cfRule>
  </conditionalFormatting>
  <conditionalFormatting sqref="AK19:AK22 AK27:AK33">
    <cfRule type="containsText" dxfId="8176" priority="8894" operator="containsText" text="FAT">
      <formula>NOT(ISERROR(SEARCH("FAT",AK19)))</formula>
    </cfRule>
    <cfRule type="containsText" dxfId="8175" priority="8895" operator="containsText" text="FIRE">
      <formula>NOT(ISERROR(SEARCH("FIRE",AK19)))</formula>
    </cfRule>
    <cfRule type="containsText" dxfId="8174" priority="8896" operator="containsText" text="COSH">
      <formula>NOT(ISERROR(SEARCH("COSH",AK19)))</formula>
    </cfRule>
  </conditionalFormatting>
  <conditionalFormatting sqref="AA94">
    <cfRule type="containsText" dxfId="8173" priority="8891" operator="containsText" text="FAT">
      <formula>NOT(ISERROR(SEARCH("FAT",AA94)))</formula>
    </cfRule>
    <cfRule type="containsText" dxfId="8172" priority="8892" operator="containsText" text="FIRE">
      <formula>NOT(ISERROR(SEARCH("FIRE",AA94)))</formula>
    </cfRule>
    <cfRule type="containsText" dxfId="8171" priority="8893" operator="containsText" text="COSH">
      <formula>NOT(ISERROR(SEARCH("COSH",AA94)))</formula>
    </cfRule>
  </conditionalFormatting>
  <conditionalFormatting sqref="AA94">
    <cfRule type="containsText" dxfId="8170" priority="8888" operator="containsText" text="FAT">
      <formula>NOT(ISERROR(SEARCH("FAT",AA94)))</formula>
    </cfRule>
    <cfRule type="containsText" dxfId="8169" priority="8889" operator="containsText" text="FIRE">
      <formula>NOT(ISERROR(SEARCH("FIRE",AA94)))</formula>
    </cfRule>
    <cfRule type="containsText" dxfId="8168" priority="8890" operator="containsText" text="COSH">
      <formula>NOT(ISERROR(SEARCH("COSH",AA94)))</formula>
    </cfRule>
  </conditionalFormatting>
  <conditionalFormatting sqref="AA94">
    <cfRule type="containsText" dxfId="8167" priority="8885" operator="containsText" text="FAT">
      <formula>NOT(ISERROR(SEARCH("FAT",AA94)))</formula>
    </cfRule>
    <cfRule type="containsText" dxfId="8166" priority="8886" operator="containsText" text="FIRE">
      <formula>NOT(ISERROR(SEARCH("FIRE",AA94)))</formula>
    </cfRule>
    <cfRule type="containsText" dxfId="8165" priority="8887" operator="containsText" text="COSH">
      <formula>NOT(ISERROR(SEARCH("COSH",AA94)))</formula>
    </cfRule>
  </conditionalFormatting>
  <conditionalFormatting sqref="AA94">
    <cfRule type="containsText" dxfId="8164" priority="8882" operator="containsText" text="FAT">
      <formula>NOT(ISERROR(SEARCH("FAT",AA94)))</formula>
    </cfRule>
    <cfRule type="containsText" dxfId="8163" priority="8883" operator="containsText" text="FIRE">
      <formula>NOT(ISERROR(SEARCH("FIRE",AA94)))</formula>
    </cfRule>
    <cfRule type="containsText" dxfId="8162" priority="8884" operator="containsText" text="COSH">
      <formula>NOT(ISERROR(SEARCH("COSH",AA94)))</formula>
    </cfRule>
  </conditionalFormatting>
  <conditionalFormatting sqref="AA94">
    <cfRule type="containsText" dxfId="8161" priority="8879" operator="containsText" text="FAT">
      <formula>NOT(ISERROR(SEARCH("FAT",AA94)))</formula>
    </cfRule>
    <cfRule type="containsText" dxfId="8160" priority="8880" operator="containsText" text="FIRE">
      <formula>NOT(ISERROR(SEARCH("FIRE",AA94)))</formula>
    </cfRule>
    <cfRule type="containsText" dxfId="8159" priority="8881" operator="containsText" text="COSH">
      <formula>NOT(ISERROR(SEARCH("COSH",AA94)))</formula>
    </cfRule>
  </conditionalFormatting>
  <conditionalFormatting sqref="AA94">
    <cfRule type="containsText" dxfId="8158" priority="8876" operator="containsText" text="FAT">
      <formula>NOT(ISERROR(SEARCH("FAT",AA94)))</formula>
    </cfRule>
    <cfRule type="containsText" dxfId="8157" priority="8877" operator="containsText" text="FIRE">
      <formula>NOT(ISERROR(SEARCH("FIRE",AA94)))</formula>
    </cfRule>
    <cfRule type="containsText" dxfId="8156" priority="8878" operator="containsText" text="COSH">
      <formula>NOT(ISERROR(SEARCH("COSH",AA94)))</formula>
    </cfRule>
  </conditionalFormatting>
  <conditionalFormatting sqref="AA94">
    <cfRule type="containsText" dxfId="8155" priority="8873" operator="containsText" text="FAT">
      <formula>NOT(ISERROR(SEARCH("FAT",AA94)))</formula>
    </cfRule>
    <cfRule type="containsText" dxfId="8154" priority="8874" operator="containsText" text="FIRE">
      <formula>NOT(ISERROR(SEARCH("FIRE",AA94)))</formula>
    </cfRule>
    <cfRule type="containsText" dxfId="8153" priority="8875" operator="containsText" text="COSH">
      <formula>NOT(ISERROR(SEARCH("COSH",AA94)))</formula>
    </cfRule>
  </conditionalFormatting>
  <conditionalFormatting sqref="AA94">
    <cfRule type="containsText" dxfId="8152" priority="8870" operator="containsText" text="FAT">
      <formula>NOT(ISERROR(SEARCH("FAT",AA94)))</formula>
    </cfRule>
    <cfRule type="containsText" dxfId="8151" priority="8871" operator="containsText" text="FIRE">
      <formula>NOT(ISERROR(SEARCH("FIRE",AA94)))</formula>
    </cfRule>
    <cfRule type="containsText" dxfId="8150" priority="8872" operator="containsText" text="COSH">
      <formula>NOT(ISERROR(SEARCH("COSH",AA94)))</formula>
    </cfRule>
  </conditionalFormatting>
  <conditionalFormatting sqref="AA94">
    <cfRule type="containsText" dxfId="8149" priority="8867" operator="containsText" text="FAT">
      <formula>NOT(ISERROR(SEARCH("FAT",AA94)))</formula>
    </cfRule>
    <cfRule type="containsText" dxfId="8148" priority="8868" operator="containsText" text="FIRE">
      <formula>NOT(ISERROR(SEARCH("FIRE",AA94)))</formula>
    </cfRule>
    <cfRule type="containsText" dxfId="8147" priority="8869" operator="containsText" text="COSH">
      <formula>NOT(ISERROR(SEARCH("COSH",AA94)))</formula>
    </cfRule>
  </conditionalFormatting>
  <conditionalFormatting sqref="AA94">
    <cfRule type="containsText" dxfId="8146" priority="8864" operator="containsText" text="FAT">
      <formula>NOT(ISERROR(SEARCH("FAT",AA94)))</formula>
    </cfRule>
    <cfRule type="containsText" dxfId="8145" priority="8865" operator="containsText" text="FIRE">
      <formula>NOT(ISERROR(SEARCH("FIRE",AA94)))</formula>
    </cfRule>
    <cfRule type="containsText" dxfId="8144" priority="8866" operator="containsText" text="COSH">
      <formula>NOT(ISERROR(SEARCH("COSH",AA94)))</formula>
    </cfRule>
  </conditionalFormatting>
  <conditionalFormatting sqref="AA94">
    <cfRule type="containsText" dxfId="8143" priority="8861" operator="containsText" text="FAT">
      <formula>NOT(ISERROR(SEARCH("FAT",AA94)))</formula>
    </cfRule>
    <cfRule type="containsText" dxfId="8142" priority="8862" operator="containsText" text="FIRE">
      <formula>NOT(ISERROR(SEARCH("FIRE",AA94)))</formula>
    </cfRule>
    <cfRule type="containsText" dxfId="8141" priority="8863" operator="containsText" text="COSH">
      <formula>NOT(ISERROR(SEARCH("COSH",AA94)))</formula>
    </cfRule>
  </conditionalFormatting>
  <conditionalFormatting sqref="AK23">
    <cfRule type="cellIs" dxfId="8140" priority="8860" operator="between">
      <formula>1</formula>
      <formula>3</formula>
    </cfRule>
  </conditionalFormatting>
  <conditionalFormatting sqref="G67:Y68 G34:K34 G69 Q69:Q86 R69:Y69 G71:G87 AF55:AK55 AF57:AK57 AA58:AK58 J71:N86 I69:N69 H69:H87 P69 P71:P86 O69:O86 R71:Y86 AA71:AD87 AA67:AD69 AF67:AI69 AF71:AI87 AK71:AK87 AK67:AK69 AA60:AK60 I71 I73 I75 I77 I79 I81 I83 I85 I87:Y87">
    <cfRule type="cellIs" dxfId="8139" priority="9610" operator="between">
      <formula>1</formula>
      <formula>3</formula>
    </cfRule>
  </conditionalFormatting>
  <conditionalFormatting sqref="G9:AK9">
    <cfRule type="containsText" dxfId="8138" priority="8857" operator="containsText" text="FAT">
      <formula>NOT(ISERROR(SEARCH("FAT",G9)))</formula>
    </cfRule>
    <cfRule type="containsText" dxfId="8137" priority="8858" operator="containsText" text="FIRE">
      <formula>NOT(ISERROR(SEARCH("FIRE",G9)))</formula>
    </cfRule>
    <cfRule type="containsText" dxfId="8136" priority="8859" operator="containsText" text="COSH">
      <formula>NOT(ISERROR(SEARCH("COSH",G9)))</formula>
    </cfRule>
  </conditionalFormatting>
  <conditionalFormatting sqref="G8">
    <cfRule type="containsText" dxfId="8135" priority="8854" operator="containsText" text="FAT">
      <formula>NOT(ISERROR(SEARCH("FAT",G8)))</formula>
    </cfRule>
    <cfRule type="containsText" dxfId="8134" priority="8855" operator="containsText" text="FIRE">
      <formula>NOT(ISERROR(SEARCH("FIRE",G8)))</formula>
    </cfRule>
    <cfRule type="containsText" dxfId="8133" priority="8856" operator="containsText" text="COSH">
      <formula>NOT(ISERROR(SEARCH("COSH",G8)))</formula>
    </cfRule>
  </conditionalFormatting>
  <conditionalFormatting sqref="G7:AK7">
    <cfRule type="containsText" dxfId="8132" priority="8851" operator="containsText" text="FAT">
      <formula>NOT(ISERROR(SEARCH("FAT",G7)))</formula>
    </cfRule>
    <cfRule type="containsText" dxfId="8131" priority="8852" operator="containsText" text="FIRE">
      <formula>NOT(ISERROR(SEARCH("FIRE",G7)))</formula>
    </cfRule>
    <cfRule type="containsText" dxfId="8130" priority="8853" operator="containsText" text="COSH">
      <formula>NOT(ISERROR(SEARCH("COSH",G7)))</formula>
    </cfRule>
  </conditionalFormatting>
  <conditionalFormatting sqref="G63:AK63">
    <cfRule type="containsText" dxfId="8129" priority="8848" operator="containsText" text="FAT">
      <formula>NOT(ISERROR(SEARCH("FAT",G63)))</formula>
    </cfRule>
    <cfRule type="containsText" dxfId="8128" priority="8849" operator="containsText" text="FIRE">
      <formula>NOT(ISERROR(SEARCH("FIRE",G63)))</formula>
    </cfRule>
    <cfRule type="containsText" dxfId="8127" priority="8850" operator="containsText" text="COSH">
      <formula>NOT(ISERROR(SEARCH("COSH",G63)))</formula>
    </cfRule>
  </conditionalFormatting>
  <conditionalFormatting sqref="G90:AK90">
    <cfRule type="containsText" dxfId="8126" priority="8845" operator="containsText" text="FAT">
      <formula>NOT(ISERROR(SEARCH("FAT",G90)))</formula>
    </cfRule>
    <cfRule type="containsText" dxfId="8125" priority="8846" operator="containsText" text="FIRE">
      <formula>NOT(ISERROR(SEARCH("FIRE",G90)))</formula>
    </cfRule>
    <cfRule type="containsText" dxfId="8124" priority="8847" operator="containsText" text="COSH">
      <formula>NOT(ISERROR(SEARCH("COSH",G90)))</formula>
    </cfRule>
  </conditionalFormatting>
  <conditionalFormatting sqref="G90:AK90">
    <cfRule type="containsText" dxfId="8123" priority="8842" operator="containsText" text="FAT">
      <formula>NOT(ISERROR(SEARCH("FAT",G90)))</formula>
    </cfRule>
    <cfRule type="containsText" dxfId="8122" priority="8843" operator="containsText" text="FIRE">
      <formula>NOT(ISERROR(SEARCH("FIRE",G90)))</formula>
    </cfRule>
    <cfRule type="containsText" dxfId="8121" priority="8844" operator="containsText" text="COSH">
      <formula>NOT(ISERROR(SEARCH("COSH",G90)))</formula>
    </cfRule>
  </conditionalFormatting>
  <conditionalFormatting sqref="G93:AK93">
    <cfRule type="containsText" dxfId="8120" priority="8839" operator="containsText" text="FAT">
      <formula>NOT(ISERROR(SEARCH("FAT",G93)))</formula>
    </cfRule>
    <cfRule type="containsText" dxfId="8119" priority="8840" operator="containsText" text="FIRE">
      <formula>NOT(ISERROR(SEARCH("FIRE",G93)))</formula>
    </cfRule>
    <cfRule type="containsText" dxfId="8118" priority="8841" operator="containsText" text="COSH">
      <formula>NOT(ISERROR(SEARCH("COSH",G93)))</formula>
    </cfRule>
  </conditionalFormatting>
  <conditionalFormatting sqref="H8:AK8">
    <cfRule type="containsText" dxfId="8117" priority="8836" operator="containsText" text="FAT">
      <formula>NOT(ISERROR(SEARCH("FAT",H8)))</formula>
    </cfRule>
    <cfRule type="containsText" dxfId="8116" priority="8837" operator="containsText" text="FIRE">
      <formula>NOT(ISERROR(SEARCH("FIRE",H8)))</formula>
    </cfRule>
    <cfRule type="containsText" dxfId="8115" priority="8838" operator="containsText" text="COSH">
      <formula>NOT(ISERROR(SEARCH("COSH",H8)))</formula>
    </cfRule>
  </conditionalFormatting>
  <conditionalFormatting sqref="AJ8:AK8">
    <cfRule type="containsText" dxfId="8114" priority="8833" operator="containsText" text="FAT">
      <formula>NOT(ISERROR(SEARCH("FAT",AJ8)))</formula>
    </cfRule>
    <cfRule type="containsText" dxfId="8113" priority="8834" operator="containsText" text="FIRE">
      <formula>NOT(ISERROR(SEARCH("FIRE",AJ8)))</formula>
    </cfRule>
    <cfRule type="containsText" dxfId="8112" priority="8835" operator="containsText" text="COSH">
      <formula>NOT(ISERROR(SEARCH("COSH",AJ8)))</formula>
    </cfRule>
  </conditionalFormatting>
  <conditionalFormatting sqref="H8:AK8">
    <cfRule type="containsText" dxfId="8111" priority="8830" operator="containsText" text="FAT">
      <formula>NOT(ISERROR(SEARCH("FAT",H8)))</formula>
    </cfRule>
    <cfRule type="containsText" dxfId="8110" priority="8831" operator="containsText" text="FIRE">
      <formula>NOT(ISERROR(SEARCH("FIRE",H8)))</formula>
    </cfRule>
    <cfRule type="containsText" dxfId="8109" priority="8832" operator="containsText" text="COSH">
      <formula>NOT(ISERROR(SEARCH("COSH",H8)))</formula>
    </cfRule>
  </conditionalFormatting>
  <conditionalFormatting sqref="G64">
    <cfRule type="containsText" dxfId="8108" priority="8827" operator="containsText" text="FAT">
      <formula>NOT(ISERROR(SEARCH("FAT",G64)))</formula>
    </cfRule>
    <cfRule type="containsText" dxfId="8107" priority="8828" operator="containsText" text="FIRE">
      <formula>NOT(ISERROR(SEARCH("FIRE",G64)))</formula>
    </cfRule>
    <cfRule type="containsText" dxfId="8106" priority="8829" operator="containsText" text="COSH">
      <formula>NOT(ISERROR(SEARCH("COSH",G64)))</formula>
    </cfRule>
  </conditionalFormatting>
  <conditionalFormatting sqref="H64:AK64">
    <cfRule type="containsText" dxfId="8105" priority="8824" operator="containsText" text="FAT">
      <formula>NOT(ISERROR(SEARCH("FAT",H64)))</formula>
    </cfRule>
    <cfRule type="containsText" dxfId="8104" priority="8825" operator="containsText" text="FIRE">
      <formula>NOT(ISERROR(SEARCH("FIRE",H64)))</formula>
    </cfRule>
    <cfRule type="containsText" dxfId="8103" priority="8826" operator="containsText" text="COSH">
      <formula>NOT(ISERROR(SEARCH("COSH",H64)))</formula>
    </cfRule>
  </conditionalFormatting>
  <conditionalFormatting sqref="H64:AK64">
    <cfRule type="containsText" dxfId="8102" priority="8821" operator="containsText" text="FAT">
      <formula>NOT(ISERROR(SEARCH("FAT",H64)))</formula>
    </cfRule>
    <cfRule type="containsText" dxfId="8101" priority="8822" operator="containsText" text="FIRE">
      <formula>NOT(ISERROR(SEARCH("FIRE",H64)))</formula>
    </cfRule>
    <cfRule type="containsText" dxfId="8100" priority="8823" operator="containsText" text="COSH">
      <formula>NOT(ISERROR(SEARCH("COSH",H64)))</formula>
    </cfRule>
  </conditionalFormatting>
  <conditionalFormatting sqref="G91">
    <cfRule type="containsText" dxfId="8099" priority="8818" operator="containsText" text="FAT">
      <formula>NOT(ISERROR(SEARCH("FAT",G91)))</formula>
    </cfRule>
    <cfRule type="containsText" dxfId="8098" priority="8819" operator="containsText" text="FIRE">
      <formula>NOT(ISERROR(SEARCH("FIRE",G91)))</formula>
    </cfRule>
    <cfRule type="containsText" dxfId="8097" priority="8820" operator="containsText" text="COSH">
      <formula>NOT(ISERROR(SEARCH("COSH",G91)))</formula>
    </cfRule>
  </conditionalFormatting>
  <conditionalFormatting sqref="H91:AK91">
    <cfRule type="containsText" dxfId="8096" priority="8815" operator="containsText" text="FAT">
      <formula>NOT(ISERROR(SEARCH("FAT",H91)))</formula>
    </cfRule>
    <cfRule type="containsText" dxfId="8095" priority="8816" operator="containsText" text="FIRE">
      <formula>NOT(ISERROR(SEARCH("FIRE",H91)))</formula>
    </cfRule>
    <cfRule type="containsText" dxfId="8094" priority="8817" operator="containsText" text="COSH">
      <formula>NOT(ISERROR(SEARCH("COSH",H91)))</formula>
    </cfRule>
  </conditionalFormatting>
  <conditionalFormatting sqref="H91:AK91">
    <cfRule type="containsText" dxfId="8093" priority="8812" operator="containsText" text="FAT">
      <formula>NOT(ISERROR(SEARCH("FAT",H91)))</formula>
    </cfRule>
    <cfRule type="containsText" dxfId="8092" priority="8813" operator="containsText" text="FIRE">
      <formula>NOT(ISERROR(SEARCH("FIRE",H91)))</formula>
    </cfRule>
    <cfRule type="containsText" dxfId="8091" priority="8814" operator="containsText" text="COSH">
      <formula>NOT(ISERROR(SEARCH("COSH",H91)))</formula>
    </cfRule>
  </conditionalFormatting>
  <conditionalFormatting sqref="G93:AK93">
    <cfRule type="containsText" dxfId="8090" priority="8809" operator="containsText" text="FAT">
      <formula>NOT(ISERROR(SEARCH("FAT",G93)))</formula>
    </cfRule>
    <cfRule type="containsText" dxfId="8089" priority="8810" operator="containsText" text="FIRE">
      <formula>NOT(ISERROR(SEARCH("FIRE",G93)))</formula>
    </cfRule>
    <cfRule type="containsText" dxfId="8088" priority="8811" operator="containsText" text="COSH">
      <formula>NOT(ISERROR(SEARCH("COSH",G93)))</formula>
    </cfRule>
  </conditionalFormatting>
  <conditionalFormatting sqref="M93">
    <cfRule type="containsText" dxfId="8087" priority="8806" operator="containsText" text="FAT">
      <formula>NOT(ISERROR(SEARCH("FAT",M93)))</formula>
    </cfRule>
    <cfRule type="containsText" dxfId="8086" priority="8807" operator="containsText" text="FIRE">
      <formula>NOT(ISERROR(SEARCH("FIRE",M93)))</formula>
    </cfRule>
    <cfRule type="containsText" dxfId="8085" priority="8808" operator="containsText" text="COSH">
      <formula>NOT(ISERROR(SEARCH("COSH",M93)))</formula>
    </cfRule>
  </conditionalFormatting>
  <conditionalFormatting sqref="K67">
    <cfRule type="containsText" dxfId="8084" priority="8803" operator="containsText" text="FAT">
      <formula>NOT(ISERROR(SEARCH("FAT",K67)))</formula>
    </cfRule>
    <cfRule type="containsText" dxfId="8083" priority="8804" operator="containsText" text="FIRE">
      <formula>NOT(ISERROR(SEARCH("FIRE",K67)))</formula>
    </cfRule>
    <cfRule type="containsText" dxfId="8082" priority="8805" operator="containsText" text="COSH">
      <formula>NOT(ISERROR(SEARCH("COSH",K67)))</formula>
    </cfRule>
  </conditionalFormatting>
  <conditionalFormatting sqref="J87">
    <cfRule type="containsText" dxfId="8081" priority="8800" operator="containsText" text="FAT">
      <formula>NOT(ISERROR(SEARCH("FAT",J87)))</formula>
    </cfRule>
    <cfRule type="containsText" dxfId="8080" priority="8801" operator="containsText" text="FIRE">
      <formula>NOT(ISERROR(SEARCH("FIRE",J87)))</formula>
    </cfRule>
    <cfRule type="containsText" dxfId="8079" priority="8802" operator="containsText" text="COSH">
      <formula>NOT(ISERROR(SEARCH("COSH",J87)))</formula>
    </cfRule>
  </conditionalFormatting>
  <conditionalFormatting sqref="Q87">
    <cfRule type="containsText" dxfId="8078" priority="8797" operator="containsText" text="FAT">
      <formula>NOT(ISERROR(SEARCH("FAT",Q87)))</formula>
    </cfRule>
    <cfRule type="containsText" dxfId="8077" priority="8798" operator="containsText" text="FIRE">
      <formula>NOT(ISERROR(SEARCH("FIRE",Q87)))</formula>
    </cfRule>
    <cfRule type="containsText" dxfId="8076" priority="8799" operator="containsText" text="COSH">
      <formula>NOT(ISERROR(SEARCH("COSH",Q87)))</formula>
    </cfRule>
  </conditionalFormatting>
  <conditionalFormatting sqref="X87">
    <cfRule type="containsText" dxfId="8075" priority="8794" operator="containsText" text="FAT">
      <formula>NOT(ISERROR(SEARCH("FAT",X87)))</formula>
    </cfRule>
    <cfRule type="containsText" dxfId="8074" priority="8795" operator="containsText" text="FIRE">
      <formula>NOT(ISERROR(SEARCH("FIRE",X87)))</formula>
    </cfRule>
    <cfRule type="containsText" dxfId="8073" priority="8796" operator="containsText" text="COSH">
      <formula>NOT(ISERROR(SEARCH("COSH",X87)))</formula>
    </cfRule>
  </conditionalFormatting>
  <conditionalFormatting sqref="X87">
    <cfRule type="containsText" dxfId="8072" priority="8791" operator="containsText" text="FAT">
      <formula>NOT(ISERROR(SEARCH("FAT",X87)))</formula>
    </cfRule>
    <cfRule type="containsText" dxfId="8071" priority="8792" operator="containsText" text="FIRE">
      <formula>NOT(ISERROR(SEARCH("FIRE",X87)))</formula>
    </cfRule>
    <cfRule type="containsText" dxfId="8070" priority="8793" operator="containsText" text="COSH">
      <formula>NOT(ISERROR(SEARCH("COSH",X87)))</formula>
    </cfRule>
  </conditionalFormatting>
  <conditionalFormatting sqref="G87">
    <cfRule type="containsText" dxfId="8069" priority="8788" operator="containsText" text="FAT">
      <formula>NOT(ISERROR(SEARCH("FAT",G87)))</formula>
    </cfRule>
    <cfRule type="containsText" dxfId="8068" priority="8789" operator="containsText" text="FIRE">
      <formula>NOT(ISERROR(SEARCH("FIRE",G87)))</formula>
    </cfRule>
    <cfRule type="containsText" dxfId="8067" priority="8790" operator="containsText" text="COSH">
      <formula>NOT(ISERROR(SEARCH("COSH",G87)))</formula>
    </cfRule>
  </conditionalFormatting>
  <conditionalFormatting sqref="N87">
    <cfRule type="containsText" dxfId="8066" priority="8785" operator="containsText" text="FAT">
      <formula>NOT(ISERROR(SEARCH("FAT",N87)))</formula>
    </cfRule>
    <cfRule type="containsText" dxfId="8065" priority="8786" operator="containsText" text="FIRE">
      <formula>NOT(ISERROR(SEARCH("FIRE",N87)))</formula>
    </cfRule>
    <cfRule type="containsText" dxfId="8064" priority="8787" operator="containsText" text="COSH">
      <formula>NOT(ISERROR(SEARCH("COSH",N87)))</formula>
    </cfRule>
  </conditionalFormatting>
  <conditionalFormatting sqref="T87:U87">
    <cfRule type="containsText" dxfId="8063" priority="8782" operator="containsText" text="FAT">
      <formula>NOT(ISERROR(SEARCH("FAT",T87)))</formula>
    </cfRule>
    <cfRule type="containsText" dxfId="8062" priority="8783" operator="containsText" text="FIRE">
      <formula>NOT(ISERROR(SEARCH("FIRE",T87)))</formula>
    </cfRule>
    <cfRule type="containsText" dxfId="8061" priority="8784" operator="containsText" text="COSH">
      <formula>NOT(ISERROR(SEARCH("COSH",T87)))</formula>
    </cfRule>
  </conditionalFormatting>
  <conditionalFormatting sqref="AA87">
    <cfRule type="containsText" dxfId="8060" priority="8779" operator="containsText" text="FAT">
      <formula>NOT(ISERROR(SEARCH("FAT",AA87)))</formula>
    </cfRule>
    <cfRule type="containsText" dxfId="8059" priority="8780" operator="containsText" text="FIRE">
      <formula>NOT(ISERROR(SEARCH("FIRE",AA87)))</formula>
    </cfRule>
    <cfRule type="containsText" dxfId="8058" priority="8781" operator="containsText" text="COSH">
      <formula>NOT(ISERROR(SEARCH("COSH",AA87)))</formula>
    </cfRule>
  </conditionalFormatting>
  <conditionalFormatting sqref="L87">
    <cfRule type="containsText" dxfId="8057" priority="8776" operator="containsText" text="FAT">
      <formula>NOT(ISERROR(SEARCH("FAT",L87)))</formula>
    </cfRule>
    <cfRule type="containsText" dxfId="8056" priority="8777" operator="containsText" text="FIRE">
      <formula>NOT(ISERROR(SEARCH("FIRE",L87)))</formula>
    </cfRule>
    <cfRule type="containsText" dxfId="8055" priority="8778" operator="containsText" text="COSH">
      <formula>NOT(ISERROR(SEARCH("COSH",L87)))</formula>
    </cfRule>
  </conditionalFormatting>
  <conditionalFormatting sqref="S87">
    <cfRule type="containsText" dxfId="8054" priority="8773" operator="containsText" text="FAT">
      <formula>NOT(ISERROR(SEARCH("FAT",S87)))</formula>
    </cfRule>
    <cfRule type="containsText" dxfId="8053" priority="8774" operator="containsText" text="FIRE">
      <formula>NOT(ISERROR(SEARCH("FIRE",S87)))</formula>
    </cfRule>
    <cfRule type="containsText" dxfId="8052" priority="8775" operator="containsText" text="COSH">
      <formula>NOT(ISERROR(SEARCH("COSH",S87)))</formula>
    </cfRule>
  </conditionalFormatting>
  <conditionalFormatting sqref="Y87">
    <cfRule type="containsText" dxfId="8051" priority="8770" operator="containsText" text="FAT">
      <formula>NOT(ISERROR(SEARCH("FAT",Y87)))</formula>
    </cfRule>
    <cfRule type="containsText" dxfId="8050" priority="8771" operator="containsText" text="FIRE">
      <formula>NOT(ISERROR(SEARCH("FIRE",Y87)))</formula>
    </cfRule>
    <cfRule type="containsText" dxfId="8049" priority="8772" operator="containsText" text="COSH">
      <formula>NOT(ISERROR(SEARCH("COSH",Y87)))</formula>
    </cfRule>
  </conditionalFormatting>
  <conditionalFormatting sqref="O87">
    <cfRule type="containsText" dxfId="8048" priority="8767" operator="containsText" text="FAT">
      <formula>NOT(ISERROR(SEARCH("FAT",O87)))</formula>
    </cfRule>
    <cfRule type="containsText" dxfId="8047" priority="8768" operator="containsText" text="FIRE">
      <formula>NOT(ISERROR(SEARCH("FIRE",O87)))</formula>
    </cfRule>
    <cfRule type="containsText" dxfId="8046" priority="8769" operator="containsText" text="COSH">
      <formula>NOT(ISERROR(SEARCH("COSH",O87)))</formula>
    </cfRule>
  </conditionalFormatting>
  <conditionalFormatting sqref="V87">
    <cfRule type="containsText" dxfId="8045" priority="8764" operator="containsText" text="FAT">
      <formula>NOT(ISERROR(SEARCH("FAT",V87)))</formula>
    </cfRule>
    <cfRule type="containsText" dxfId="8044" priority="8765" operator="containsText" text="FIRE">
      <formula>NOT(ISERROR(SEARCH("FIRE",V87)))</formula>
    </cfRule>
    <cfRule type="containsText" dxfId="8043" priority="8766" operator="containsText" text="COSH">
      <formula>NOT(ISERROR(SEARCH("COSH",V87)))</formula>
    </cfRule>
  </conditionalFormatting>
  <conditionalFormatting sqref="M87">
    <cfRule type="containsText" dxfId="8042" priority="8761" operator="containsText" text="FAT">
      <formula>NOT(ISERROR(SEARCH("FAT",M87)))</formula>
    </cfRule>
    <cfRule type="containsText" dxfId="8041" priority="8762" operator="containsText" text="FIRE">
      <formula>NOT(ISERROR(SEARCH("FIRE",M87)))</formula>
    </cfRule>
    <cfRule type="containsText" dxfId="8040" priority="8763" operator="containsText" text="COSH">
      <formula>NOT(ISERROR(SEARCH("COSH",M87)))</formula>
    </cfRule>
  </conditionalFormatting>
  <conditionalFormatting sqref="T87">
    <cfRule type="containsText" dxfId="8039" priority="8758" operator="containsText" text="FAT">
      <formula>NOT(ISERROR(SEARCH("FAT",T87)))</formula>
    </cfRule>
    <cfRule type="containsText" dxfId="8038" priority="8759" operator="containsText" text="FIRE">
      <formula>NOT(ISERROR(SEARCH("FIRE",T87)))</formula>
    </cfRule>
    <cfRule type="containsText" dxfId="8037" priority="8760" operator="containsText" text="COSH">
      <formula>NOT(ISERROR(SEARCH("COSH",T87)))</formula>
    </cfRule>
  </conditionalFormatting>
  <conditionalFormatting sqref="AA87">
    <cfRule type="containsText" dxfId="8036" priority="8755" operator="containsText" text="FAT">
      <formula>NOT(ISERROR(SEARCH("FAT",AA87)))</formula>
    </cfRule>
    <cfRule type="containsText" dxfId="8035" priority="8756" operator="containsText" text="FIRE">
      <formula>NOT(ISERROR(SEARCH("FIRE",AA87)))</formula>
    </cfRule>
    <cfRule type="containsText" dxfId="8034" priority="8757" operator="containsText" text="COSH">
      <formula>NOT(ISERROR(SEARCH("COSH",AA87)))</formula>
    </cfRule>
  </conditionalFormatting>
  <conditionalFormatting sqref="R87">
    <cfRule type="containsText" dxfId="8033" priority="8752" operator="containsText" text="FAT">
      <formula>NOT(ISERROR(SEARCH("FAT",R87)))</formula>
    </cfRule>
    <cfRule type="containsText" dxfId="8032" priority="8753" operator="containsText" text="FIRE">
      <formula>NOT(ISERROR(SEARCH("FIRE",R87)))</formula>
    </cfRule>
    <cfRule type="containsText" dxfId="8031" priority="8754" operator="containsText" text="COSH">
      <formula>NOT(ISERROR(SEARCH("COSH",R87)))</formula>
    </cfRule>
  </conditionalFormatting>
  <conditionalFormatting sqref="S87">
    <cfRule type="containsText" dxfId="8030" priority="8749" operator="containsText" text="FAT">
      <formula>NOT(ISERROR(SEARCH("FAT",S87)))</formula>
    </cfRule>
    <cfRule type="containsText" dxfId="8029" priority="8750" operator="containsText" text="FIRE">
      <formula>NOT(ISERROR(SEARCH("FIRE",S87)))</formula>
    </cfRule>
    <cfRule type="containsText" dxfId="8028" priority="8751" operator="containsText" text="COSH">
      <formula>NOT(ISERROR(SEARCH("COSH",S87)))</formula>
    </cfRule>
  </conditionalFormatting>
  <conditionalFormatting sqref="T87">
    <cfRule type="containsText" dxfId="8027" priority="8746" operator="containsText" text="FAT">
      <formula>NOT(ISERROR(SEARCH("FAT",T87)))</formula>
    </cfRule>
    <cfRule type="containsText" dxfId="8026" priority="8747" operator="containsText" text="FIRE">
      <formula>NOT(ISERROR(SEARCH("FIRE",T87)))</formula>
    </cfRule>
    <cfRule type="containsText" dxfId="8025" priority="8748" operator="containsText" text="COSH">
      <formula>NOT(ISERROR(SEARCH("COSH",T87)))</formula>
    </cfRule>
  </conditionalFormatting>
  <conditionalFormatting sqref="R87:S87">
    <cfRule type="containsText" dxfId="8024" priority="8743" operator="containsText" text="FAT">
      <formula>NOT(ISERROR(SEARCH("FAT",R87)))</formula>
    </cfRule>
    <cfRule type="containsText" dxfId="8023" priority="8744" operator="containsText" text="FIRE">
      <formula>NOT(ISERROR(SEARCH("FIRE",R87)))</formula>
    </cfRule>
    <cfRule type="containsText" dxfId="8022" priority="8745" operator="containsText" text="COSH">
      <formula>NOT(ISERROR(SEARCH("COSH",R87)))</formula>
    </cfRule>
  </conditionalFormatting>
  <conditionalFormatting sqref="R87:S87">
    <cfRule type="containsText" dxfId="8021" priority="8740" operator="containsText" text="FAT">
      <formula>NOT(ISERROR(SEARCH("FAT",R87)))</formula>
    </cfRule>
    <cfRule type="containsText" dxfId="8020" priority="8741" operator="containsText" text="FIRE">
      <formula>NOT(ISERROR(SEARCH("FIRE",R87)))</formula>
    </cfRule>
    <cfRule type="containsText" dxfId="8019" priority="8742" operator="containsText" text="COSH">
      <formula>NOT(ISERROR(SEARCH("COSH",R87)))</formula>
    </cfRule>
  </conditionalFormatting>
  <conditionalFormatting sqref="R87:S87">
    <cfRule type="containsText" dxfId="8018" priority="8737" operator="containsText" text="FAT">
      <formula>NOT(ISERROR(SEARCH("FAT",R87)))</formula>
    </cfRule>
    <cfRule type="containsText" dxfId="8017" priority="8738" operator="containsText" text="FIRE">
      <formula>NOT(ISERROR(SEARCH("FIRE",R87)))</formula>
    </cfRule>
    <cfRule type="containsText" dxfId="8016" priority="8739" operator="containsText" text="COSH">
      <formula>NOT(ISERROR(SEARCH("COSH",R87)))</formula>
    </cfRule>
  </conditionalFormatting>
  <conditionalFormatting sqref="R87:S87">
    <cfRule type="containsText" dxfId="8015" priority="8734" operator="containsText" text="FAT">
      <formula>NOT(ISERROR(SEARCH("FAT",R87)))</formula>
    </cfRule>
    <cfRule type="containsText" dxfId="8014" priority="8735" operator="containsText" text="FIRE">
      <formula>NOT(ISERROR(SEARCH("FIRE",R87)))</formula>
    </cfRule>
    <cfRule type="containsText" dxfId="8013" priority="8736" operator="containsText" text="COSH">
      <formula>NOT(ISERROR(SEARCH("COSH",R87)))</formula>
    </cfRule>
  </conditionalFormatting>
  <conditionalFormatting sqref="R87:S87">
    <cfRule type="containsText" dxfId="8012" priority="8731" operator="containsText" text="FAT">
      <formula>NOT(ISERROR(SEARCH("FAT",R87)))</formula>
    </cfRule>
    <cfRule type="containsText" dxfId="8011" priority="8732" operator="containsText" text="FIRE">
      <formula>NOT(ISERROR(SEARCH("FIRE",R87)))</formula>
    </cfRule>
    <cfRule type="containsText" dxfId="8010" priority="8733" operator="containsText" text="COSH">
      <formula>NOT(ISERROR(SEARCH("COSH",R87)))</formula>
    </cfRule>
  </conditionalFormatting>
  <conditionalFormatting sqref="R87:S87">
    <cfRule type="containsText" dxfId="8009" priority="8728" operator="containsText" text="FAT">
      <formula>NOT(ISERROR(SEARCH("FAT",R87)))</formula>
    </cfRule>
    <cfRule type="containsText" dxfId="8008" priority="8729" operator="containsText" text="FIRE">
      <formula>NOT(ISERROR(SEARCH("FIRE",R87)))</formula>
    </cfRule>
    <cfRule type="containsText" dxfId="8007" priority="8730" operator="containsText" text="COSH">
      <formula>NOT(ISERROR(SEARCH("COSH",R87)))</formula>
    </cfRule>
  </conditionalFormatting>
  <conditionalFormatting sqref="R87:S87">
    <cfRule type="containsText" dxfId="8006" priority="8725" operator="containsText" text="FAT">
      <formula>NOT(ISERROR(SEARCH("FAT",R87)))</formula>
    </cfRule>
    <cfRule type="containsText" dxfId="8005" priority="8726" operator="containsText" text="FIRE">
      <formula>NOT(ISERROR(SEARCH("FIRE",R87)))</formula>
    </cfRule>
    <cfRule type="containsText" dxfId="8004" priority="8727" operator="containsText" text="COSH">
      <formula>NOT(ISERROR(SEARCH("COSH",R87)))</formula>
    </cfRule>
  </conditionalFormatting>
  <conditionalFormatting sqref="R87:S87">
    <cfRule type="containsText" dxfId="8003" priority="8722" operator="containsText" text="FAT">
      <formula>NOT(ISERROR(SEARCH("FAT",R87)))</formula>
    </cfRule>
    <cfRule type="containsText" dxfId="8002" priority="8723" operator="containsText" text="FIRE">
      <formula>NOT(ISERROR(SEARCH("FIRE",R87)))</formula>
    </cfRule>
    <cfRule type="containsText" dxfId="8001" priority="8724" operator="containsText" text="COSH">
      <formula>NOT(ISERROR(SEARCH("COSH",R87)))</formula>
    </cfRule>
  </conditionalFormatting>
  <conditionalFormatting sqref="R87:S87">
    <cfRule type="containsText" dxfId="8000" priority="8719" operator="containsText" text="FAT">
      <formula>NOT(ISERROR(SEARCH("FAT",R87)))</formula>
    </cfRule>
    <cfRule type="containsText" dxfId="7999" priority="8720" operator="containsText" text="FIRE">
      <formula>NOT(ISERROR(SEARCH("FIRE",R87)))</formula>
    </cfRule>
    <cfRule type="containsText" dxfId="7998" priority="8721" operator="containsText" text="COSH">
      <formula>NOT(ISERROR(SEARCH("COSH",R87)))</formula>
    </cfRule>
  </conditionalFormatting>
  <conditionalFormatting sqref="AA87">
    <cfRule type="containsText" dxfId="7997" priority="8716" operator="containsText" text="FAT">
      <formula>NOT(ISERROR(SEARCH("FAT",AA87)))</formula>
    </cfRule>
    <cfRule type="containsText" dxfId="7996" priority="8717" operator="containsText" text="FIRE">
      <formula>NOT(ISERROR(SEARCH("FIRE",AA87)))</formula>
    </cfRule>
    <cfRule type="containsText" dxfId="7995" priority="8718" operator="containsText" text="COSH">
      <formula>NOT(ISERROR(SEARCH("COSH",AA87)))</formula>
    </cfRule>
  </conditionalFormatting>
  <conditionalFormatting sqref="AA87">
    <cfRule type="containsText" dxfId="7994" priority="8713" operator="containsText" text="FAT">
      <formula>NOT(ISERROR(SEARCH("FAT",AA87)))</formula>
    </cfRule>
    <cfRule type="containsText" dxfId="7993" priority="8714" operator="containsText" text="FIRE">
      <formula>NOT(ISERROR(SEARCH("FIRE",AA87)))</formula>
    </cfRule>
    <cfRule type="containsText" dxfId="7992" priority="8715" operator="containsText" text="COSH">
      <formula>NOT(ISERROR(SEARCH("COSH",AA87)))</formula>
    </cfRule>
  </conditionalFormatting>
  <conditionalFormatting sqref="G73:G75">
    <cfRule type="containsText" dxfId="7991" priority="8710" operator="containsText" text="FAT">
      <formula>NOT(ISERROR(SEARCH("FAT",G73)))</formula>
    </cfRule>
    <cfRule type="containsText" dxfId="7990" priority="8711" operator="containsText" text="FIRE">
      <formula>NOT(ISERROR(SEARCH("FIRE",G73)))</formula>
    </cfRule>
    <cfRule type="containsText" dxfId="7989" priority="8712" operator="containsText" text="COSH">
      <formula>NOT(ISERROR(SEARCH("COSH",G73)))</formula>
    </cfRule>
  </conditionalFormatting>
  <conditionalFormatting sqref="N73:N75">
    <cfRule type="containsText" dxfId="7988" priority="8707" operator="containsText" text="FAT">
      <formula>NOT(ISERROR(SEARCH("FAT",N73)))</formula>
    </cfRule>
    <cfRule type="containsText" dxfId="7987" priority="8708" operator="containsText" text="FIRE">
      <formula>NOT(ISERROR(SEARCH("FIRE",N73)))</formula>
    </cfRule>
    <cfRule type="containsText" dxfId="7986" priority="8709" operator="containsText" text="COSH">
      <formula>NOT(ISERROR(SEARCH("COSH",N73)))</formula>
    </cfRule>
  </conditionalFormatting>
  <conditionalFormatting sqref="T73:U75">
    <cfRule type="containsText" dxfId="7985" priority="8704" operator="containsText" text="FAT">
      <formula>NOT(ISERROR(SEARCH("FAT",T73)))</formula>
    </cfRule>
    <cfRule type="containsText" dxfId="7984" priority="8705" operator="containsText" text="FIRE">
      <formula>NOT(ISERROR(SEARCH("FIRE",T73)))</formula>
    </cfRule>
    <cfRule type="containsText" dxfId="7983" priority="8706" operator="containsText" text="COSH">
      <formula>NOT(ISERROR(SEARCH("COSH",T73)))</formula>
    </cfRule>
  </conditionalFormatting>
  <conditionalFormatting sqref="AA73:AA75">
    <cfRule type="containsText" dxfId="7982" priority="8701" operator="containsText" text="FAT">
      <formula>NOT(ISERROR(SEARCH("FAT",AA73)))</formula>
    </cfRule>
    <cfRule type="containsText" dxfId="7981" priority="8702" operator="containsText" text="FIRE">
      <formula>NOT(ISERROR(SEARCH("FIRE",AA73)))</formula>
    </cfRule>
    <cfRule type="containsText" dxfId="7980" priority="8703" operator="containsText" text="COSH">
      <formula>NOT(ISERROR(SEARCH("COSH",AA73)))</formula>
    </cfRule>
  </conditionalFormatting>
  <conditionalFormatting sqref="L73:L75">
    <cfRule type="containsText" dxfId="7979" priority="8698" operator="containsText" text="FAT">
      <formula>NOT(ISERROR(SEARCH("FAT",L73)))</formula>
    </cfRule>
    <cfRule type="containsText" dxfId="7978" priority="8699" operator="containsText" text="FIRE">
      <formula>NOT(ISERROR(SEARCH("FIRE",L73)))</formula>
    </cfRule>
    <cfRule type="containsText" dxfId="7977" priority="8700" operator="containsText" text="COSH">
      <formula>NOT(ISERROR(SEARCH("COSH",L73)))</formula>
    </cfRule>
  </conditionalFormatting>
  <conditionalFormatting sqref="S73:S75">
    <cfRule type="containsText" dxfId="7976" priority="8695" operator="containsText" text="FAT">
      <formula>NOT(ISERROR(SEARCH("FAT",S73)))</formula>
    </cfRule>
    <cfRule type="containsText" dxfId="7975" priority="8696" operator="containsText" text="FIRE">
      <formula>NOT(ISERROR(SEARCH("FIRE",S73)))</formula>
    </cfRule>
    <cfRule type="containsText" dxfId="7974" priority="8697" operator="containsText" text="COSH">
      <formula>NOT(ISERROR(SEARCH("COSH",S73)))</formula>
    </cfRule>
  </conditionalFormatting>
  <conditionalFormatting sqref="Y73:Y75">
    <cfRule type="containsText" dxfId="7973" priority="8692" operator="containsText" text="FAT">
      <formula>NOT(ISERROR(SEARCH("FAT",Y73)))</formula>
    </cfRule>
    <cfRule type="containsText" dxfId="7972" priority="8693" operator="containsText" text="FIRE">
      <formula>NOT(ISERROR(SEARCH("FIRE",Y73)))</formula>
    </cfRule>
    <cfRule type="containsText" dxfId="7971" priority="8694" operator="containsText" text="COSH">
      <formula>NOT(ISERROR(SEARCH("COSH",Y73)))</formula>
    </cfRule>
  </conditionalFormatting>
  <conditionalFormatting sqref="V73:V75">
    <cfRule type="containsText" dxfId="7970" priority="8689" operator="containsText" text="FAT">
      <formula>NOT(ISERROR(SEARCH("FAT",V73)))</formula>
    </cfRule>
    <cfRule type="containsText" dxfId="7969" priority="8690" operator="containsText" text="FIRE">
      <formula>NOT(ISERROR(SEARCH("FIRE",V73)))</formula>
    </cfRule>
    <cfRule type="containsText" dxfId="7968" priority="8691" operator="containsText" text="COSH">
      <formula>NOT(ISERROR(SEARCH("COSH",V73)))</formula>
    </cfRule>
  </conditionalFormatting>
  <conditionalFormatting sqref="M73:M75">
    <cfRule type="containsText" dxfId="7967" priority="8686" operator="containsText" text="FAT">
      <formula>NOT(ISERROR(SEARCH("FAT",M73)))</formula>
    </cfRule>
    <cfRule type="containsText" dxfId="7966" priority="8687" operator="containsText" text="FIRE">
      <formula>NOT(ISERROR(SEARCH("FIRE",M73)))</formula>
    </cfRule>
    <cfRule type="containsText" dxfId="7965" priority="8688" operator="containsText" text="COSH">
      <formula>NOT(ISERROR(SEARCH("COSH",M73)))</formula>
    </cfRule>
  </conditionalFormatting>
  <conditionalFormatting sqref="T73:T75">
    <cfRule type="containsText" dxfId="7964" priority="8683" operator="containsText" text="FAT">
      <formula>NOT(ISERROR(SEARCH("FAT",T73)))</formula>
    </cfRule>
    <cfRule type="containsText" dxfId="7963" priority="8684" operator="containsText" text="FIRE">
      <formula>NOT(ISERROR(SEARCH("FIRE",T73)))</formula>
    </cfRule>
    <cfRule type="containsText" dxfId="7962" priority="8685" operator="containsText" text="COSH">
      <formula>NOT(ISERROR(SEARCH("COSH",T73)))</formula>
    </cfRule>
  </conditionalFormatting>
  <conditionalFormatting sqref="AA73:AA75">
    <cfRule type="containsText" dxfId="7961" priority="8680" operator="containsText" text="FAT">
      <formula>NOT(ISERROR(SEARCH("FAT",AA73)))</formula>
    </cfRule>
    <cfRule type="containsText" dxfId="7960" priority="8681" operator="containsText" text="FIRE">
      <formula>NOT(ISERROR(SEARCH("FIRE",AA73)))</formula>
    </cfRule>
    <cfRule type="containsText" dxfId="7959" priority="8682" operator="containsText" text="COSH">
      <formula>NOT(ISERROR(SEARCH("COSH",AA73)))</formula>
    </cfRule>
  </conditionalFormatting>
  <conditionalFormatting sqref="J78">
    <cfRule type="containsText" dxfId="7958" priority="8677" operator="containsText" text="FAT">
      <formula>NOT(ISERROR(SEARCH("FAT",J78)))</formula>
    </cfRule>
    <cfRule type="containsText" dxfId="7957" priority="8678" operator="containsText" text="FIRE">
      <formula>NOT(ISERROR(SEARCH("FIRE",J78)))</formula>
    </cfRule>
    <cfRule type="containsText" dxfId="7956" priority="8679" operator="containsText" text="COSH">
      <formula>NOT(ISERROR(SEARCH("COSH",J78)))</formula>
    </cfRule>
  </conditionalFormatting>
  <conditionalFormatting sqref="X78">
    <cfRule type="containsText" dxfId="7955" priority="8674" operator="containsText" text="FAT">
      <formula>NOT(ISERROR(SEARCH("FAT",X78)))</formula>
    </cfRule>
    <cfRule type="containsText" dxfId="7954" priority="8675" operator="containsText" text="FIRE">
      <formula>NOT(ISERROR(SEARCH("FIRE",X78)))</formula>
    </cfRule>
    <cfRule type="containsText" dxfId="7953" priority="8676" operator="containsText" text="COSH">
      <formula>NOT(ISERROR(SEARCH("COSH",X78)))</formula>
    </cfRule>
  </conditionalFormatting>
  <conditionalFormatting sqref="X78">
    <cfRule type="containsText" dxfId="7952" priority="8671" operator="containsText" text="FAT">
      <formula>NOT(ISERROR(SEARCH("FAT",X78)))</formula>
    </cfRule>
    <cfRule type="containsText" dxfId="7951" priority="8672" operator="containsText" text="FIRE">
      <formula>NOT(ISERROR(SEARCH("FIRE",X78)))</formula>
    </cfRule>
    <cfRule type="containsText" dxfId="7950" priority="8673" operator="containsText" text="COSH">
      <formula>NOT(ISERROR(SEARCH("COSH",X78)))</formula>
    </cfRule>
  </conditionalFormatting>
  <conditionalFormatting sqref="G78">
    <cfRule type="containsText" dxfId="7949" priority="8668" operator="containsText" text="FAT">
      <formula>NOT(ISERROR(SEARCH("FAT",G78)))</formula>
    </cfRule>
    <cfRule type="containsText" dxfId="7948" priority="8669" operator="containsText" text="FIRE">
      <formula>NOT(ISERROR(SEARCH("FIRE",G78)))</formula>
    </cfRule>
    <cfRule type="containsText" dxfId="7947" priority="8670" operator="containsText" text="COSH">
      <formula>NOT(ISERROR(SEARCH("COSH",G78)))</formula>
    </cfRule>
  </conditionalFormatting>
  <conditionalFormatting sqref="N78">
    <cfRule type="containsText" dxfId="7946" priority="8665" operator="containsText" text="FAT">
      <formula>NOT(ISERROR(SEARCH("FAT",N78)))</formula>
    </cfRule>
    <cfRule type="containsText" dxfId="7945" priority="8666" operator="containsText" text="FIRE">
      <formula>NOT(ISERROR(SEARCH("FIRE",N78)))</formula>
    </cfRule>
    <cfRule type="containsText" dxfId="7944" priority="8667" operator="containsText" text="COSH">
      <formula>NOT(ISERROR(SEARCH("COSH",N78)))</formula>
    </cfRule>
  </conditionalFormatting>
  <conditionalFormatting sqref="T78:U78">
    <cfRule type="containsText" dxfId="7943" priority="8662" operator="containsText" text="FAT">
      <formula>NOT(ISERROR(SEARCH("FAT",T78)))</formula>
    </cfRule>
    <cfRule type="containsText" dxfId="7942" priority="8663" operator="containsText" text="FIRE">
      <formula>NOT(ISERROR(SEARCH("FIRE",T78)))</formula>
    </cfRule>
    <cfRule type="containsText" dxfId="7941" priority="8664" operator="containsText" text="COSH">
      <formula>NOT(ISERROR(SEARCH("COSH",T78)))</formula>
    </cfRule>
  </conditionalFormatting>
  <conditionalFormatting sqref="AA78">
    <cfRule type="containsText" dxfId="7940" priority="8659" operator="containsText" text="FAT">
      <formula>NOT(ISERROR(SEARCH("FAT",AA78)))</formula>
    </cfRule>
    <cfRule type="containsText" dxfId="7939" priority="8660" operator="containsText" text="FIRE">
      <formula>NOT(ISERROR(SEARCH("FIRE",AA78)))</formula>
    </cfRule>
    <cfRule type="containsText" dxfId="7938" priority="8661" operator="containsText" text="COSH">
      <formula>NOT(ISERROR(SEARCH("COSH",AA78)))</formula>
    </cfRule>
  </conditionalFormatting>
  <conditionalFormatting sqref="L78">
    <cfRule type="containsText" dxfId="7937" priority="8656" operator="containsText" text="FAT">
      <formula>NOT(ISERROR(SEARCH("FAT",L78)))</formula>
    </cfRule>
    <cfRule type="containsText" dxfId="7936" priority="8657" operator="containsText" text="FIRE">
      <formula>NOT(ISERROR(SEARCH("FIRE",L78)))</formula>
    </cfRule>
    <cfRule type="containsText" dxfId="7935" priority="8658" operator="containsText" text="COSH">
      <formula>NOT(ISERROR(SEARCH("COSH",L78)))</formula>
    </cfRule>
  </conditionalFormatting>
  <conditionalFormatting sqref="S78">
    <cfRule type="containsText" dxfId="7934" priority="8653" operator="containsText" text="FAT">
      <formula>NOT(ISERROR(SEARCH("FAT",S78)))</formula>
    </cfRule>
    <cfRule type="containsText" dxfId="7933" priority="8654" operator="containsText" text="FIRE">
      <formula>NOT(ISERROR(SEARCH("FIRE",S78)))</formula>
    </cfRule>
    <cfRule type="containsText" dxfId="7932" priority="8655" operator="containsText" text="COSH">
      <formula>NOT(ISERROR(SEARCH("COSH",S78)))</formula>
    </cfRule>
  </conditionalFormatting>
  <conditionalFormatting sqref="Y78">
    <cfRule type="containsText" dxfId="7931" priority="8650" operator="containsText" text="FAT">
      <formula>NOT(ISERROR(SEARCH("FAT",Y78)))</formula>
    </cfRule>
    <cfRule type="containsText" dxfId="7930" priority="8651" operator="containsText" text="FIRE">
      <formula>NOT(ISERROR(SEARCH("FIRE",Y78)))</formula>
    </cfRule>
    <cfRule type="containsText" dxfId="7929" priority="8652" operator="containsText" text="COSH">
      <formula>NOT(ISERROR(SEARCH("COSH",Y78)))</formula>
    </cfRule>
  </conditionalFormatting>
  <conditionalFormatting sqref="V78">
    <cfRule type="containsText" dxfId="7928" priority="8647" operator="containsText" text="FAT">
      <formula>NOT(ISERROR(SEARCH("FAT",V78)))</formula>
    </cfRule>
    <cfRule type="containsText" dxfId="7927" priority="8648" operator="containsText" text="FIRE">
      <formula>NOT(ISERROR(SEARCH("FIRE",V78)))</formula>
    </cfRule>
    <cfRule type="containsText" dxfId="7926" priority="8649" operator="containsText" text="COSH">
      <formula>NOT(ISERROR(SEARCH("COSH",V78)))</formula>
    </cfRule>
  </conditionalFormatting>
  <conditionalFormatting sqref="M78">
    <cfRule type="containsText" dxfId="7925" priority="8644" operator="containsText" text="FAT">
      <formula>NOT(ISERROR(SEARCH("FAT",M78)))</formula>
    </cfRule>
    <cfRule type="containsText" dxfId="7924" priority="8645" operator="containsText" text="FIRE">
      <formula>NOT(ISERROR(SEARCH("FIRE",M78)))</formula>
    </cfRule>
    <cfRule type="containsText" dxfId="7923" priority="8646" operator="containsText" text="COSH">
      <formula>NOT(ISERROR(SEARCH("COSH",M78)))</formula>
    </cfRule>
  </conditionalFormatting>
  <conditionalFormatting sqref="T78">
    <cfRule type="containsText" dxfId="7922" priority="8641" operator="containsText" text="FAT">
      <formula>NOT(ISERROR(SEARCH("FAT",T78)))</formula>
    </cfRule>
    <cfRule type="containsText" dxfId="7921" priority="8642" operator="containsText" text="FIRE">
      <formula>NOT(ISERROR(SEARCH("FIRE",T78)))</formula>
    </cfRule>
    <cfRule type="containsText" dxfId="7920" priority="8643" operator="containsText" text="COSH">
      <formula>NOT(ISERROR(SEARCH("COSH",T78)))</formula>
    </cfRule>
  </conditionalFormatting>
  <conditionalFormatting sqref="AA78">
    <cfRule type="containsText" dxfId="7919" priority="8638" operator="containsText" text="FAT">
      <formula>NOT(ISERROR(SEARCH("FAT",AA78)))</formula>
    </cfRule>
    <cfRule type="containsText" dxfId="7918" priority="8639" operator="containsText" text="FIRE">
      <formula>NOT(ISERROR(SEARCH("FIRE",AA78)))</formula>
    </cfRule>
    <cfRule type="containsText" dxfId="7917" priority="8640" operator="containsText" text="COSH">
      <formula>NOT(ISERROR(SEARCH("COSH",AA78)))</formula>
    </cfRule>
  </conditionalFormatting>
  <conditionalFormatting sqref="R78">
    <cfRule type="containsText" dxfId="7916" priority="8635" operator="containsText" text="FAT">
      <formula>NOT(ISERROR(SEARCH("FAT",R78)))</formula>
    </cfRule>
    <cfRule type="containsText" dxfId="7915" priority="8636" operator="containsText" text="FIRE">
      <formula>NOT(ISERROR(SEARCH("FIRE",R78)))</formula>
    </cfRule>
    <cfRule type="containsText" dxfId="7914" priority="8637" operator="containsText" text="COSH">
      <formula>NOT(ISERROR(SEARCH("COSH",R78)))</formula>
    </cfRule>
  </conditionalFormatting>
  <conditionalFormatting sqref="S78">
    <cfRule type="containsText" dxfId="7913" priority="8632" operator="containsText" text="FAT">
      <formula>NOT(ISERROR(SEARCH("FAT",S78)))</formula>
    </cfRule>
    <cfRule type="containsText" dxfId="7912" priority="8633" operator="containsText" text="FIRE">
      <formula>NOT(ISERROR(SEARCH("FIRE",S78)))</formula>
    </cfRule>
    <cfRule type="containsText" dxfId="7911" priority="8634" operator="containsText" text="COSH">
      <formula>NOT(ISERROR(SEARCH("COSH",S78)))</formula>
    </cfRule>
  </conditionalFormatting>
  <conditionalFormatting sqref="T78">
    <cfRule type="containsText" dxfId="7910" priority="8629" operator="containsText" text="FAT">
      <formula>NOT(ISERROR(SEARCH("FAT",T78)))</formula>
    </cfRule>
    <cfRule type="containsText" dxfId="7909" priority="8630" operator="containsText" text="FIRE">
      <formula>NOT(ISERROR(SEARCH("FIRE",T78)))</formula>
    </cfRule>
    <cfRule type="containsText" dxfId="7908" priority="8631" operator="containsText" text="COSH">
      <formula>NOT(ISERROR(SEARCH("COSH",T78)))</formula>
    </cfRule>
  </conditionalFormatting>
  <conditionalFormatting sqref="R78:S78">
    <cfRule type="containsText" dxfId="7907" priority="8626" operator="containsText" text="FAT">
      <formula>NOT(ISERROR(SEARCH("FAT",R78)))</formula>
    </cfRule>
    <cfRule type="containsText" dxfId="7906" priority="8627" operator="containsText" text="FIRE">
      <formula>NOT(ISERROR(SEARCH("FIRE",R78)))</formula>
    </cfRule>
    <cfRule type="containsText" dxfId="7905" priority="8628" operator="containsText" text="COSH">
      <formula>NOT(ISERROR(SEARCH("COSH",R78)))</formula>
    </cfRule>
  </conditionalFormatting>
  <conditionalFormatting sqref="R78:S78">
    <cfRule type="containsText" dxfId="7904" priority="8623" operator="containsText" text="FAT">
      <formula>NOT(ISERROR(SEARCH("FAT",R78)))</formula>
    </cfRule>
    <cfRule type="containsText" dxfId="7903" priority="8624" operator="containsText" text="FIRE">
      <formula>NOT(ISERROR(SEARCH("FIRE",R78)))</formula>
    </cfRule>
    <cfRule type="containsText" dxfId="7902" priority="8625" operator="containsText" text="COSH">
      <formula>NOT(ISERROR(SEARCH("COSH",R78)))</formula>
    </cfRule>
  </conditionalFormatting>
  <conditionalFormatting sqref="R78:S78">
    <cfRule type="containsText" dxfId="7901" priority="8620" operator="containsText" text="FAT">
      <formula>NOT(ISERROR(SEARCH("FAT",R78)))</formula>
    </cfRule>
    <cfRule type="containsText" dxfId="7900" priority="8621" operator="containsText" text="FIRE">
      <formula>NOT(ISERROR(SEARCH("FIRE",R78)))</formula>
    </cfRule>
    <cfRule type="containsText" dxfId="7899" priority="8622" operator="containsText" text="COSH">
      <formula>NOT(ISERROR(SEARCH("COSH",R78)))</formula>
    </cfRule>
  </conditionalFormatting>
  <conditionalFormatting sqref="R78:S78">
    <cfRule type="containsText" dxfId="7898" priority="8617" operator="containsText" text="FAT">
      <formula>NOT(ISERROR(SEARCH("FAT",R78)))</formula>
    </cfRule>
    <cfRule type="containsText" dxfId="7897" priority="8618" operator="containsText" text="FIRE">
      <formula>NOT(ISERROR(SEARCH("FIRE",R78)))</formula>
    </cfRule>
    <cfRule type="containsText" dxfId="7896" priority="8619" operator="containsText" text="COSH">
      <formula>NOT(ISERROR(SEARCH("COSH",R78)))</formula>
    </cfRule>
  </conditionalFormatting>
  <conditionalFormatting sqref="R78:S78">
    <cfRule type="containsText" dxfId="7895" priority="8614" operator="containsText" text="FAT">
      <formula>NOT(ISERROR(SEARCH("FAT",R78)))</formula>
    </cfRule>
    <cfRule type="containsText" dxfId="7894" priority="8615" operator="containsText" text="FIRE">
      <formula>NOT(ISERROR(SEARCH("FIRE",R78)))</formula>
    </cfRule>
    <cfRule type="containsText" dxfId="7893" priority="8616" operator="containsText" text="COSH">
      <formula>NOT(ISERROR(SEARCH("COSH",R78)))</formula>
    </cfRule>
  </conditionalFormatting>
  <conditionalFormatting sqref="R78:S78">
    <cfRule type="containsText" dxfId="7892" priority="8611" operator="containsText" text="FAT">
      <formula>NOT(ISERROR(SEARCH("FAT",R78)))</formula>
    </cfRule>
    <cfRule type="containsText" dxfId="7891" priority="8612" operator="containsText" text="FIRE">
      <formula>NOT(ISERROR(SEARCH("FIRE",R78)))</formula>
    </cfRule>
    <cfRule type="containsText" dxfId="7890" priority="8613" operator="containsText" text="COSH">
      <formula>NOT(ISERROR(SEARCH("COSH",R78)))</formula>
    </cfRule>
  </conditionalFormatting>
  <conditionalFormatting sqref="R78:S78">
    <cfRule type="containsText" dxfId="7889" priority="8608" operator="containsText" text="FAT">
      <formula>NOT(ISERROR(SEARCH("FAT",R78)))</formula>
    </cfRule>
    <cfRule type="containsText" dxfId="7888" priority="8609" operator="containsText" text="FIRE">
      <formula>NOT(ISERROR(SEARCH("FIRE",R78)))</formula>
    </cfRule>
    <cfRule type="containsText" dxfId="7887" priority="8610" operator="containsText" text="COSH">
      <formula>NOT(ISERROR(SEARCH("COSH",R78)))</formula>
    </cfRule>
  </conditionalFormatting>
  <conditionalFormatting sqref="R78:S78">
    <cfRule type="containsText" dxfId="7886" priority="8605" operator="containsText" text="FAT">
      <formula>NOT(ISERROR(SEARCH("FAT",R78)))</formula>
    </cfRule>
    <cfRule type="containsText" dxfId="7885" priority="8606" operator="containsText" text="FIRE">
      <formula>NOT(ISERROR(SEARCH("FIRE",R78)))</formula>
    </cfRule>
    <cfRule type="containsText" dxfId="7884" priority="8607" operator="containsText" text="COSH">
      <formula>NOT(ISERROR(SEARCH("COSH",R78)))</formula>
    </cfRule>
  </conditionalFormatting>
  <conditionalFormatting sqref="R78:S78">
    <cfRule type="containsText" dxfId="7883" priority="8602" operator="containsText" text="FAT">
      <formula>NOT(ISERROR(SEARCH("FAT",R78)))</formula>
    </cfRule>
    <cfRule type="containsText" dxfId="7882" priority="8603" operator="containsText" text="FIRE">
      <formula>NOT(ISERROR(SEARCH("FIRE",R78)))</formula>
    </cfRule>
    <cfRule type="containsText" dxfId="7881" priority="8604" operator="containsText" text="COSH">
      <formula>NOT(ISERROR(SEARCH("COSH",R78)))</formula>
    </cfRule>
  </conditionalFormatting>
  <conditionalFormatting sqref="AA78">
    <cfRule type="containsText" dxfId="7880" priority="8599" operator="containsText" text="FAT">
      <formula>NOT(ISERROR(SEARCH("FAT",AA78)))</formula>
    </cfRule>
    <cfRule type="containsText" dxfId="7879" priority="8600" operator="containsText" text="FIRE">
      <formula>NOT(ISERROR(SEARCH("FIRE",AA78)))</formula>
    </cfRule>
    <cfRule type="containsText" dxfId="7878" priority="8601" operator="containsText" text="COSH">
      <formula>NOT(ISERROR(SEARCH("COSH",AA78)))</formula>
    </cfRule>
  </conditionalFormatting>
  <conditionalFormatting sqref="AA78">
    <cfRule type="containsText" dxfId="7877" priority="8596" operator="containsText" text="FAT">
      <formula>NOT(ISERROR(SEARCH("FAT",AA78)))</formula>
    </cfRule>
    <cfRule type="containsText" dxfId="7876" priority="8597" operator="containsText" text="FIRE">
      <formula>NOT(ISERROR(SEARCH("FIRE",AA78)))</formula>
    </cfRule>
    <cfRule type="containsText" dxfId="7875" priority="8598" operator="containsText" text="COSH">
      <formula>NOT(ISERROR(SEARCH("COSH",AA78)))</formula>
    </cfRule>
  </conditionalFormatting>
  <conditionalFormatting sqref="J84">
    <cfRule type="containsText" dxfId="7874" priority="8593" operator="containsText" text="FAT">
      <formula>NOT(ISERROR(SEARCH("FAT",J84)))</formula>
    </cfRule>
    <cfRule type="containsText" dxfId="7873" priority="8594" operator="containsText" text="FIRE">
      <formula>NOT(ISERROR(SEARCH("FIRE",J84)))</formula>
    </cfRule>
    <cfRule type="containsText" dxfId="7872" priority="8595" operator="containsText" text="COSH">
      <formula>NOT(ISERROR(SEARCH("COSH",J84)))</formula>
    </cfRule>
  </conditionalFormatting>
  <conditionalFormatting sqref="X84">
    <cfRule type="containsText" dxfId="7871" priority="8590" operator="containsText" text="FAT">
      <formula>NOT(ISERROR(SEARCH("FAT",X84)))</formula>
    </cfRule>
    <cfRule type="containsText" dxfId="7870" priority="8591" operator="containsText" text="FIRE">
      <formula>NOT(ISERROR(SEARCH("FIRE",X84)))</formula>
    </cfRule>
    <cfRule type="containsText" dxfId="7869" priority="8592" operator="containsText" text="COSH">
      <formula>NOT(ISERROR(SEARCH("COSH",X84)))</formula>
    </cfRule>
  </conditionalFormatting>
  <conditionalFormatting sqref="N84">
    <cfRule type="containsText" dxfId="7868" priority="8584" operator="containsText" text="FAT">
      <formula>NOT(ISERROR(SEARCH("FAT",N84)))</formula>
    </cfRule>
    <cfRule type="containsText" dxfId="7867" priority="8585" operator="containsText" text="FIRE">
      <formula>NOT(ISERROR(SEARCH("FIRE",N84)))</formula>
    </cfRule>
    <cfRule type="containsText" dxfId="7866" priority="8586" operator="containsText" text="COSH">
      <formula>NOT(ISERROR(SEARCH("COSH",N84)))</formula>
    </cfRule>
  </conditionalFormatting>
  <conditionalFormatting sqref="G84">
    <cfRule type="containsText" dxfId="7865" priority="8587" operator="containsText" text="FAT">
      <formula>NOT(ISERROR(SEARCH("FAT",G84)))</formula>
    </cfRule>
    <cfRule type="containsText" dxfId="7864" priority="8588" operator="containsText" text="FIRE">
      <formula>NOT(ISERROR(SEARCH("FIRE",G84)))</formula>
    </cfRule>
    <cfRule type="containsText" dxfId="7863" priority="8589" operator="containsText" text="COSH">
      <formula>NOT(ISERROR(SEARCH("COSH",G84)))</formula>
    </cfRule>
  </conditionalFormatting>
  <conditionalFormatting sqref="T84:U84">
    <cfRule type="containsText" dxfId="7862" priority="8581" operator="containsText" text="FAT">
      <formula>NOT(ISERROR(SEARCH("FAT",T84)))</formula>
    </cfRule>
    <cfRule type="containsText" dxfId="7861" priority="8582" operator="containsText" text="FIRE">
      <formula>NOT(ISERROR(SEARCH("FIRE",T84)))</formula>
    </cfRule>
    <cfRule type="containsText" dxfId="7860" priority="8583" operator="containsText" text="COSH">
      <formula>NOT(ISERROR(SEARCH("COSH",T84)))</formula>
    </cfRule>
  </conditionalFormatting>
  <conditionalFormatting sqref="AA84">
    <cfRule type="containsText" dxfId="7859" priority="8578" operator="containsText" text="FAT">
      <formula>NOT(ISERROR(SEARCH("FAT",AA84)))</formula>
    </cfRule>
    <cfRule type="containsText" dxfId="7858" priority="8579" operator="containsText" text="FIRE">
      <formula>NOT(ISERROR(SEARCH("FIRE",AA84)))</formula>
    </cfRule>
    <cfRule type="containsText" dxfId="7857" priority="8580" operator="containsText" text="COSH">
      <formula>NOT(ISERROR(SEARCH("COSH",AA84)))</formula>
    </cfRule>
  </conditionalFormatting>
  <conditionalFormatting sqref="Y84">
    <cfRule type="containsText" dxfId="7856" priority="8575" operator="containsText" text="FAT">
      <formula>NOT(ISERROR(SEARCH("FAT",Y84)))</formula>
    </cfRule>
    <cfRule type="containsText" dxfId="7855" priority="8576" operator="containsText" text="FIRE">
      <formula>NOT(ISERROR(SEARCH("FIRE",Y84)))</formula>
    </cfRule>
    <cfRule type="containsText" dxfId="7854" priority="8577" operator="containsText" text="COSH">
      <formula>NOT(ISERROR(SEARCH("COSH",Y84)))</formula>
    </cfRule>
  </conditionalFormatting>
  <conditionalFormatting sqref="V84">
    <cfRule type="containsText" dxfId="7853" priority="8572" operator="containsText" text="FAT">
      <formula>NOT(ISERROR(SEARCH("FAT",V84)))</formula>
    </cfRule>
    <cfRule type="containsText" dxfId="7852" priority="8573" operator="containsText" text="FIRE">
      <formula>NOT(ISERROR(SEARCH("FIRE",V84)))</formula>
    </cfRule>
    <cfRule type="containsText" dxfId="7851" priority="8574" operator="containsText" text="COSH">
      <formula>NOT(ISERROR(SEARCH("COSH",V84)))</formula>
    </cfRule>
  </conditionalFormatting>
  <conditionalFormatting sqref="AA84">
    <cfRule type="containsText" dxfId="7850" priority="8569" operator="containsText" text="FAT">
      <formula>NOT(ISERROR(SEARCH("FAT",AA84)))</formula>
    </cfRule>
    <cfRule type="containsText" dxfId="7849" priority="8570" operator="containsText" text="FIRE">
      <formula>NOT(ISERROR(SEARCH("FIRE",AA84)))</formula>
    </cfRule>
    <cfRule type="containsText" dxfId="7848" priority="8571" operator="containsText" text="COSH">
      <formula>NOT(ISERROR(SEARCH("COSH",AA84)))</formula>
    </cfRule>
  </conditionalFormatting>
  <conditionalFormatting sqref="L84">
    <cfRule type="containsText" dxfId="7847" priority="8566" operator="containsText" text="FAT">
      <formula>NOT(ISERROR(SEARCH("FAT",L84)))</formula>
    </cfRule>
    <cfRule type="containsText" dxfId="7846" priority="8567" operator="containsText" text="FIRE">
      <formula>NOT(ISERROR(SEARCH("FIRE",L84)))</formula>
    </cfRule>
    <cfRule type="containsText" dxfId="7845" priority="8568" operator="containsText" text="COSH">
      <formula>NOT(ISERROR(SEARCH("COSH",L84)))</formula>
    </cfRule>
  </conditionalFormatting>
  <conditionalFormatting sqref="M84">
    <cfRule type="containsText" dxfId="7844" priority="8563" operator="containsText" text="FAT">
      <formula>NOT(ISERROR(SEARCH("FAT",M84)))</formula>
    </cfRule>
    <cfRule type="containsText" dxfId="7843" priority="8564" operator="containsText" text="FIRE">
      <formula>NOT(ISERROR(SEARCH("FIRE",M84)))</formula>
    </cfRule>
    <cfRule type="containsText" dxfId="7842" priority="8565" operator="containsText" text="COSH">
      <formula>NOT(ISERROR(SEARCH("COSH",M84)))</formula>
    </cfRule>
  </conditionalFormatting>
  <conditionalFormatting sqref="S84">
    <cfRule type="containsText" dxfId="7841" priority="8560" operator="containsText" text="FAT">
      <formula>NOT(ISERROR(SEARCH("FAT",S84)))</formula>
    </cfRule>
    <cfRule type="containsText" dxfId="7840" priority="8561" operator="containsText" text="FIRE">
      <formula>NOT(ISERROR(SEARCH("FIRE",S84)))</formula>
    </cfRule>
    <cfRule type="containsText" dxfId="7839" priority="8562" operator="containsText" text="COSH">
      <formula>NOT(ISERROR(SEARCH("COSH",S84)))</formula>
    </cfRule>
  </conditionalFormatting>
  <conditionalFormatting sqref="T84">
    <cfRule type="containsText" dxfId="7838" priority="8557" operator="containsText" text="FAT">
      <formula>NOT(ISERROR(SEARCH("FAT",T84)))</formula>
    </cfRule>
    <cfRule type="containsText" dxfId="7837" priority="8558" operator="containsText" text="FIRE">
      <formula>NOT(ISERROR(SEARCH("FIRE",T84)))</formula>
    </cfRule>
    <cfRule type="containsText" dxfId="7836" priority="8559" operator="containsText" text="COSH">
      <formula>NOT(ISERROR(SEARCH("COSH",T84)))</formula>
    </cfRule>
  </conditionalFormatting>
  <conditionalFormatting sqref="R84">
    <cfRule type="containsText" dxfId="7835" priority="8554" operator="containsText" text="FAT">
      <formula>NOT(ISERROR(SEARCH("FAT",R84)))</formula>
    </cfRule>
    <cfRule type="containsText" dxfId="7834" priority="8555" operator="containsText" text="FIRE">
      <formula>NOT(ISERROR(SEARCH("FIRE",R84)))</formula>
    </cfRule>
    <cfRule type="containsText" dxfId="7833" priority="8556" operator="containsText" text="COSH">
      <formula>NOT(ISERROR(SEARCH("COSH",R84)))</formula>
    </cfRule>
  </conditionalFormatting>
  <conditionalFormatting sqref="S84">
    <cfRule type="containsText" dxfId="7832" priority="8551" operator="containsText" text="FAT">
      <formula>NOT(ISERROR(SEARCH("FAT",S84)))</formula>
    </cfRule>
    <cfRule type="containsText" dxfId="7831" priority="8552" operator="containsText" text="FIRE">
      <formula>NOT(ISERROR(SEARCH("FIRE",S84)))</formula>
    </cfRule>
    <cfRule type="containsText" dxfId="7830" priority="8553" operator="containsText" text="COSH">
      <formula>NOT(ISERROR(SEARCH("COSH",S84)))</formula>
    </cfRule>
  </conditionalFormatting>
  <conditionalFormatting sqref="T84">
    <cfRule type="containsText" dxfId="7829" priority="8548" operator="containsText" text="FAT">
      <formula>NOT(ISERROR(SEARCH("FAT",T84)))</formula>
    </cfRule>
    <cfRule type="containsText" dxfId="7828" priority="8549" operator="containsText" text="FIRE">
      <formula>NOT(ISERROR(SEARCH("FIRE",T84)))</formula>
    </cfRule>
    <cfRule type="containsText" dxfId="7827" priority="8550" operator="containsText" text="COSH">
      <formula>NOT(ISERROR(SEARCH("COSH",T84)))</formula>
    </cfRule>
  </conditionalFormatting>
  <conditionalFormatting sqref="R84:S84">
    <cfRule type="containsText" dxfId="7826" priority="8545" operator="containsText" text="FAT">
      <formula>NOT(ISERROR(SEARCH("FAT",R84)))</formula>
    </cfRule>
    <cfRule type="containsText" dxfId="7825" priority="8546" operator="containsText" text="FIRE">
      <formula>NOT(ISERROR(SEARCH("FIRE",R84)))</formula>
    </cfRule>
    <cfRule type="containsText" dxfId="7824" priority="8547" operator="containsText" text="COSH">
      <formula>NOT(ISERROR(SEARCH("COSH",R84)))</formula>
    </cfRule>
  </conditionalFormatting>
  <conditionalFormatting sqref="R84:S84">
    <cfRule type="containsText" dxfId="7823" priority="8542" operator="containsText" text="FAT">
      <formula>NOT(ISERROR(SEARCH("FAT",R84)))</formula>
    </cfRule>
    <cfRule type="containsText" dxfId="7822" priority="8543" operator="containsText" text="FIRE">
      <formula>NOT(ISERROR(SEARCH("FIRE",R84)))</formula>
    </cfRule>
    <cfRule type="containsText" dxfId="7821" priority="8544" operator="containsText" text="COSH">
      <formula>NOT(ISERROR(SEARCH("COSH",R84)))</formula>
    </cfRule>
  </conditionalFormatting>
  <conditionalFormatting sqref="R84:S84">
    <cfRule type="containsText" dxfId="7820" priority="8539" operator="containsText" text="FAT">
      <formula>NOT(ISERROR(SEARCH("FAT",R84)))</formula>
    </cfRule>
    <cfRule type="containsText" dxfId="7819" priority="8540" operator="containsText" text="FIRE">
      <formula>NOT(ISERROR(SEARCH("FIRE",R84)))</formula>
    </cfRule>
    <cfRule type="containsText" dxfId="7818" priority="8541" operator="containsText" text="COSH">
      <formula>NOT(ISERROR(SEARCH("COSH",R84)))</formula>
    </cfRule>
  </conditionalFormatting>
  <conditionalFormatting sqref="R84:S84">
    <cfRule type="containsText" dxfId="7817" priority="8536" operator="containsText" text="FAT">
      <formula>NOT(ISERROR(SEARCH("FAT",R84)))</formula>
    </cfRule>
    <cfRule type="containsText" dxfId="7816" priority="8537" operator="containsText" text="FIRE">
      <formula>NOT(ISERROR(SEARCH("FIRE",R84)))</formula>
    </cfRule>
    <cfRule type="containsText" dxfId="7815" priority="8538" operator="containsText" text="COSH">
      <formula>NOT(ISERROR(SEARCH("COSH",R84)))</formula>
    </cfRule>
  </conditionalFormatting>
  <conditionalFormatting sqref="R84:S84">
    <cfRule type="containsText" dxfId="7814" priority="8533" operator="containsText" text="FAT">
      <formula>NOT(ISERROR(SEARCH("FAT",R84)))</formula>
    </cfRule>
    <cfRule type="containsText" dxfId="7813" priority="8534" operator="containsText" text="FIRE">
      <formula>NOT(ISERROR(SEARCH("FIRE",R84)))</formula>
    </cfRule>
    <cfRule type="containsText" dxfId="7812" priority="8535" operator="containsText" text="COSH">
      <formula>NOT(ISERROR(SEARCH("COSH",R84)))</formula>
    </cfRule>
  </conditionalFormatting>
  <conditionalFormatting sqref="R84:S84">
    <cfRule type="containsText" dxfId="7811" priority="8530" operator="containsText" text="FAT">
      <formula>NOT(ISERROR(SEARCH("FAT",R84)))</formula>
    </cfRule>
    <cfRule type="containsText" dxfId="7810" priority="8531" operator="containsText" text="FIRE">
      <formula>NOT(ISERROR(SEARCH("FIRE",R84)))</formula>
    </cfRule>
    <cfRule type="containsText" dxfId="7809" priority="8532" operator="containsText" text="COSH">
      <formula>NOT(ISERROR(SEARCH("COSH",R84)))</formula>
    </cfRule>
  </conditionalFormatting>
  <conditionalFormatting sqref="R84:S84">
    <cfRule type="containsText" dxfId="7808" priority="8527" operator="containsText" text="FAT">
      <formula>NOT(ISERROR(SEARCH("FAT",R84)))</formula>
    </cfRule>
    <cfRule type="containsText" dxfId="7807" priority="8528" operator="containsText" text="FIRE">
      <formula>NOT(ISERROR(SEARCH("FIRE",R84)))</formula>
    </cfRule>
    <cfRule type="containsText" dxfId="7806" priority="8529" operator="containsText" text="COSH">
      <formula>NOT(ISERROR(SEARCH("COSH",R84)))</formula>
    </cfRule>
  </conditionalFormatting>
  <conditionalFormatting sqref="R84:S84">
    <cfRule type="containsText" dxfId="7805" priority="8524" operator="containsText" text="FAT">
      <formula>NOT(ISERROR(SEARCH("FAT",R84)))</formula>
    </cfRule>
    <cfRule type="containsText" dxfId="7804" priority="8525" operator="containsText" text="FIRE">
      <formula>NOT(ISERROR(SEARCH("FIRE",R84)))</formula>
    </cfRule>
    <cfRule type="containsText" dxfId="7803" priority="8526" operator="containsText" text="COSH">
      <formula>NOT(ISERROR(SEARCH("COSH",R84)))</formula>
    </cfRule>
  </conditionalFormatting>
  <conditionalFormatting sqref="R84:S84">
    <cfRule type="containsText" dxfId="7802" priority="8521" operator="containsText" text="FAT">
      <formula>NOT(ISERROR(SEARCH("FAT",R84)))</formula>
    </cfRule>
    <cfRule type="containsText" dxfId="7801" priority="8522" operator="containsText" text="FIRE">
      <formula>NOT(ISERROR(SEARCH("FIRE",R84)))</formula>
    </cfRule>
    <cfRule type="containsText" dxfId="7800" priority="8523" operator="containsText" text="COSH">
      <formula>NOT(ISERROR(SEARCH("COSH",R84)))</formula>
    </cfRule>
  </conditionalFormatting>
  <conditionalFormatting sqref="AA84">
    <cfRule type="containsText" dxfId="7799" priority="8518" operator="containsText" text="FAT">
      <formula>NOT(ISERROR(SEARCH("FAT",AA84)))</formula>
    </cfRule>
    <cfRule type="containsText" dxfId="7798" priority="8519" operator="containsText" text="FIRE">
      <formula>NOT(ISERROR(SEARCH("FIRE",AA84)))</formula>
    </cfRule>
    <cfRule type="containsText" dxfId="7797" priority="8520" operator="containsText" text="COSH">
      <formula>NOT(ISERROR(SEARCH("COSH",AA84)))</formula>
    </cfRule>
  </conditionalFormatting>
  <conditionalFormatting sqref="AA84">
    <cfRule type="containsText" dxfId="7796" priority="8515" operator="containsText" text="FAT">
      <formula>NOT(ISERROR(SEARCH("FAT",AA84)))</formula>
    </cfRule>
    <cfRule type="containsText" dxfId="7795" priority="8516" operator="containsText" text="FIRE">
      <formula>NOT(ISERROR(SEARCH("FIRE",AA84)))</formula>
    </cfRule>
    <cfRule type="containsText" dxfId="7794" priority="8517" operator="containsText" text="COSH">
      <formula>NOT(ISERROR(SEARCH("COSH",AA84)))</formula>
    </cfRule>
  </conditionalFormatting>
  <conditionalFormatting sqref="AA84">
    <cfRule type="containsText" dxfId="7793" priority="8512" operator="containsText" text="FAT">
      <formula>NOT(ISERROR(SEARCH("FAT",AA84)))</formula>
    </cfRule>
    <cfRule type="containsText" dxfId="7792" priority="8513" operator="containsText" text="FIRE">
      <formula>NOT(ISERROR(SEARCH("FIRE",AA84)))</formula>
    </cfRule>
    <cfRule type="containsText" dxfId="7791" priority="8514" operator="containsText" text="COSH">
      <formula>NOT(ISERROR(SEARCH("COSH",AA84)))</formula>
    </cfRule>
  </conditionalFormatting>
  <conditionalFormatting sqref="AA84">
    <cfRule type="containsText" dxfId="7790" priority="8509" operator="containsText" text="FAT">
      <formula>NOT(ISERROR(SEARCH("FAT",AA84)))</formula>
    </cfRule>
    <cfRule type="containsText" dxfId="7789" priority="8510" operator="containsText" text="FIRE">
      <formula>NOT(ISERROR(SEARCH("FIRE",AA84)))</formula>
    </cfRule>
    <cfRule type="containsText" dxfId="7788" priority="8511" operator="containsText" text="COSH">
      <formula>NOT(ISERROR(SEARCH("COSH",AA84)))</formula>
    </cfRule>
  </conditionalFormatting>
  <conditionalFormatting sqref="J84">
    <cfRule type="containsText" dxfId="7787" priority="8506" operator="containsText" text="FAT">
      <formula>NOT(ISERROR(SEARCH("FAT",J84)))</formula>
    </cfRule>
    <cfRule type="containsText" dxfId="7786" priority="8507" operator="containsText" text="FIRE">
      <formula>NOT(ISERROR(SEARCH("FIRE",J84)))</formula>
    </cfRule>
    <cfRule type="containsText" dxfId="7785" priority="8508" operator="containsText" text="COSH">
      <formula>NOT(ISERROR(SEARCH("COSH",J84)))</formula>
    </cfRule>
  </conditionalFormatting>
  <conditionalFormatting sqref="X84">
    <cfRule type="containsText" dxfId="7784" priority="8503" operator="containsText" text="FAT">
      <formula>NOT(ISERROR(SEARCH("FAT",X84)))</formula>
    </cfRule>
    <cfRule type="containsText" dxfId="7783" priority="8504" operator="containsText" text="FIRE">
      <formula>NOT(ISERROR(SEARCH("FIRE",X84)))</formula>
    </cfRule>
    <cfRule type="containsText" dxfId="7782" priority="8505" operator="containsText" text="COSH">
      <formula>NOT(ISERROR(SEARCH("COSH",X84)))</formula>
    </cfRule>
  </conditionalFormatting>
  <conditionalFormatting sqref="X84">
    <cfRule type="containsText" dxfId="7781" priority="8500" operator="containsText" text="FAT">
      <formula>NOT(ISERROR(SEARCH("FAT",X84)))</formula>
    </cfRule>
    <cfRule type="containsText" dxfId="7780" priority="8501" operator="containsText" text="FIRE">
      <formula>NOT(ISERROR(SEARCH("FIRE",X84)))</formula>
    </cfRule>
    <cfRule type="containsText" dxfId="7779" priority="8502" operator="containsText" text="COSH">
      <formula>NOT(ISERROR(SEARCH("COSH",X84)))</formula>
    </cfRule>
  </conditionalFormatting>
  <conditionalFormatting sqref="G84">
    <cfRule type="containsText" dxfId="7778" priority="8497" operator="containsText" text="FAT">
      <formula>NOT(ISERROR(SEARCH("FAT",G84)))</formula>
    </cfRule>
    <cfRule type="containsText" dxfId="7777" priority="8498" operator="containsText" text="FIRE">
      <formula>NOT(ISERROR(SEARCH("FIRE",G84)))</formula>
    </cfRule>
    <cfRule type="containsText" dxfId="7776" priority="8499" operator="containsText" text="COSH">
      <formula>NOT(ISERROR(SEARCH("COSH",G84)))</formula>
    </cfRule>
  </conditionalFormatting>
  <conditionalFormatting sqref="N84">
    <cfRule type="containsText" dxfId="7775" priority="8494" operator="containsText" text="FAT">
      <formula>NOT(ISERROR(SEARCH("FAT",N84)))</formula>
    </cfRule>
    <cfRule type="containsText" dxfId="7774" priority="8495" operator="containsText" text="FIRE">
      <formula>NOT(ISERROR(SEARCH("FIRE",N84)))</formula>
    </cfRule>
    <cfRule type="containsText" dxfId="7773" priority="8496" operator="containsText" text="COSH">
      <formula>NOT(ISERROR(SEARCH("COSH",N84)))</formula>
    </cfRule>
  </conditionalFormatting>
  <conditionalFormatting sqref="T84:U84">
    <cfRule type="containsText" dxfId="7772" priority="8491" operator="containsText" text="FAT">
      <formula>NOT(ISERROR(SEARCH("FAT",T84)))</formula>
    </cfRule>
    <cfRule type="containsText" dxfId="7771" priority="8492" operator="containsText" text="FIRE">
      <formula>NOT(ISERROR(SEARCH("FIRE",T84)))</formula>
    </cfRule>
    <cfRule type="containsText" dxfId="7770" priority="8493" operator="containsText" text="COSH">
      <formula>NOT(ISERROR(SEARCH("COSH",T84)))</formula>
    </cfRule>
  </conditionalFormatting>
  <conditionalFormatting sqref="AA84">
    <cfRule type="containsText" dxfId="7769" priority="8488" operator="containsText" text="FAT">
      <formula>NOT(ISERROR(SEARCH("FAT",AA84)))</formula>
    </cfRule>
    <cfRule type="containsText" dxfId="7768" priority="8489" operator="containsText" text="FIRE">
      <formula>NOT(ISERROR(SEARCH("FIRE",AA84)))</formula>
    </cfRule>
    <cfRule type="containsText" dxfId="7767" priority="8490" operator="containsText" text="COSH">
      <formula>NOT(ISERROR(SEARCH("COSH",AA84)))</formula>
    </cfRule>
  </conditionalFormatting>
  <conditionalFormatting sqref="L84">
    <cfRule type="containsText" dxfId="7766" priority="8485" operator="containsText" text="FAT">
      <formula>NOT(ISERROR(SEARCH("FAT",L84)))</formula>
    </cfRule>
    <cfRule type="containsText" dxfId="7765" priority="8486" operator="containsText" text="FIRE">
      <formula>NOT(ISERROR(SEARCH("FIRE",L84)))</formula>
    </cfRule>
    <cfRule type="containsText" dxfId="7764" priority="8487" operator="containsText" text="COSH">
      <formula>NOT(ISERROR(SEARCH("COSH",L84)))</formula>
    </cfRule>
  </conditionalFormatting>
  <conditionalFormatting sqref="S84">
    <cfRule type="containsText" dxfId="7763" priority="8482" operator="containsText" text="FAT">
      <formula>NOT(ISERROR(SEARCH("FAT",S84)))</formula>
    </cfRule>
    <cfRule type="containsText" dxfId="7762" priority="8483" operator="containsText" text="FIRE">
      <formula>NOT(ISERROR(SEARCH("FIRE",S84)))</formula>
    </cfRule>
    <cfRule type="containsText" dxfId="7761" priority="8484" operator="containsText" text="COSH">
      <formula>NOT(ISERROR(SEARCH("COSH",S84)))</formula>
    </cfRule>
  </conditionalFormatting>
  <conditionalFormatting sqref="Y84">
    <cfRule type="containsText" dxfId="7760" priority="8479" operator="containsText" text="FAT">
      <formula>NOT(ISERROR(SEARCH("FAT",Y84)))</formula>
    </cfRule>
    <cfRule type="containsText" dxfId="7759" priority="8480" operator="containsText" text="FIRE">
      <formula>NOT(ISERROR(SEARCH("FIRE",Y84)))</formula>
    </cfRule>
    <cfRule type="containsText" dxfId="7758" priority="8481" operator="containsText" text="COSH">
      <formula>NOT(ISERROR(SEARCH("COSH",Y84)))</formula>
    </cfRule>
  </conditionalFormatting>
  <conditionalFormatting sqref="V84">
    <cfRule type="containsText" dxfId="7757" priority="8476" operator="containsText" text="FAT">
      <formula>NOT(ISERROR(SEARCH("FAT",V84)))</formula>
    </cfRule>
    <cfRule type="containsText" dxfId="7756" priority="8477" operator="containsText" text="FIRE">
      <formula>NOT(ISERROR(SEARCH("FIRE",V84)))</formula>
    </cfRule>
    <cfRule type="containsText" dxfId="7755" priority="8478" operator="containsText" text="COSH">
      <formula>NOT(ISERROR(SEARCH("COSH",V84)))</formula>
    </cfRule>
  </conditionalFormatting>
  <conditionalFormatting sqref="M84">
    <cfRule type="containsText" dxfId="7754" priority="8473" operator="containsText" text="FAT">
      <formula>NOT(ISERROR(SEARCH("FAT",M84)))</formula>
    </cfRule>
    <cfRule type="containsText" dxfId="7753" priority="8474" operator="containsText" text="FIRE">
      <formula>NOT(ISERROR(SEARCH("FIRE",M84)))</formula>
    </cfRule>
    <cfRule type="containsText" dxfId="7752" priority="8475" operator="containsText" text="COSH">
      <formula>NOT(ISERROR(SEARCH("COSH",M84)))</formula>
    </cfRule>
  </conditionalFormatting>
  <conditionalFormatting sqref="T84">
    <cfRule type="containsText" dxfId="7751" priority="8470" operator="containsText" text="FAT">
      <formula>NOT(ISERROR(SEARCH("FAT",T84)))</formula>
    </cfRule>
    <cfRule type="containsText" dxfId="7750" priority="8471" operator="containsText" text="FIRE">
      <formula>NOT(ISERROR(SEARCH("FIRE",T84)))</formula>
    </cfRule>
    <cfRule type="containsText" dxfId="7749" priority="8472" operator="containsText" text="COSH">
      <formula>NOT(ISERROR(SEARCH("COSH",T84)))</formula>
    </cfRule>
  </conditionalFormatting>
  <conditionalFormatting sqref="AA84">
    <cfRule type="containsText" dxfId="7748" priority="8467" operator="containsText" text="FAT">
      <formula>NOT(ISERROR(SEARCH("FAT",AA84)))</formula>
    </cfRule>
    <cfRule type="containsText" dxfId="7747" priority="8468" operator="containsText" text="FIRE">
      <formula>NOT(ISERROR(SEARCH("FIRE",AA84)))</formula>
    </cfRule>
    <cfRule type="containsText" dxfId="7746" priority="8469" operator="containsText" text="COSH">
      <formula>NOT(ISERROR(SEARCH("COSH",AA84)))</formula>
    </cfRule>
  </conditionalFormatting>
  <conditionalFormatting sqref="R84">
    <cfRule type="containsText" dxfId="7745" priority="8464" operator="containsText" text="FAT">
      <formula>NOT(ISERROR(SEARCH("FAT",R84)))</formula>
    </cfRule>
    <cfRule type="containsText" dxfId="7744" priority="8465" operator="containsText" text="FIRE">
      <formula>NOT(ISERROR(SEARCH("FIRE",R84)))</formula>
    </cfRule>
    <cfRule type="containsText" dxfId="7743" priority="8466" operator="containsText" text="COSH">
      <formula>NOT(ISERROR(SEARCH("COSH",R84)))</formula>
    </cfRule>
  </conditionalFormatting>
  <conditionalFormatting sqref="S84">
    <cfRule type="containsText" dxfId="7742" priority="8461" operator="containsText" text="FAT">
      <formula>NOT(ISERROR(SEARCH("FAT",S84)))</formula>
    </cfRule>
    <cfRule type="containsText" dxfId="7741" priority="8462" operator="containsText" text="FIRE">
      <formula>NOT(ISERROR(SEARCH("FIRE",S84)))</formula>
    </cfRule>
    <cfRule type="containsText" dxfId="7740" priority="8463" operator="containsText" text="COSH">
      <formula>NOT(ISERROR(SEARCH("COSH",S84)))</formula>
    </cfRule>
  </conditionalFormatting>
  <conditionalFormatting sqref="T84">
    <cfRule type="containsText" dxfId="7739" priority="8458" operator="containsText" text="FAT">
      <formula>NOT(ISERROR(SEARCH("FAT",T84)))</formula>
    </cfRule>
    <cfRule type="containsText" dxfId="7738" priority="8459" operator="containsText" text="FIRE">
      <formula>NOT(ISERROR(SEARCH("FIRE",T84)))</formula>
    </cfRule>
    <cfRule type="containsText" dxfId="7737" priority="8460" operator="containsText" text="COSH">
      <formula>NOT(ISERROR(SEARCH("COSH",T84)))</formula>
    </cfRule>
  </conditionalFormatting>
  <conditionalFormatting sqref="R84:S84">
    <cfRule type="containsText" dxfId="7736" priority="8455" operator="containsText" text="FAT">
      <formula>NOT(ISERROR(SEARCH("FAT",R84)))</formula>
    </cfRule>
    <cfRule type="containsText" dxfId="7735" priority="8456" operator="containsText" text="FIRE">
      <formula>NOT(ISERROR(SEARCH("FIRE",R84)))</formula>
    </cfRule>
    <cfRule type="containsText" dxfId="7734" priority="8457" operator="containsText" text="COSH">
      <formula>NOT(ISERROR(SEARCH("COSH",R84)))</formula>
    </cfRule>
  </conditionalFormatting>
  <conditionalFormatting sqref="R84:S84">
    <cfRule type="containsText" dxfId="7733" priority="8452" operator="containsText" text="FAT">
      <formula>NOT(ISERROR(SEARCH("FAT",R84)))</formula>
    </cfRule>
    <cfRule type="containsText" dxfId="7732" priority="8453" operator="containsText" text="FIRE">
      <formula>NOT(ISERROR(SEARCH("FIRE",R84)))</formula>
    </cfRule>
    <cfRule type="containsText" dxfId="7731" priority="8454" operator="containsText" text="COSH">
      <formula>NOT(ISERROR(SEARCH("COSH",R84)))</formula>
    </cfRule>
  </conditionalFormatting>
  <conditionalFormatting sqref="R84:S84">
    <cfRule type="containsText" dxfId="7730" priority="8449" operator="containsText" text="FAT">
      <formula>NOT(ISERROR(SEARCH("FAT",R84)))</formula>
    </cfRule>
    <cfRule type="containsText" dxfId="7729" priority="8450" operator="containsText" text="FIRE">
      <formula>NOT(ISERROR(SEARCH("FIRE",R84)))</formula>
    </cfRule>
    <cfRule type="containsText" dxfId="7728" priority="8451" operator="containsText" text="COSH">
      <formula>NOT(ISERROR(SEARCH("COSH",R84)))</formula>
    </cfRule>
  </conditionalFormatting>
  <conditionalFormatting sqref="R84:S84">
    <cfRule type="containsText" dxfId="7727" priority="8446" operator="containsText" text="FAT">
      <formula>NOT(ISERROR(SEARCH("FAT",R84)))</formula>
    </cfRule>
    <cfRule type="containsText" dxfId="7726" priority="8447" operator="containsText" text="FIRE">
      <formula>NOT(ISERROR(SEARCH("FIRE",R84)))</formula>
    </cfRule>
    <cfRule type="containsText" dxfId="7725" priority="8448" operator="containsText" text="COSH">
      <formula>NOT(ISERROR(SEARCH("COSH",R84)))</formula>
    </cfRule>
  </conditionalFormatting>
  <conditionalFormatting sqref="R84:S84">
    <cfRule type="containsText" dxfId="7724" priority="8443" operator="containsText" text="FAT">
      <formula>NOT(ISERROR(SEARCH("FAT",R84)))</formula>
    </cfRule>
    <cfRule type="containsText" dxfId="7723" priority="8444" operator="containsText" text="FIRE">
      <formula>NOT(ISERROR(SEARCH("FIRE",R84)))</formula>
    </cfRule>
    <cfRule type="containsText" dxfId="7722" priority="8445" operator="containsText" text="COSH">
      <formula>NOT(ISERROR(SEARCH("COSH",R84)))</formula>
    </cfRule>
  </conditionalFormatting>
  <conditionalFormatting sqref="R84:S84">
    <cfRule type="containsText" dxfId="7721" priority="8440" operator="containsText" text="FAT">
      <formula>NOT(ISERROR(SEARCH("FAT",R84)))</formula>
    </cfRule>
    <cfRule type="containsText" dxfId="7720" priority="8441" operator="containsText" text="FIRE">
      <formula>NOT(ISERROR(SEARCH("FIRE",R84)))</formula>
    </cfRule>
    <cfRule type="containsText" dxfId="7719" priority="8442" operator="containsText" text="COSH">
      <formula>NOT(ISERROR(SEARCH("COSH",R84)))</formula>
    </cfRule>
  </conditionalFormatting>
  <conditionalFormatting sqref="R84:S84">
    <cfRule type="containsText" dxfId="7718" priority="8437" operator="containsText" text="FAT">
      <formula>NOT(ISERROR(SEARCH("FAT",R84)))</formula>
    </cfRule>
    <cfRule type="containsText" dxfId="7717" priority="8438" operator="containsText" text="FIRE">
      <formula>NOT(ISERROR(SEARCH("FIRE",R84)))</formula>
    </cfRule>
    <cfRule type="containsText" dxfId="7716" priority="8439" operator="containsText" text="COSH">
      <formula>NOT(ISERROR(SEARCH("COSH",R84)))</formula>
    </cfRule>
  </conditionalFormatting>
  <conditionalFormatting sqref="R84:S84">
    <cfRule type="containsText" dxfId="7715" priority="8434" operator="containsText" text="FAT">
      <formula>NOT(ISERROR(SEARCH("FAT",R84)))</formula>
    </cfRule>
    <cfRule type="containsText" dxfId="7714" priority="8435" operator="containsText" text="FIRE">
      <formula>NOT(ISERROR(SEARCH("FIRE",R84)))</formula>
    </cfRule>
    <cfRule type="containsText" dxfId="7713" priority="8436" operator="containsText" text="COSH">
      <formula>NOT(ISERROR(SEARCH("COSH",R84)))</formula>
    </cfRule>
  </conditionalFormatting>
  <conditionalFormatting sqref="R84:S84">
    <cfRule type="containsText" dxfId="7712" priority="8431" operator="containsText" text="FAT">
      <formula>NOT(ISERROR(SEARCH("FAT",R84)))</formula>
    </cfRule>
    <cfRule type="containsText" dxfId="7711" priority="8432" operator="containsText" text="FIRE">
      <formula>NOT(ISERROR(SEARCH("FIRE",R84)))</formula>
    </cfRule>
    <cfRule type="containsText" dxfId="7710" priority="8433" operator="containsText" text="COSH">
      <formula>NOT(ISERROR(SEARCH("COSH",R84)))</formula>
    </cfRule>
  </conditionalFormatting>
  <conditionalFormatting sqref="AA84">
    <cfRule type="containsText" dxfId="7709" priority="8428" operator="containsText" text="FAT">
      <formula>NOT(ISERROR(SEARCH("FAT",AA84)))</formula>
    </cfRule>
    <cfRule type="containsText" dxfId="7708" priority="8429" operator="containsText" text="FIRE">
      <formula>NOT(ISERROR(SEARCH("FIRE",AA84)))</formula>
    </cfRule>
    <cfRule type="containsText" dxfId="7707" priority="8430" operator="containsText" text="COSH">
      <formula>NOT(ISERROR(SEARCH("COSH",AA84)))</formula>
    </cfRule>
  </conditionalFormatting>
  <conditionalFormatting sqref="AA84">
    <cfRule type="containsText" dxfId="7706" priority="8425" operator="containsText" text="FAT">
      <formula>NOT(ISERROR(SEARCH("FAT",AA84)))</formula>
    </cfRule>
    <cfRule type="containsText" dxfId="7705" priority="8426" operator="containsText" text="FIRE">
      <formula>NOT(ISERROR(SEARCH("FIRE",AA84)))</formula>
    </cfRule>
    <cfRule type="containsText" dxfId="7704" priority="8427" operator="containsText" text="COSH">
      <formula>NOT(ISERROR(SEARCH("COSH",AA84)))</formula>
    </cfRule>
  </conditionalFormatting>
  <conditionalFormatting sqref="J77">
    <cfRule type="containsText" dxfId="7703" priority="8422" operator="containsText" text="FAT">
      <formula>NOT(ISERROR(SEARCH("FAT",J77)))</formula>
    </cfRule>
    <cfRule type="containsText" dxfId="7702" priority="8423" operator="containsText" text="FIRE">
      <formula>NOT(ISERROR(SEARCH("FIRE",J77)))</formula>
    </cfRule>
    <cfRule type="containsText" dxfId="7701" priority="8424" operator="containsText" text="COSH">
      <formula>NOT(ISERROR(SEARCH("COSH",J77)))</formula>
    </cfRule>
  </conditionalFormatting>
  <conditionalFormatting sqref="X77">
    <cfRule type="containsText" dxfId="7700" priority="8419" operator="containsText" text="FAT">
      <formula>NOT(ISERROR(SEARCH("FAT",X77)))</formula>
    </cfRule>
    <cfRule type="containsText" dxfId="7699" priority="8420" operator="containsText" text="FIRE">
      <formula>NOT(ISERROR(SEARCH("FIRE",X77)))</formula>
    </cfRule>
    <cfRule type="containsText" dxfId="7698" priority="8421" operator="containsText" text="COSH">
      <formula>NOT(ISERROR(SEARCH("COSH",X77)))</formula>
    </cfRule>
  </conditionalFormatting>
  <conditionalFormatting sqref="L77">
    <cfRule type="containsText" dxfId="7697" priority="8416" operator="containsText" text="FAT">
      <formula>NOT(ISERROR(SEARCH("FAT",L77)))</formula>
    </cfRule>
    <cfRule type="containsText" dxfId="7696" priority="8417" operator="containsText" text="FIRE">
      <formula>NOT(ISERROR(SEARCH("FIRE",L77)))</formula>
    </cfRule>
    <cfRule type="containsText" dxfId="7695" priority="8418" operator="containsText" text="COSH">
      <formula>NOT(ISERROR(SEARCH("COSH",L77)))</formula>
    </cfRule>
  </conditionalFormatting>
  <conditionalFormatting sqref="M77">
    <cfRule type="containsText" dxfId="7694" priority="8413" operator="containsText" text="FAT">
      <formula>NOT(ISERROR(SEARCH("FAT",M77)))</formula>
    </cfRule>
    <cfRule type="containsText" dxfId="7693" priority="8414" operator="containsText" text="FIRE">
      <formula>NOT(ISERROR(SEARCH("FIRE",M77)))</formula>
    </cfRule>
    <cfRule type="containsText" dxfId="7692" priority="8415" operator="containsText" text="COSH">
      <formula>NOT(ISERROR(SEARCH("COSH",M77)))</formula>
    </cfRule>
  </conditionalFormatting>
  <conditionalFormatting sqref="S77">
    <cfRule type="containsText" dxfId="7691" priority="8410" operator="containsText" text="FAT">
      <formula>NOT(ISERROR(SEARCH("FAT",S77)))</formula>
    </cfRule>
    <cfRule type="containsText" dxfId="7690" priority="8411" operator="containsText" text="FIRE">
      <formula>NOT(ISERROR(SEARCH("FIRE",S77)))</formula>
    </cfRule>
    <cfRule type="containsText" dxfId="7689" priority="8412" operator="containsText" text="COSH">
      <formula>NOT(ISERROR(SEARCH("COSH",S77)))</formula>
    </cfRule>
  </conditionalFormatting>
  <conditionalFormatting sqref="T77">
    <cfRule type="containsText" dxfId="7688" priority="8407" operator="containsText" text="FAT">
      <formula>NOT(ISERROR(SEARCH("FAT",T77)))</formula>
    </cfRule>
    <cfRule type="containsText" dxfId="7687" priority="8408" operator="containsText" text="FIRE">
      <formula>NOT(ISERROR(SEARCH("FIRE",T77)))</formula>
    </cfRule>
    <cfRule type="containsText" dxfId="7686" priority="8409" operator="containsText" text="COSH">
      <formula>NOT(ISERROR(SEARCH("COSH",T77)))</formula>
    </cfRule>
  </conditionalFormatting>
  <conditionalFormatting sqref="R77">
    <cfRule type="containsText" dxfId="7685" priority="8404" operator="containsText" text="FAT">
      <formula>NOT(ISERROR(SEARCH("FAT",R77)))</formula>
    </cfRule>
    <cfRule type="containsText" dxfId="7684" priority="8405" operator="containsText" text="FIRE">
      <formula>NOT(ISERROR(SEARCH("FIRE",R77)))</formula>
    </cfRule>
    <cfRule type="containsText" dxfId="7683" priority="8406" operator="containsText" text="COSH">
      <formula>NOT(ISERROR(SEARCH("COSH",R77)))</formula>
    </cfRule>
  </conditionalFormatting>
  <conditionalFormatting sqref="S77">
    <cfRule type="containsText" dxfId="7682" priority="8401" operator="containsText" text="FAT">
      <formula>NOT(ISERROR(SEARCH("FAT",S77)))</formula>
    </cfRule>
    <cfRule type="containsText" dxfId="7681" priority="8402" operator="containsText" text="FIRE">
      <formula>NOT(ISERROR(SEARCH("FIRE",S77)))</formula>
    </cfRule>
    <cfRule type="containsText" dxfId="7680" priority="8403" operator="containsText" text="COSH">
      <formula>NOT(ISERROR(SEARCH("COSH",S77)))</formula>
    </cfRule>
  </conditionalFormatting>
  <conditionalFormatting sqref="T77">
    <cfRule type="containsText" dxfId="7679" priority="8398" operator="containsText" text="FAT">
      <formula>NOT(ISERROR(SEARCH("FAT",T77)))</formula>
    </cfRule>
    <cfRule type="containsText" dxfId="7678" priority="8399" operator="containsText" text="FIRE">
      <formula>NOT(ISERROR(SEARCH("FIRE",T77)))</formula>
    </cfRule>
    <cfRule type="containsText" dxfId="7677" priority="8400" operator="containsText" text="COSH">
      <formula>NOT(ISERROR(SEARCH("COSH",T77)))</formula>
    </cfRule>
  </conditionalFormatting>
  <conditionalFormatting sqref="R77:S77">
    <cfRule type="containsText" dxfId="7676" priority="8395" operator="containsText" text="FAT">
      <formula>NOT(ISERROR(SEARCH("FAT",R77)))</formula>
    </cfRule>
    <cfRule type="containsText" dxfId="7675" priority="8396" operator="containsText" text="FIRE">
      <formula>NOT(ISERROR(SEARCH("FIRE",R77)))</formula>
    </cfRule>
    <cfRule type="containsText" dxfId="7674" priority="8397" operator="containsText" text="COSH">
      <formula>NOT(ISERROR(SEARCH("COSH",R77)))</formula>
    </cfRule>
  </conditionalFormatting>
  <conditionalFormatting sqref="R77:S77">
    <cfRule type="containsText" dxfId="7673" priority="8392" operator="containsText" text="FAT">
      <formula>NOT(ISERROR(SEARCH("FAT",R77)))</formula>
    </cfRule>
    <cfRule type="containsText" dxfId="7672" priority="8393" operator="containsText" text="FIRE">
      <formula>NOT(ISERROR(SEARCH("FIRE",R77)))</formula>
    </cfRule>
    <cfRule type="containsText" dxfId="7671" priority="8394" operator="containsText" text="COSH">
      <formula>NOT(ISERROR(SEARCH("COSH",R77)))</formula>
    </cfRule>
  </conditionalFormatting>
  <conditionalFormatting sqref="R77:S77">
    <cfRule type="containsText" dxfId="7670" priority="8389" operator="containsText" text="FAT">
      <formula>NOT(ISERROR(SEARCH("FAT",R77)))</formula>
    </cfRule>
    <cfRule type="containsText" dxfId="7669" priority="8390" operator="containsText" text="FIRE">
      <formula>NOT(ISERROR(SEARCH("FIRE",R77)))</formula>
    </cfRule>
    <cfRule type="containsText" dxfId="7668" priority="8391" operator="containsText" text="COSH">
      <formula>NOT(ISERROR(SEARCH("COSH",R77)))</formula>
    </cfRule>
  </conditionalFormatting>
  <conditionalFormatting sqref="R77:S77">
    <cfRule type="containsText" dxfId="7667" priority="8386" operator="containsText" text="FAT">
      <formula>NOT(ISERROR(SEARCH("FAT",R77)))</formula>
    </cfRule>
    <cfRule type="containsText" dxfId="7666" priority="8387" operator="containsText" text="FIRE">
      <formula>NOT(ISERROR(SEARCH("FIRE",R77)))</formula>
    </cfRule>
    <cfRule type="containsText" dxfId="7665" priority="8388" operator="containsText" text="COSH">
      <formula>NOT(ISERROR(SEARCH("COSH",R77)))</formula>
    </cfRule>
  </conditionalFormatting>
  <conditionalFormatting sqref="R77:S77">
    <cfRule type="containsText" dxfId="7664" priority="8383" operator="containsText" text="FAT">
      <formula>NOT(ISERROR(SEARCH("FAT",R77)))</formula>
    </cfRule>
    <cfRule type="containsText" dxfId="7663" priority="8384" operator="containsText" text="FIRE">
      <formula>NOT(ISERROR(SEARCH("FIRE",R77)))</formula>
    </cfRule>
    <cfRule type="containsText" dxfId="7662" priority="8385" operator="containsText" text="COSH">
      <formula>NOT(ISERROR(SEARCH("COSH",R77)))</formula>
    </cfRule>
  </conditionalFormatting>
  <conditionalFormatting sqref="R77:S77">
    <cfRule type="containsText" dxfId="7661" priority="8380" operator="containsText" text="FAT">
      <formula>NOT(ISERROR(SEARCH("FAT",R77)))</formula>
    </cfRule>
    <cfRule type="containsText" dxfId="7660" priority="8381" operator="containsText" text="FIRE">
      <formula>NOT(ISERROR(SEARCH("FIRE",R77)))</formula>
    </cfRule>
    <cfRule type="containsText" dxfId="7659" priority="8382" operator="containsText" text="COSH">
      <formula>NOT(ISERROR(SEARCH("COSH",R77)))</formula>
    </cfRule>
  </conditionalFormatting>
  <conditionalFormatting sqref="R77:S77">
    <cfRule type="containsText" dxfId="7658" priority="8377" operator="containsText" text="FAT">
      <formula>NOT(ISERROR(SEARCH("FAT",R77)))</formula>
    </cfRule>
    <cfRule type="containsText" dxfId="7657" priority="8378" operator="containsText" text="FIRE">
      <formula>NOT(ISERROR(SEARCH("FIRE",R77)))</formula>
    </cfRule>
    <cfRule type="containsText" dxfId="7656" priority="8379" operator="containsText" text="COSH">
      <formula>NOT(ISERROR(SEARCH("COSH",R77)))</formula>
    </cfRule>
  </conditionalFormatting>
  <conditionalFormatting sqref="R77:S77">
    <cfRule type="containsText" dxfId="7655" priority="8374" operator="containsText" text="FAT">
      <formula>NOT(ISERROR(SEARCH("FAT",R77)))</formula>
    </cfRule>
    <cfRule type="containsText" dxfId="7654" priority="8375" operator="containsText" text="FIRE">
      <formula>NOT(ISERROR(SEARCH("FIRE",R77)))</formula>
    </cfRule>
    <cfRule type="containsText" dxfId="7653" priority="8376" operator="containsText" text="COSH">
      <formula>NOT(ISERROR(SEARCH("COSH",R77)))</formula>
    </cfRule>
  </conditionalFormatting>
  <conditionalFormatting sqref="R77:S77">
    <cfRule type="containsText" dxfId="7652" priority="8371" operator="containsText" text="FAT">
      <formula>NOT(ISERROR(SEARCH("FAT",R77)))</formula>
    </cfRule>
    <cfRule type="containsText" dxfId="7651" priority="8372" operator="containsText" text="FIRE">
      <formula>NOT(ISERROR(SEARCH("FIRE",R77)))</formula>
    </cfRule>
    <cfRule type="containsText" dxfId="7650" priority="8373" operator="containsText" text="COSH">
      <formula>NOT(ISERROR(SEARCH("COSH",R77)))</formula>
    </cfRule>
  </conditionalFormatting>
  <conditionalFormatting sqref="AA77">
    <cfRule type="containsText" dxfId="7649" priority="8368" operator="containsText" text="FAT">
      <formula>NOT(ISERROR(SEARCH("FAT",AA77)))</formula>
    </cfRule>
    <cfRule type="containsText" dxfId="7648" priority="8369" operator="containsText" text="FIRE">
      <formula>NOT(ISERROR(SEARCH("FIRE",AA77)))</formula>
    </cfRule>
    <cfRule type="containsText" dxfId="7647" priority="8370" operator="containsText" text="COSH">
      <formula>NOT(ISERROR(SEARCH("COSH",AA77)))</formula>
    </cfRule>
  </conditionalFormatting>
  <conditionalFormatting sqref="AA77">
    <cfRule type="containsText" dxfId="7646" priority="8365" operator="containsText" text="FAT">
      <formula>NOT(ISERROR(SEARCH("FAT",AA77)))</formula>
    </cfRule>
    <cfRule type="containsText" dxfId="7645" priority="8366" operator="containsText" text="FIRE">
      <formula>NOT(ISERROR(SEARCH("FIRE",AA77)))</formula>
    </cfRule>
    <cfRule type="containsText" dxfId="7644" priority="8367" operator="containsText" text="COSH">
      <formula>NOT(ISERROR(SEARCH("COSH",AA77)))</formula>
    </cfRule>
  </conditionalFormatting>
  <conditionalFormatting sqref="AA77">
    <cfRule type="containsText" dxfId="7643" priority="8362" operator="containsText" text="FAT">
      <formula>NOT(ISERROR(SEARCH("FAT",AA77)))</formula>
    </cfRule>
    <cfRule type="containsText" dxfId="7642" priority="8363" operator="containsText" text="FIRE">
      <formula>NOT(ISERROR(SEARCH("FIRE",AA77)))</formula>
    </cfRule>
    <cfRule type="containsText" dxfId="7641" priority="8364" operator="containsText" text="COSH">
      <formula>NOT(ISERROR(SEARCH("COSH",AA77)))</formula>
    </cfRule>
  </conditionalFormatting>
  <conditionalFormatting sqref="AA77">
    <cfRule type="containsText" dxfId="7640" priority="8359" operator="containsText" text="FAT">
      <formula>NOT(ISERROR(SEARCH("FAT",AA77)))</formula>
    </cfRule>
    <cfRule type="containsText" dxfId="7639" priority="8360" operator="containsText" text="FIRE">
      <formula>NOT(ISERROR(SEARCH("FIRE",AA77)))</formula>
    </cfRule>
    <cfRule type="containsText" dxfId="7638" priority="8361" operator="containsText" text="COSH">
      <formula>NOT(ISERROR(SEARCH("COSH",AA77)))</formula>
    </cfRule>
  </conditionalFormatting>
  <conditionalFormatting sqref="J77">
    <cfRule type="containsText" dxfId="7637" priority="8356" operator="containsText" text="FAT">
      <formula>NOT(ISERROR(SEARCH("FAT",J77)))</formula>
    </cfRule>
    <cfRule type="containsText" dxfId="7636" priority="8357" operator="containsText" text="FIRE">
      <formula>NOT(ISERROR(SEARCH("FIRE",J77)))</formula>
    </cfRule>
    <cfRule type="containsText" dxfId="7635" priority="8358" operator="containsText" text="COSH">
      <formula>NOT(ISERROR(SEARCH("COSH",J77)))</formula>
    </cfRule>
  </conditionalFormatting>
  <conditionalFormatting sqref="X77">
    <cfRule type="containsText" dxfId="7634" priority="8353" operator="containsText" text="FAT">
      <formula>NOT(ISERROR(SEARCH("FAT",X77)))</formula>
    </cfRule>
    <cfRule type="containsText" dxfId="7633" priority="8354" operator="containsText" text="FIRE">
      <formula>NOT(ISERROR(SEARCH("FIRE",X77)))</formula>
    </cfRule>
    <cfRule type="containsText" dxfId="7632" priority="8355" operator="containsText" text="COSH">
      <formula>NOT(ISERROR(SEARCH("COSH",X77)))</formula>
    </cfRule>
  </conditionalFormatting>
  <conditionalFormatting sqref="X77">
    <cfRule type="containsText" dxfId="7631" priority="8350" operator="containsText" text="FAT">
      <formula>NOT(ISERROR(SEARCH("FAT",X77)))</formula>
    </cfRule>
    <cfRule type="containsText" dxfId="7630" priority="8351" operator="containsText" text="FIRE">
      <formula>NOT(ISERROR(SEARCH("FIRE",X77)))</formula>
    </cfRule>
    <cfRule type="containsText" dxfId="7629" priority="8352" operator="containsText" text="COSH">
      <formula>NOT(ISERROR(SEARCH("COSH",X77)))</formula>
    </cfRule>
  </conditionalFormatting>
  <conditionalFormatting sqref="G77">
    <cfRule type="containsText" dxfId="7628" priority="8347" operator="containsText" text="FAT">
      <formula>NOT(ISERROR(SEARCH("FAT",G77)))</formula>
    </cfRule>
    <cfRule type="containsText" dxfId="7627" priority="8348" operator="containsText" text="FIRE">
      <formula>NOT(ISERROR(SEARCH("FIRE",G77)))</formula>
    </cfRule>
    <cfRule type="containsText" dxfId="7626" priority="8349" operator="containsText" text="COSH">
      <formula>NOT(ISERROR(SEARCH("COSH",G77)))</formula>
    </cfRule>
  </conditionalFormatting>
  <conditionalFormatting sqref="N77">
    <cfRule type="containsText" dxfId="7625" priority="8344" operator="containsText" text="FAT">
      <formula>NOT(ISERROR(SEARCH("FAT",N77)))</formula>
    </cfRule>
    <cfRule type="containsText" dxfId="7624" priority="8345" operator="containsText" text="FIRE">
      <formula>NOT(ISERROR(SEARCH("FIRE",N77)))</formula>
    </cfRule>
    <cfRule type="containsText" dxfId="7623" priority="8346" operator="containsText" text="COSH">
      <formula>NOT(ISERROR(SEARCH("COSH",N77)))</formula>
    </cfRule>
  </conditionalFormatting>
  <conditionalFormatting sqref="T77:U77">
    <cfRule type="containsText" dxfId="7622" priority="8341" operator="containsText" text="FAT">
      <formula>NOT(ISERROR(SEARCH("FAT",T77)))</formula>
    </cfRule>
    <cfRule type="containsText" dxfId="7621" priority="8342" operator="containsText" text="FIRE">
      <formula>NOT(ISERROR(SEARCH("FIRE",T77)))</formula>
    </cfRule>
    <cfRule type="containsText" dxfId="7620" priority="8343" operator="containsText" text="COSH">
      <formula>NOT(ISERROR(SEARCH("COSH",T77)))</formula>
    </cfRule>
  </conditionalFormatting>
  <conditionalFormatting sqref="AA77">
    <cfRule type="containsText" dxfId="7619" priority="8338" operator="containsText" text="FAT">
      <formula>NOT(ISERROR(SEARCH("FAT",AA77)))</formula>
    </cfRule>
    <cfRule type="containsText" dxfId="7618" priority="8339" operator="containsText" text="FIRE">
      <formula>NOT(ISERROR(SEARCH("FIRE",AA77)))</formula>
    </cfRule>
    <cfRule type="containsText" dxfId="7617" priority="8340" operator="containsText" text="COSH">
      <formula>NOT(ISERROR(SEARCH("COSH",AA77)))</formula>
    </cfRule>
  </conditionalFormatting>
  <conditionalFormatting sqref="L77">
    <cfRule type="containsText" dxfId="7616" priority="8335" operator="containsText" text="FAT">
      <formula>NOT(ISERROR(SEARCH("FAT",L77)))</formula>
    </cfRule>
    <cfRule type="containsText" dxfId="7615" priority="8336" operator="containsText" text="FIRE">
      <formula>NOT(ISERROR(SEARCH("FIRE",L77)))</formula>
    </cfRule>
    <cfRule type="containsText" dxfId="7614" priority="8337" operator="containsText" text="COSH">
      <formula>NOT(ISERROR(SEARCH("COSH",L77)))</formula>
    </cfRule>
  </conditionalFormatting>
  <conditionalFormatting sqref="S77">
    <cfRule type="containsText" dxfId="7613" priority="8332" operator="containsText" text="FAT">
      <formula>NOT(ISERROR(SEARCH("FAT",S77)))</formula>
    </cfRule>
    <cfRule type="containsText" dxfId="7612" priority="8333" operator="containsText" text="FIRE">
      <formula>NOT(ISERROR(SEARCH("FIRE",S77)))</formula>
    </cfRule>
    <cfRule type="containsText" dxfId="7611" priority="8334" operator="containsText" text="COSH">
      <formula>NOT(ISERROR(SEARCH("COSH",S77)))</formula>
    </cfRule>
  </conditionalFormatting>
  <conditionalFormatting sqref="Y77">
    <cfRule type="containsText" dxfId="7610" priority="8329" operator="containsText" text="FAT">
      <formula>NOT(ISERROR(SEARCH("FAT",Y77)))</formula>
    </cfRule>
    <cfRule type="containsText" dxfId="7609" priority="8330" operator="containsText" text="FIRE">
      <formula>NOT(ISERROR(SEARCH("FIRE",Y77)))</formula>
    </cfRule>
    <cfRule type="containsText" dxfId="7608" priority="8331" operator="containsText" text="COSH">
      <formula>NOT(ISERROR(SEARCH("COSH",Y77)))</formula>
    </cfRule>
  </conditionalFormatting>
  <conditionalFormatting sqref="V77">
    <cfRule type="containsText" dxfId="7607" priority="8326" operator="containsText" text="FAT">
      <formula>NOT(ISERROR(SEARCH("FAT",V77)))</formula>
    </cfRule>
    <cfRule type="containsText" dxfId="7606" priority="8327" operator="containsText" text="FIRE">
      <formula>NOT(ISERROR(SEARCH("FIRE",V77)))</formula>
    </cfRule>
    <cfRule type="containsText" dxfId="7605" priority="8328" operator="containsText" text="COSH">
      <formula>NOT(ISERROR(SEARCH("COSH",V77)))</formula>
    </cfRule>
  </conditionalFormatting>
  <conditionalFormatting sqref="M77">
    <cfRule type="containsText" dxfId="7604" priority="8323" operator="containsText" text="FAT">
      <formula>NOT(ISERROR(SEARCH("FAT",M77)))</formula>
    </cfRule>
    <cfRule type="containsText" dxfId="7603" priority="8324" operator="containsText" text="FIRE">
      <formula>NOT(ISERROR(SEARCH("FIRE",M77)))</formula>
    </cfRule>
    <cfRule type="containsText" dxfId="7602" priority="8325" operator="containsText" text="COSH">
      <formula>NOT(ISERROR(SEARCH("COSH",M77)))</formula>
    </cfRule>
  </conditionalFormatting>
  <conditionalFormatting sqref="T77">
    <cfRule type="containsText" dxfId="7601" priority="8320" operator="containsText" text="FAT">
      <formula>NOT(ISERROR(SEARCH("FAT",T77)))</formula>
    </cfRule>
    <cfRule type="containsText" dxfId="7600" priority="8321" operator="containsText" text="FIRE">
      <formula>NOT(ISERROR(SEARCH("FIRE",T77)))</formula>
    </cfRule>
    <cfRule type="containsText" dxfId="7599" priority="8322" operator="containsText" text="COSH">
      <formula>NOT(ISERROR(SEARCH("COSH",T77)))</formula>
    </cfRule>
  </conditionalFormatting>
  <conditionalFormatting sqref="AA77">
    <cfRule type="containsText" dxfId="7598" priority="8317" operator="containsText" text="FAT">
      <formula>NOT(ISERROR(SEARCH("FAT",AA77)))</formula>
    </cfRule>
    <cfRule type="containsText" dxfId="7597" priority="8318" operator="containsText" text="FIRE">
      <formula>NOT(ISERROR(SEARCH("FIRE",AA77)))</formula>
    </cfRule>
    <cfRule type="containsText" dxfId="7596" priority="8319" operator="containsText" text="COSH">
      <formula>NOT(ISERROR(SEARCH("COSH",AA77)))</formula>
    </cfRule>
  </conditionalFormatting>
  <conditionalFormatting sqref="R77">
    <cfRule type="containsText" dxfId="7595" priority="8314" operator="containsText" text="FAT">
      <formula>NOT(ISERROR(SEARCH("FAT",R77)))</formula>
    </cfRule>
    <cfRule type="containsText" dxfId="7594" priority="8315" operator="containsText" text="FIRE">
      <formula>NOT(ISERROR(SEARCH("FIRE",R77)))</formula>
    </cfRule>
    <cfRule type="containsText" dxfId="7593" priority="8316" operator="containsText" text="COSH">
      <formula>NOT(ISERROR(SEARCH("COSH",R77)))</formula>
    </cfRule>
  </conditionalFormatting>
  <conditionalFormatting sqref="S77">
    <cfRule type="containsText" dxfId="7592" priority="8311" operator="containsText" text="FAT">
      <formula>NOT(ISERROR(SEARCH("FAT",S77)))</formula>
    </cfRule>
    <cfRule type="containsText" dxfId="7591" priority="8312" operator="containsText" text="FIRE">
      <formula>NOT(ISERROR(SEARCH("FIRE",S77)))</formula>
    </cfRule>
    <cfRule type="containsText" dxfId="7590" priority="8313" operator="containsText" text="COSH">
      <formula>NOT(ISERROR(SEARCH("COSH",S77)))</formula>
    </cfRule>
  </conditionalFormatting>
  <conditionalFormatting sqref="T77">
    <cfRule type="containsText" dxfId="7589" priority="8308" operator="containsText" text="FAT">
      <formula>NOT(ISERROR(SEARCH("FAT",T77)))</formula>
    </cfRule>
    <cfRule type="containsText" dxfId="7588" priority="8309" operator="containsText" text="FIRE">
      <formula>NOT(ISERROR(SEARCH("FIRE",T77)))</formula>
    </cfRule>
    <cfRule type="containsText" dxfId="7587" priority="8310" operator="containsText" text="COSH">
      <formula>NOT(ISERROR(SEARCH("COSH",T77)))</formula>
    </cfRule>
  </conditionalFormatting>
  <conditionalFormatting sqref="R77:S77">
    <cfRule type="containsText" dxfId="7586" priority="8305" operator="containsText" text="FAT">
      <formula>NOT(ISERROR(SEARCH("FAT",R77)))</formula>
    </cfRule>
    <cfRule type="containsText" dxfId="7585" priority="8306" operator="containsText" text="FIRE">
      <formula>NOT(ISERROR(SEARCH("FIRE",R77)))</formula>
    </cfRule>
    <cfRule type="containsText" dxfId="7584" priority="8307" operator="containsText" text="COSH">
      <formula>NOT(ISERROR(SEARCH("COSH",R77)))</formula>
    </cfRule>
  </conditionalFormatting>
  <conditionalFormatting sqref="R77:S77">
    <cfRule type="containsText" dxfId="7583" priority="8302" operator="containsText" text="FAT">
      <formula>NOT(ISERROR(SEARCH("FAT",R77)))</formula>
    </cfRule>
    <cfRule type="containsText" dxfId="7582" priority="8303" operator="containsText" text="FIRE">
      <formula>NOT(ISERROR(SEARCH("FIRE",R77)))</formula>
    </cfRule>
    <cfRule type="containsText" dxfId="7581" priority="8304" operator="containsText" text="COSH">
      <formula>NOT(ISERROR(SEARCH("COSH",R77)))</formula>
    </cfRule>
  </conditionalFormatting>
  <conditionalFormatting sqref="R77:S77">
    <cfRule type="containsText" dxfId="7580" priority="8299" operator="containsText" text="FAT">
      <formula>NOT(ISERROR(SEARCH("FAT",R77)))</formula>
    </cfRule>
    <cfRule type="containsText" dxfId="7579" priority="8300" operator="containsText" text="FIRE">
      <formula>NOT(ISERROR(SEARCH("FIRE",R77)))</formula>
    </cfRule>
    <cfRule type="containsText" dxfId="7578" priority="8301" operator="containsText" text="COSH">
      <formula>NOT(ISERROR(SEARCH("COSH",R77)))</formula>
    </cfRule>
  </conditionalFormatting>
  <conditionalFormatting sqref="R77:S77">
    <cfRule type="containsText" dxfId="7577" priority="8296" operator="containsText" text="FAT">
      <formula>NOT(ISERROR(SEARCH("FAT",R77)))</formula>
    </cfRule>
    <cfRule type="containsText" dxfId="7576" priority="8297" operator="containsText" text="FIRE">
      <formula>NOT(ISERROR(SEARCH("FIRE",R77)))</formula>
    </cfRule>
    <cfRule type="containsText" dxfId="7575" priority="8298" operator="containsText" text="COSH">
      <formula>NOT(ISERROR(SEARCH("COSH",R77)))</formula>
    </cfRule>
  </conditionalFormatting>
  <conditionalFormatting sqref="R77:S77">
    <cfRule type="containsText" dxfId="7574" priority="8293" operator="containsText" text="FAT">
      <formula>NOT(ISERROR(SEARCH("FAT",R77)))</formula>
    </cfRule>
    <cfRule type="containsText" dxfId="7573" priority="8294" operator="containsText" text="FIRE">
      <formula>NOT(ISERROR(SEARCH("FIRE",R77)))</formula>
    </cfRule>
    <cfRule type="containsText" dxfId="7572" priority="8295" operator="containsText" text="COSH">
      <formula>NOT(ISERROR(SEARCH("COSH",R77)))</formula>
    </cfRule>
  </conditionalFormatting>
  <conditionalFormatting sqref="R77:S77">
    <cfRule type="containsText" dxfId="7571" priority="8290" operator="containsText" text="FAT">
      <formula>NOT(ISERROR(SEARCH("FAT",R77)))</formula>
    </cfRule>
    <cfRule type="containsText" dxfId="7570" priority="8291" operator="containsText" text="FIRE">
      <formula>NOT(ISERROR(SEARCH("FIRE",R77)))</formula>
    </cfRule>
    <cfRule type="containsText" dxfId="7569" priority="8292" operator="containsText" text="COSH">
      <formula>NOT(ISERROR(SEARCH("COSH",R77)))</formula>
    </cfRule>
  </conditionalFormatting>
  <conditionalFormatting sqref="R77:S77">
    <cfRule type="containsText" dxfId="7568" priority="8287" operator="containsText" text="FAT">
      <formula>NOT(ISERROR(SEARCH("FAT",R77)))</formula>
    </cfRule>
    <cfRule type="containsText" dxfId="7567" priority="8288" operator="containsText" text="FIRE">
      <formula>NOT(ISERROR(SEARCH("FIRE",R77)))</formula>
    </cfRule>
    <cfRule type="containsText" dxfId="7566" priority="8289" operator="containsText" text="COSH">
      <formula>NOT(ISERROR(SEARCH("COSH",R77)))</formula>
    </cfRule>
  </conditionalFormatting>
  <conditionalFormatting sqref="R77:S77">
    <cfRule type="containsText" dxfId="7565" priority="8284" operator="containsText" text="FAT">
      <formula>NOT(ISERROR(SEARCH("FAT",R77)))</formula>
    </cfRule>
    <cfRule type="containsText" dxfId="7564" priority="8285" operator="containsText" text="FIRE">
      <formula>NOT(ISERROR(SEARCH("FIRE",R77)))</formula>
    </cfRule>
    <cfRule type="containsText" dxfId="7563" priority="8286" operator="containsText" text="COSH">
      <formula>NOT(ISERROR(SEARCH("COSH",R77)))</formula>
    </cfRule>
  </conditionalFormatting>
  <conditionalFormatting sqref="R77:S77">
    <cfRule type="containsText" dxfId="7562" priority="8281" operator="containsText" text="FAT">
      <formula>NOT(ISERROR(SEARCH("FAT",R77)))</formula>
    </cfRule>
    <cfRule type="containsText" dxfId="7561" priority="8282" operator="containsText" text="FIRE">
      <formula>NOT(ISERROR(SEARCH("FIRE",R77)))</formula>
    </cfRule>
    <cfRule type="containsText" dxfId="7560" priority="8283" operator="containsText" text="COSH">
      <formula>NOT(ISERROR(SEARCH("COSH",R77)))</formula>
    </cfRule>
  </conditionalFormatting>
  <conditionalFormatting sqref="AA77">
    <cfRule type="containsText" dxfId="7559" priority="8278" operator="containsText" text="FAT">
      <formula>NOT(ISERROR(SEARCH("FAT",AA77)))</formula>
    </cfRule>
    <cfRule type="containsText" dxfId="7558" priority="8279" operator="containsText" text="FIRE">
      <formula>NOT(ISERROR(SEARCH("FIRE",AA77)))</formula>
    </cfRule>
    <cfRule type="containsText" dxfId="7557" priority="8280" operator="containsText" text="COSH">
      <formula>NOT(ISERROR(SEARCH("COSH",AA77)))</formula>
    </cfRule>
  </conditionalFormatting>
  <conditionalFormatting sqref="AA77">
    <cfRule type="containsText" dxfId="7556" priority="8275" operator="containsText" text="FAT">
      <formula>NOT(ISERROR(SEARCH("FAT",AA77)))</formula>
    </cfRule>
    <cfRule type="containsText" dxfId="7555" priority="8276" operator="containsText" text="FIRE">
      <formula>NOT(ISERROR(SEARCH("FIRE",AA77)))</formula>
    </cfRule>
    <cfRule type="containsText" dxfId="7554" priority="8277" operator="containsText" text="COSH">
      <formula>NOT(ISERROR(SEARCH("COSH",AA77)))</formula>
    </cfRule>
  </conditionalFormatting>
  <conditionalFormatting sqref="N76">
    <cfRule type="containsText" dxfId="7553" priority="8272" operator="containsText" text="FAT">
      <formula>NOT(ISERROR(SEARCH("FAT",N76)))</formula>
    </cfRule>
    <cfRule type="containsText" dxfId="7552" priority="8273" operator="containsText" text="FIRE">
      <formula>NOT(ISERROR(SEARCH("FIRE",N76)))</formula>
    </cfRule>
    <cfRule type="containsText" dxfId="7551" priority="8274" operator="containsText" text="COSH">
      <formula>NOT(ISERROR(SEARCH("COSH",N76)))</formula>
    </cfRule>
  </conditionalFormatting>
  <conditionalFormatting sqref="T76:U76">
    <cfRule type="containsText" dxfId="7550" priority="8269" operator="containsText" text="FAT">
      <formula>NOT(ISERROR(SEARCH("FAT",T76)))</formula>
    </cfRule>
    <cfRule type="containsText" dxfId="7549" priority="8270" operator="containsText" text="FIRE">
      <formula>NOT(ISERROR(SEARCH("FIRE",T76)))</formula>
    </cfRule>
    <cfRule type="containsText" dxfId="7548" priority="8271" operator="containsText" text="COSH">
      <formula>NOT(ISERROR(SEARCH("COSH",T76)))</formula>
    </cfRule>
  </conditionalFormatting>
  <conditionalFormatting sqref="AA76">
    <cfRule type="containsText" dxfId="7547" priority="8266" operator="containsText" text="FAT">
      <formula>NOT(ISERROR(SEARCH("FAT",AA76)))</formula>
    </cfRule>
    <cfRule type="containsText" dxfId="7546" priority="8267" operator="containsText" text="FIRE">
      <formula>NOT(ISERROR(SEARCH("FIRE",AA76)))</formula>
    </cfRule>
    <cfRule type="containsText" dxfId="7545" priority="8268" operator="containsText" text="COSH">
      <formula>NOT(ISERROR(SEARCH("COSH",AA76)))</formula>
    </cfRule>
  </conditionalFormatting>
  <conditionalFormatting sqref="L76">
    <cfRule type="containsText" dxfId="7544" priority="8263" operator="containsText" text="FAT">
      <formula>NOT(ISERROR(SEARCH("FAT",L76)))</formula>
    </cfRule>
    <cfRule type="containsText" dxfId="7543" priority="8264" operator="containsText" text="FIRE">
      <formula>NOT(ISERROR(SEARCH("FIRE",L76)))</formula>
    </cfRule>
    <cfRule type="containsText" dxfId="7542" priority="8265" operator="containsText" text="COSH">
      <formula>NOT(ISERROR(SEARCH("COSH",L76)))</formula>
    </cfRule>
  </conditionalFormatting>
  <conditionalFormatting sqref="S76">
    <cfRule type="containsText" dxfId="7541" priority="8260" operator="containsText" text="FAT">
      <formula>NOT(ISERROR(SEARCH("FAT",S76)))</formula>
    </cfRule>
    <cfRule type="containsText" dxfId="7540" priority="8261" operator="containsText" text="FIRE">
      <formula>NOT(ISERROR(SEARCH("FIRE",S76)))</formula>
    </cfRule>
    <cfRule type="containsText" dxfId="7539" priority="8262" operator="containsText" text="COSH">
      <formula>NOT(ISERROR(SEARCH("COSH",S76)))</formula>
    </cfRule>
  </conditionalFormatting>
  <conditionalFormatting sqref="Y76">
    <cfRule type="containsText" dxfId="7538" priority="8257" operator="containsText" text="FAT">
      <formula>NOT(ISERROR(SEARCH("FAT",Y76)))</formula>
    </cfRule>
    <cfRule type="containsText" dxfId="7537" priority="8258" operator="containsText" text="FIRE">
      <formula>NOT(ISERROR(SEARCH("FIRE",Y76)))</formula>
    </cfRule>
    <cfRule type="containsText" dxfId="7536" priority="8259" operator="containsText" text="COSH">
      <formula>NOT(ISERROR(SEARCH("COSH",Y76)))</formula>
    </cfRule>
  </conditionalFormatting>
  <conditionalFormatting sqref="V76">
    <cfRule type="containsText" dxfId="7535" priority="8254" operator="containsText" text="FAT">
      <formula>NOT(ISERROR(SEARCH("FAT",V76)))</formula>
    </cfRule>
    <cfRule type="containsText" dxfId="7534" priority="8255" operator="containsText" text="FIRE">
      <formula>NOT(ISERROR(SEARCH("FIRE",V76)))</formula>
    </cfRule>
    <cfRule type="containsText" dxfId="7533" priority="8256" operator="containsText" text="COSH">
      <formula>NOT(ISERROR(SEARCH("COSH",V76)))</formula>
    </cfRule>
  </conditionalFormatting>
  <conditionalFormatting sqref="M76">
    <cfRule type="containsText" dxfId="7532" priority="8251" operator="containsText" text="FAT">
      <formula>NOT(ISERROR(SEARCH("FAT",M76)))</formula>
    </cfRule>
    <cfRule type="containsText" dxfId="7531" priority="8252" operator="containsText" text="FIRE">
      <formula>NOT(ISERROR(SEARCH("FIRE",M76)))</formula>
    </cfRule>
    <cfRule type="containsText" dxfId="7530" priority="8253" operator="containsText" text="COSH">
      <formula>NOT(ISERROR(SEARCH("COSH",M76)))</formula>
    </cfRule>
  </conditionalFormatting>
  <conditionalFormatting sqref="T76">
    <cfRule type="containsText" dxfId="7529" priority="8248" operator="containsText" text="FAT">
      <formula>NOT(ISERROR(SEARCH("FAT",T76)))</formula>
    </cfRule>
    <cfRule type="containsText" dxfId="7528" priority="8249" operator="containsText" text="FIRE">
      <formula>NOT(ISERROR(SEARCH("FIRE",T76)))</formula>
    </cfRule>
    <cfRule type="containsText" dxfId="7527" priority="8250" operator="containsText" text="COSH">
      <formula>NOT(ISERROR(SEARCH("COSH",T76)))</formula>
    </cfRule>
  </conditionalFormatting>
  <conditionalFormatting sqref="AA76">
    <cfRule type="containsText" dxfId="7526" priority="8245" operator="containsText" text="FAT">
      <formula>NOT(ISERROR(SEARCH("FAT",AA76)))</formula>
    </cfRule>
    <cfRule type="containsText" dxfId="7525" priority="8246" operator="containsText" text="FIRE">
      <formula>NOT(ISERROR(SEARCH("FIRE",AA76)))</formula>
    </cfRule>
    <cfRule type="containsText" dxfId="7524" priority="8247" operator="containsText" text="COSH">
      <formula>NOT(ISERROR(SEARCH("COSH",AA76)))</formula>
    </cfRule>
  </conditionalFormatting>
  <conditionalFormatting sqref="G72">
    <cfRule type="containsText" dxfId="7523" priority="8242" operator="containsText" text="FAT">
      <formula>NOT(ISERROR(SEARCH("FAT",G72)))</formula>
    </cfRule>
    <cfRule type="containsText" dxfId="7522" priority="8243" operator="containsText" text="FIRE">
      <formula>NOT(ISERROR(SEARCH("FIRE",G72)))</formula>
    </cfRule>
    <cfRule type="containsText" dxfId="7521" priority="8244" operator="containsText" text="COSH">
      <formula>NOT(ISERROR(SEARCH("COSH",G72)))</formula>
    </cfRule>
  </conditionalFormatting>
  <conditionalFormatting sqref="N72">
    <cfRule type="containsText" dxfId="7520" priority="8239" operator="containsText" text="FAT">
      <formula>NOT(ISERROR(SEARCH("FAT",N72)))</formula>
    </cfRule>
    <cfRule type="containsText" dxfId="7519" priority="8240" operator="containsText" text="FIRE">
      <formula>NOT(ISERROR(SEARCH("FIRE",N72)))</formula>
    </cfRule>
    <cfRule type="containsText" dxfId="7518" priority="8241" operator="containsText" text="COSH">
      <formula>NOT(ISERROR(SEARCH("COSH",N72)))</formula>
    </cfRule>
  </conditionalFormatting>
  <conditionalFormatting sqref="T72:U72">
    <cfRule type="containsText" dxfId="7517" priority="8236" operator="containsText" text="FAT">
      <formula>NOT(ISERROR(SEARCH("FAT",T72)))</formula>
    </cfRule>
    <cfRule type="containsText" dxfId="7516" priority="8237" operator="containsText" text="FIRE">
      <formula>NOT(ISERROR(SEARCH("FIRE",T72)))</formula>
    </cfRule>
    <cfRule type="containsText" dxfId="7515" priority="8238" operator="containsText" text="COSH">
      <formula>NOT(ISERROR(SEARCH("COSH",T72)))</formula>
    </cfRule>
  </conditionalFormatting>
  <conditionalFormatting sqref="AA72">
    <cfRule type="containsText" dxfId="7514" priority="8233" operator="containsText" text="FAT">
      <formula>NOT(ISERROR(SEARCH("FAT",AA72)))</formula>
    </cfRule>
    <cfRule type="containsText" dxfId="7513" priority="8234" operator="containsText" text="FIRE">
      <formula>NOT(ISERROR(SEARCH("FIRE",AA72)))</formula>
    </cfRule>
    <cfRule type="containsText" dxfId="7512" priority="8235" operator="containsText" text="COSH">
      <formula>NOT(ISERROR(SEARCH("COSH",AA72)))</formula>
    </cfRule>
  </conditionalFormatting>
  <conditionalFormatting sqref="L72">
    <cfRule type="containsText" dxfId="7511" priority="8230" operator="containsText" text="FAT">
      <formula>NOT(ISERROR(SEARCH("FAT",L72)))</formula>
    </cfRule>
    <cfRule type="containsText" dxfId="7510" priority="8231" operator="containsText" text="FIRE">
      <formula>NOT(ISERROR(SEARCH("FIRE",L72)))</formula>
    </cfRule>
    <cfRule type="containsText" dxfId="7509" priority="8232" operator="containsText" text="COSH">
      <formula>NOT(ISERROR(SEARCH("COSH",L72)))</formula>
    </cfRule>
  </conditionalFormatting>
  <conditionalFormatting sqref="S72">
    <cfRule type="containsText" dxfId="7508" priority="8227" operator="containsText" text="FAT">
      <formula>NOT(ISERROR(SEARCH("FAT",S72)))</formula>
    </cfRule>
    <cfRule type="containsText" dxfId="7507" priority="8228" operator="containsText" text="FIRE">
      <formula>NOT(ISERROR(SEARCH("FIRE",S72)))</formula>
    </cfRule>
    <cfRule type="containsText" dxfId="7506" priority="8229" operator="containsText" text="COSH">
      <formula>NOT(ISERROR(SEARCH("COSH",S72)))</formula>
    </cfRule>
  </conditionalFormatting>
  <conditionalFormatting sqref="Y72">
    <cfRule type="containsText" dxfId="7505" priority="8224" operator="containsText" text="FAT">
      <formula>NOT(ISERROR(SEARCH("FAT",Y72)))</formula>
    </cfRule>
    <cfRule type="containsText" dxfId="7504" priority="8225" operator="containsText" text="FIRE">
      <formula>NOT(ISERROR(SEARCH("FIRE",Y72)))</formula>
    </cfRule>
    <cfRule type="containsText" dxfId="7503" priority="8226" operator="containsText" text="COSH">
      <formula>NOT(ISERROR(SEARCH("COSH",Y72)))</formula>
    </cfRule>
  </conditionalFormatting>
  <conditionalFormatting sqref="V72">
    <cfRule type="containsText" dxfId="7502" priority="8221" operator="containsText" text="FAT">
      <formula>NOT(ISERROR(SEARCH("FAT",V72)))</formula>
    </cfRule>
    <cfRule type="containsText" dxfId="7501" priority="8222" operator="containsText" text="FIRE">
      <formula>NOT(ISERROR(SEARCH("FIRE",V72)))</formula>
    </cfRule>
    <cfRule type="containsText" dxfId="7500" priority="8223" operator="containsText" text="COSH">
      <formula>NOT(ISERROR(SEARCH("COSH",V72)))</formula>
    </cfRule>
  </conditionalFormatting>
  <conditionalFormatting sqref="M72">
    <cfRule type="containsText" dxfId="7499" priority="8218" operator="containsText" text="FAT">
      <formula>NOT(ISERROR(SEARCH("FAT",M72)))</formula>
    </cfRule>
    <cfRule type="containsText" dxfId="7498" priority="8219" operator="containsText" text="FIRE">
      <formula>NOT(ISERROR(SEARCH("FIRE",M72)))</formula>
    </cfRule>
    <cfRule type="containsText" dxfId="7497" priority="8220" operator="containsText" text="COSH">
      <formula>NOT(ISERROR(SEARCH("COSH",M72)))</formula>
    </cfRule>
  </conditionalFormatting>
  <conditionalFormatting sqref="T72">
    <cfRule type="containsText" dxfId="7496" priority="8215" operator="containsText" text="FAT">
      <formula>NOT(ISERROR(SEARCH("FAT",T72)))</formula>
    </cfRule>
    <cfRule type="containsText" dxfId="7495" priority="8216" operator="containsText" text="FIRE">
      <formula>NOT(ISERROR(SEARCH("FIRE",T72)))</formula>
    </cfRule>
    <cfRule type="containsText" dxfId="7494" priority="8217" operator="containsText" text="COSH">
      <formula>NOT(ISERROR(SEARCH("COSH",T72)))</formula>
    </cfRule>
  </conditionalFormatting>
  <conditionalFormatting sqref="AA72">
    <cfRule type="containsText" dxfId="7493" priority="8212" operator="containsText" text="FAT">
      <formula>NOT(ISERROR(SEARCH("FAT",AA72)))</formula>
    </cfRule>
    <cfRule type="containsText" dxfId="7492" priority="8213" operator="containsText" text="FIRE">
      <formula>NOT(ISERROR(SEARCH("FIRE",AA72)))</formula>
    </cfRule>
    <cfRule type="containsText" dxfId="7491" priority="8214" operator="containsText" text="COSH">
      <formula>NOT(ISERROR(SEARCH("COSH",AA72)))</formula>
    </cfRule>
  </conditionalFormatting>
  <conditionalFormatting sqref="J81">
    <cfRule type="containsText" dxfId="7490" priority="8209" operator="containsText" text="FAT">
      <formula>NOT(ISERROR(SEARCH("FAT",J81)))</formula>
    </cfRule>
    <cfRule type="containsText" dxfId="7489" priority="8210" operator="containsText" text="FIRE">
      <formula>NOT(ISERROR(SEARCH("FIRE",J81)))</formula>
    </cfRule>
    <cfRule type="containsText" dxfId="7488" priority="8211" operator="containsText" text="COSH">
      <formula>NOT(ISERROR(SEARCH("COSH",J81)))</formula>
    </cfRule>
  </conditionalFormatting>
  <conditionalFormatting sqref="X81">
    <cfRule type="containsText" dxfId="7487" priority="8206" operator="containsText" text="FAT">
      <formula>NOT(ISERROR(SEARCH("FAT",X81)))</formula>
    </cfRule>
    <cfRule type="containsText" dxfId="7486" priority="8207" operator="containsText" text="FIRE">
      <formula>NOT(ISERROR(SEARCH("FIRE",X81)))</formula>
    </cfRule>
    <cfRule type="containsText" dxfId="7485" priority="8208" operator="containsText" text="COSH">
      <formula>NOT(ISERROR(SEARCH("COSH",X81)))</formula>
    </cfRule>
  </conditionalFormatting>
  <conditionalFormatting sqref="X81">
    <cfRule type="containsText" dxfId="7484" priority="8203" operator="containsText" text="FAT">
      <formula>NOT(ISERROR(SEARCH("FAT",X81)))</formula>
    </cfRule>
    <cfRule type="containsText" dxfId="7483" priority="8204" operator="containsText" text="FIRE">
      <formula>NOT(ISERROR(SEARCH("FIRE",X81)))</formula>
    </cfRule>
    <cfRule type="containsText" dxfId="7482" priority="8205" operator="containsText" text="COSH">
      <formula>NOT(ISERROR(SEARCH("COSH",X81)))</formula>
    </cfRule>
  </conditionalFormatting>
  <conditionalFormatting sqref="G81">
    <cfRule type="containsText" dxfId="7481" priority="8200" operator="containsText" text="FAT">
      <formula>NOT(ISERROR(SEARCH("FAT",G81)))</formula>
    </cfRule>
    <cfRule type="containsText" dxfId="7480" priority="8201" operator="containsText" text="FIRE">
      <formula>NOT(ISERROR(SEARCH("FIRE",G81)))</formula>
    </cfRule>
    <cfRule type="containsText" dxfId="7479" priority="8202" operator="containsText" text="COSH">
      <formula>NOT(ISERROR(SEARCH("COSH",G81)))</formula>
    </cfRule>
  </conditionalFormatting>
  <conditionalFormatting sqref="N81">
    <cfRule type="containsText" dxfId="7478" priority="8197" operator="containsText" text="FAT">
      <formula>NOT(ISERROR(SEARCH("FAT",N81)))</formula>
    </cfRule>
    <cfRule type="containsText" dxfId="7477" priority="8198" operator="containsText" text="FIRE">
      <formula>NOT(ISERROR(SEARCH("FIRE",N81)))</formula>
    </cfRule>
    <cfRule type="containsText" dxfId="7476" priority="8199" operator="containsText" text="COSH">
      <formula>NOT(ISERROR(SEARCH("COSH",N81)))</formula>
    </cfRule>
  </conditionalFormatting>
  <conditionalFormatting sqref="T81:U81">
    <cfRule type="containsText" dxfId="7475" priority="8194" operator="containsText" text="FAT">
      <formula>NOT(ISERROR(SEARCH("FAT",T81)))</formula>
    </cfRule>
    <cfRule type="containsText" dxfId="7474" priority="8195" operator="containsText" text="FIRE">
      <formula>NOT(ISERROR(SEARCH("FIRE",T81)))</formula>
    </cfRule>
    <cfRule type="containsText" dxfId="7473" priority="8196" operator="containsText" text="COSH">
      <formula>NOT(ISERROR(SEARCH("COSH",T81)))</formula>
    </cfRule>
  </conditionalFormatting>
  <conditionalFormatting sqref="AA81">
    <cfRule type="containsText" dxfId="7472" priority="8191" operator="containsText" text="FAT">
      <formula>NOT(ISERROR(SEARCH("FAT",AA81)))</formula>
    </cfRule>
    <cfRule type="containsText" dxfId="7471" priority="8192" operator="containsText" text="FIRE">
      <formula>NOT(ISERROR(SEARCH("FIRE",AA81)))</formula>
    </cfRule>
    <cfRule type="containsText" dxfId="7470" priority="8193" operator="containsText" text="COSH">
      <formula>NOT(ISERROR(SEARCH("COSH",AA81)))</formula>
    </cfRule>
  </conditionalFormatting>
  <conditionalFormatting sqref="L81">
    <cfRule type="containsText" dxfId="7469" priority="8188" operator="containsText" text="FAT">
      <formula>NOT(ISERROR(SEARCH("FAT",L81)))</formula>
    </cfRule>
    <cfRule type="containsText" dxfId="7468" priority="8189" operator="containsText" text="FIRE">
      <formula>NOT(ISERROR(SEARCH("FIRE",L81)))</formula>
    </cfRule>
    <cfRule type="containsText" dxfId="7467" priority="8190" operator="containsText" text="COSH">
      <formula>NOT(ISERROR(SEARCH("COSH",L81)))</formula>
    </cfRule>
  </conditionalFormatting>
  <conditionalFormatting sqref="S81">
    <cfRule type="containsText" dxfId="7466" priority="8185" operator="containsText" text="FAT">
      <formula>NOT(ISERROR(SEARCH("FAT",S81)))</formula>
    </cfRule>
    <cfRule type="containsText" dxfId="7465" priority="8186" operator="containsText" text="FIRE">
      <formula>NOT(ISERROR(SEARCH("FIRE",S81)))</formula>
    </cfRule>
    <cfRule type="containsText" dxfId="7464" priority="8187" operator="containsText" text="COSH">
      <formula>NOT(ISERROR(SEARCH("COSH",S81)))</formula>
    </cfRule>
  </conditionalFormatting>
  <conditionalFormatting sqref="Y81">
    <cfRule type="containsText" dxfId="7463" priority="8182" operator="containsText" text="FAT">
      <formula>NOT(ISERROR(SEARCH("FAT",Y81)))</formula>
    </cfRule>
    <cfRule type="containsText" dxfId="7462" priority="8183" operator="containsText" text="FIRE">
      <formula>NOT(ISERROR(SEARCH("FIRE",Y81)))</formula>
    </cfRule>
    <cfRule type="containsText" dxfId="7461" priority="8184" operator="containsText" text="COSH">
      <formula>NOT(ISERROR(SEARCH("COSH",Y81)))</formula>
    </cfRule>
  </conditionalFormatting>
  <conditionalFormatting sqref="V81">
    <cfRule type="containsText" dxfId="7460" priority="8179" operator="containsText" text="FAT">
      <formula>NOT(ISERROR(SEARCH("FAT",V81)))</formula>
    </cfRule>
    <cfRule type="containsText" dxfId="7459" priority="8180" operator="containsText" text="FIRE">
      <formula>NOT(ISERROR(SEARCH("FIRE",V81)))</formula>
    </cfRule>
    <cfRule type="containsText" dxfId="7458" priority="8181" operator="containsText" text="COSH">
      <formula>NOT(ISERROR(SEARCH("COSH",V81)))</formula>
    </cfRule>
  </conditionalFormatting>
  <conditionalFormatting sqref="M81">
    <cfRule type="containsText" dxfId="7457" priority="8176" operator="containsText" text="FAT">
      <formula>NOT(ISERROR(SEARCH("FAT",M81)))</formula>
    </cfRule>
    <cfRule type="containsText" dxfId="7456" priority="8177" operator="containsText" text="FIRE">
      <formula>NOT(ISERROR(SEARCH("FIRE",M81)))</formula>
    </cfRule>
    <cfRule type="containsText" dxfId="7455" priority="8178" operator="containsText" text="COSH">
      <formula>NOT(ISERROR(SEARCH("COSH",M81)))</formula>
    </cfRule>
  </conditionalFormatting>
  <conditionalFormatting sqref="T81">
    <cfRule type="containsText" dxfId="7454" priority="8173" operator="containsText" text="FAT">
      <formula>NOT(ISERROR(SEARCH("FAT",T81)))</formula>
    </cfRule>
    <cfRule type="containsText" dxfId="7453" priority="8174" operator="containsText" text="FIRE">
      <formula>NOT(ISERROR(SEARCH("FIRE",T81)))</formula>
    </cfRule>
    <cfRule type="containsText" dxfId="7452" priority="8175" operator="containsText" text="COSH">
      <formula>NOT(ISERROR(SEARCH("COSH",T81)))</formula>
    </cfRule>
  </conditionalFormatting>
  <conditionalFormatting sqref="AA81">
    <cfRule type="containsText" dxfId="7451" priority="8170" operator="containsText" text="FAT">
      <formula>NOT(ISERROR(SEARCH("FAT",AA81)))</formula>
    </cfRule>
    <cfRule type="containsText" dxfId="7450" priority="8171" operator="containsText" text="FIRE">
      <formula>NOT(ISERROR(SEARCH("FIRE",AA81)))</formula>
    </cfRule>
    <cfRule type="containsText" dxfId="7449" priority="8172" operator="containsText" text="COSH">
      <formula>NOT(ISERROR(SEARCH("COSH",AA81)))</formula>
    </cfRule>
  </conditionalFormatting>
  <conditionalFormatting sqref="R81">
    <cfRule type="containsText" dxfId="7448" priority="8167" operator="containsText" text="FAT">
      <formula>NOT(ISERROR(SEARCH("FAT",R81)))</formula>
    </cfRule>
    <cfRule type="containsText" dxfId="7447" priority="8168" operator="containsText" text="FIRE">
      <formula>NOT(ISERROR(SEARCH("FIRE",R81)))</formula>
    </cfRule>
    <cfRule type="containsText" dxfId="7446" priority="8169" operator="containsText" text="COSH">
      <formula>NOT(ISERROR(SEARCH("COSH",R81)))</formula>
    </cfRule>
  </conditionalFormatting>
  <conditionalFormatting sqref="S81">
    <cfRule type="containsText" dxfId="7445" priority="8164" operator="containsText" text="FAT">
      <formula>NOT(ISERROR(SEARCH("FAT",S81)))</formula>
    </cfRule>
    <cfRule type="containsText" dxfId="7444" priority="8165" operator="containsText" text="FIRE">
      <formula>NOT(ISERROR(SEARCH("FIRE",S81)))</formula>
    </cfRule>
    <cfRule type="containsText" dxfId="7443" priority="8166" operator="containsText" text="COSH">
      <formula>NOT(ISERROR(SEARCH("COSH",S81)))</formula>
    </cfRule>
  </conditionalFormatting>
  <conditionalFormatting sqref="T81">
    <cfRule type="containsText" dxfId="7442" priority="8161" operator="containsText" text="FAT">
      <formula>NOT(ISERROR(SEARCH("FAT",T81)))</formula>
    </cfRule>
    <cfRule type="containsText" dxfId="7441" priority="8162" operator="containsText" text="FIRE">
      <formula>NOT(ISERROR(SEARCH("FIRE",T81)))</formula>
    </cfRule>
    <cfRule type="containsText" dxfId="7440" priority="8163" operator="containsText" text="COSH">
      <formula>NOT(ISERROR(SEARCH("COSH",T81)))</formula>
    </cfRule>
  </conditionalFormatting>
  <conditionalFormatting sqref="R81:S81">
    <cfRule type="containsText" dxfId="7439" priority="8158" operator="containsText" text="FAT">
      <formula>NOT(ISERROR(SEARCH("FAT",R81)))</formula>
    </cfRule>
    <cfRule type="containsText" dxfId="7438" priority="8159" operator="containsText" text="FIRE">
      <formula>NOT(ISERROR(SEARCH("FIRE",R81)))</formula>
    </cfRule>
    <cfRule type="containsText" dxfId="7437" priority="8160" operator="containsText" text="COSH">
      <formula>NOT(ISERROR(SEARCH("COSH",R81)))</formula>
    </cfRule>
  </conditionalFormatting>
  <conditionalFormatting sqref="R81:S81">
    <cfRule type="containsText" dxfId="7436" priority="8155" operator="containsText" text="FAT">
      <formula>NOT(ISERROR(SEARCH("FAT",R81)))</formula>
    </cfRule>
    <cfRule type="containsText" dxfId="7435" priority="8156" operator="containsText" text="FIRE">
      <formula>NOT(ISERROR(SEARCH("FIRE",R81)))</formula>
    </cfRule>
    <cfRule type="containsText" dxfId="7434" priority="8157" operator="containsText" text="COSH">
      <formula>NOT(ISERROR(SEARCH("COSH",R81)))</formula>
    </cfRule>
  </conditionalFormatting>
  <conditionalFormatting sqref="R81:S81">
    <cfRule type="containsText" dxfId="7433" priority="8152" operator="containsText" text="FAT">
      <formula>NOT(ISERROR(SEARCH("FAT",R81)))</formula>
    </cfRule>
    <cfRule type="containsText" dxfId="7432" priority="8153" operator="containsText" text="FIRE">
      <formula>NOT(ISERROR(SEARCH("FIRE",R81)))</formula>
    </cfRule>
    <cfRule type="containsText" dxfId="7431" priority="8154" operator="containsText" text="COSH">
      <formula>NOT(ISERROR(SEARCH("COSH",R81)))</formula>
    </cfRule>
  </conditionalFormatting>
  <conditionalFormatting sqref="R81:S81">
    <cfRule type="containsText" dxfId="7430" priority="8149" operator="containsText" text="FAT">
      <formula>NOT(ISERROR(SEARCH("FAT",R81)))</formula>
    </cfRule>
    <cfRule type="containsText" dxfId="7429" priority="8150" operator="containsText" text="FIRE">
      <formula>NOT(ISERROR(SEARCH("FIRE",R81)))</formula>
    </cfRule>
    <cfRule type="containsText" dxfId="7428" priority="8151" operator="containsText" text="COSH">
      <formula>NOT(ISERROR(SEARCH("COSH",R81)))</formula>
    </cfRule>
  </conditionalFormatting>
  <conditionalFormatting sqref="R81:S81">
    <cfRule type="containsText" dxfId="7427" priority="8146" operator="containsText" text="FAT">
      <formula>NOT(ISERROR(SEARCH("FAT",R81)))</formula>
    </cfRule>
    <cfRule type="containsText" dxfId="7426" priority="8147" operator="containsText" text="FIRE">
      <formula>NOT(ISERROR(SEARCH("FIRE",R81)))</formula>
    </cfRule>
    <cfRule type="containsText" dxfId="7425" priority="8148" operator="containsText" text="COSH">
      <formula>NOT(ISERROR(SEARCH("COSH",R81)))</formula>
    </cfRule>
  </conditionalFormatting>
  <conditionalFormatting sqref="R81:S81">
    <cfRule type="containsText" dxfId="7424" priority="8143" operator="containsText" text="FAT">
      <formula>NOT(ISERROR(SEARCH("FAT",R81)))</formula>
    </cfRule>
    <cfRule type="containsText" dxfId="7423" priority="8144" operator="containsText" text="FIRE">
      <formula>NOT(ISERROR(SEARCH("FIRE",R81)))</formula>
    </cfRule>
    <cfRule type="containsText" dxfId="7422" priority="8145" operator="containsText" text="COSH">
      <formula>NOT(ISERROR(SEARCH("COSH",R81)))</formula>
    </cfRule>
  </conditionalFormatting>
  <conditionalFormatting sqref="R81:S81">
    <cfRule type="containsText" dxfId="7421" priority="8140" operator="containsText" text="FAT">
      <formula>NOT(ISERROR(SEARCH("FAT",R81)))</formula>
    </cfRule>
    <cfRule type="containsText" dxfId="7420" priority="8141" operator="containsText" text="FIRE">
      <formula>NOT(ISERROR(SEARCH("FIRE",R81)))</formula>
    </cfRule>
    <cfRule type="containsText" dxfId="7419" priority="8142" operator="containsText" text="COSH">
      <formula>NOT(ISERROR(SEARCH("COSH",R81)))</formula>
    </cfRule>
  </conditionalFormatting>
  <conditionalFormatting sqref="R81:S81">
    <cfRule type="containsText" dxfId="7418" priority="8137" operator="containsText" text="FAT">
      <formula>NOT(ISERROR(SEARCH("FAT",R81)))</formula>
    </cfRule>
    <cfRule type="containsText" dxfId="7417" priority="8138" operator="containsText" text="FIRE">
      <formula>NOT(ISERROR(SEARCH("FIRE",R81)))</formula>
    </cfRule>
    <cfRule type="containsText" dxfId="7416" priority="8139" operator="containsText" text="COSH">
      <formula>NOT(ISERROR(SEARCH("COSH",R81)))</formula>
    </cfRule>
  </conditionalFormatting>
  <conditionalFormatting sqref="R81:S81">
    <cfRule type="containsText" dxfId="7415" priority="8134" operator="containsText" text="FAT">
      <formula>NOT(ISERROR(SEARCH("FAT",R81)))</formula>
    </cfRule>
    <cfRule type="containsText" dxfId="7414" priority="8135" operator="containsText" text="FIRE">
      <formula>NOT(ISERROR(SEARCH("FIRE",R81)))</formula>
    </cfRule>
    <cfRule type="containsText" dxfId="7413" priority="8136" operator="containsText" text="COSH">
      <formula>NOT(ISERROR(SEARCH("COSH",R81)))</formula>
    </cfRule>
  </conditionalFormatting>
  <conditionalFormatting sqref="AA81">
    <cfRule type="containsText" dxfId="7412" priority="8131" operator="containsText" text="FAT">
      <formula>NOT(ISERROR(SEARCH("FAT",AA81)))</formula>
    </cfRule>
    <cfRule type="containsText" dxfId="7411" priority="8132" operator="containsText" text="FIRE">
      <formula>NOT(ISERROR(SEARCH("FIRE",AA81)))</formula>
    </cfRule>
    <cfRule type="containsText" dxfId="7410" priority="8133" operator="containsText" text="COSH">
      <formula>NOT(ISERROR(SEARCH("COSH",AA81)))</formula>
    </cfRule>
  </conditionalFormatting>
  <conditionalFormatting sqref="AA81">
    <cfRule type="containsText" dxfId="7409" priority="8128" operator="containsText" text="FAT">
      <formula>NOT(ISERROR(SEARCH("FAT",AA81)))</formula>
    </cfRule>
    <cfRule type="containsText" dxfId="7408" priority="8129" operator="containsText" text="FIRE">
      <formula>NOT(ISERROR(SEARCH("FIRE",AA81)))</formula>
    </cfRule>
    <cfRule type="containsText" dxfId="7407" priority="8130" operator="containsText" text="COSH">
      <formula>NOT(ISERROR(SEARCH("COSH",AA81)))</formula>
    </cfRule>
  </conditionalFormatting>
  <conditionalFormatting sqref="J80">
    <cfRule type="containsText" dxfId="7406" priority="8125" operator="containsText" text="FAT">
      <formula>NOT(ISERROR(SEARCH("FAT",J80)))</formula>
    </cfRule>
    <cfRule type="containsText" dxfId="7405" priority="8126" operator="containsText" text="FIRE">
      <formula>NOT(ISERROR(SEARCH("FIRE",J80)))</formula>
    </cfRule>
    <cfRule type="containsText" dxfId="7404" priority="8127" operator="containsText" text="COSH">
      <formula>NOT(ISERROR(SEARCH("COSH",J80)))</formula>
    </cfRule>
  </conditionalFormatting>
  <conditionalFormatting sqref="X80">
    <cfRule type="containsText" dxfId="7403" priority="8122" operator="containsText" text="FAT">
      <formula>NOT(ISERROR(SEARCH("FAT",X80)))</formula>
    </cfRule>
    <cfRule type="containsText" dxfId="7402" priority="8123" operator="containsText" text="FIRE">
      <formula>NOT(ISERROR(SEARCH("FIRE",X80)))</formula>
    </cfRule>
    <cfRule type="containsText" dxfId="7401" priority="8124" operator="containsText" text="COSH">
      <formula>NOT(ISERROR(SEARCH("COSH",X80)))</formula>
    </cfRule>
  </conditionalFormatting>
  <conditionalFormatting sqref="X80">
    <cfRule type="containsText" dxfId="7400" priority="8119" operator="containsText" text="FAT">
      <formula>NOT(ISERROR(SEARCH("FAT",X80)))</formula>
    </cfRule>
    <cfRule type="containsText" dxfId="7399" priority="8120" operator="containsText" text="FIRE">
      <formula>NOT(ISERROR(SEARCH("FIRE",X80)))</formula>
    </cfRule>
    <cfRule type="containsText" dxfId="7398" priority="8121" operator="containsText" text="COSH">
      <formula>NOT(ISERROR(SEARCH("COSH",X80)))</formula>
    </cfRule>
  </conditionalFormatting>
  <conditionalFormatting sqref="G80">
    <cfRule type="containsText" dxfId="7397" priority="8116" operator="containsText" text="FAT">
      <formula>NOT(ISERROR(SEARCH("FAT",G80)))</formula>
    </cfRule>
    <cfRule type="containsText" dxfId="7396" priority="8117" operator="containsText" text="FIRE">
      <formula>NOT(ISERROR(SEARCH("FIRE",G80)))</formula>
    </cfRule>
    <cfRule type="containsText" dxfId="7395" priority="8118" operator="containsText" text="COSH">
      <formula>NOT(ISERROR(SEARCH("COSH",G80)))</formula>
    </cfRule>
  </conditionalFormatting>
  <conditionalFormatting sqref="N80">
    <cfRule type="containsText" dxfId="7394" priority="8113" operator="containsText" text="FAT">
      <formula>NOT(ISERROR(SEARCH("FAT",N80)))</formula>
    </cfRule>
    <cfRule type="containsText" dxfId="7393" priority="8114" operator="containsText" text="FIRE">
      <formula>NOT(ISERROR(SEARCH("FIRE",N80)))</formula>
    </cfRule>
    <cfRule type="containsText" dxfId="7392" priority="8115" operator="containsText" text="COSH">
      <formula>NOT(ISERROR(SEARCH("COSH",N80)))</formula>
    </cfRule>
  </conditionalFormatting>
  <conditionalFormatting sqref="T80:U80">
    <cfRule type="containsText" dxfId="7391" priority="8110" operator="containsText" text="FAT">
      <formula>NOT(ISERROR(SEARCH("FAT",T80)))</formula>
    </cfRule>
    <cfRule type="containsText" dxfId="7390" priority="8111" operator="containsText" text="FIRE">
      <formula>NOT(ISERROR(SEARCH("FIRE",T80)))</formula>
    </cfRule>
    <cfRule type="containsText" dxfId="7389" priority="8112" operator="containsText" text="COSH">
      <formula>NOT(ISERROR(SEARCH("COSH",T80)))</formula>
    </cfRule>
  </conditionalFormatting>
  <conditionalFormatting sqref="AA80">
    <cfRule type="containsText" dxfId="7388" priority="8107" operator="containsText" text="FAT">
      <formula>NOT(ISERROR(SEARCH("FAT",AA80)))</formula>
    </cfRule>
    <cfRule type="containsText" dxfId="7387" priority="8108" operator="containsText" text="FIRE">
      <formula>NOT(ISERROR(SEARCH("FIRE",AA80)))</formula>
    </cfRule>
    <cfRule type="containsText" dxfId="7386" priority="8109" operator="containsText" text="COSH">
      <formula>NOT(ISERROR(SEARCH("COSH",AA80)))</formula>
    </cfRule>
  </conditionalFormatting>
  <conditionalFormatting sqref="L80">
    <cfRule type="containsText" dxfId="7385" priority="8104" operator="containsText" text="FAT">
      <formula>NOT(ISERROR(SEARCH("FAT",L80)))</formula>
    </cfRule>
    <cfRule type="containsText" dxfId="7384" priority="8105" operator="containsText" text="FIRE">
      <formula>NOT(ISERROR(SEARCH("FIRE",L80)))</formula>
    </cfRule>
    <cfRule type="containsText" dxfId="7383" priority="8106" operator="containsText" text="COSH">
      <formula>NOT(ISERROR(SEARCH("COSH",L80)))</formula>
    </cfRule>
  </conditionalFormatting>
  <conditionalFormatting sqref="S80">
    <cfRule type="containsText" dxfId="7382" priority="8101" operator="containsText" text="FAT">
      <formula>NOT(ISERROR(SEARCH("FAT",S80)))</formula>
    </cfRule>
    <cfRule type="containsText" dxfId="7381" priority="8102" operator="containsText" text="FIRE">
      <formula>NOT(ISERROR(SEARCH("FIRE",S80)))</formula>
    </cfRule>
    <cfRule type="containsText" dxfId="7380" priority="8103" operator="containsText" text="COSH">
      <formula>NOT(ISERROR(SEARCH("COSH",S80)))</formula>
    </cfRule>
  </conditionalFormatting>
  <conditionalFormatting sqref="Y80">
    <cfRule type="containsText" dxfId="7379" priority="8098" operator="containsText" text="FAT">
      <formula>NOT(ISERROR(SEARCH("FAT",Y80)))</formula>
    </cfRule>
    <cfRule type="containsText" dxfId="7378" priority="8099" operator="containsText" text="FIRE">
      <formula>NOT(ISERROR(SEARCH("FIRE",Y80)))</formula>
    </cfRule>
    <cfRule type="containsText" dxfId="7377" priority="8100" operator="containsText" text="COSH">
      <formula>NOT(ISERROR(SEARCH("COSH",Y80)))</formula>
    </cfRule>
  </conditionalFormatting>
  <conditionalFormatting sqref="V80">
    <cfRule type="containsText" dxfId="7376" priority="8095" operator="containsText" text="FAT">
      <formula>NOT(ISERROR(SEARCH("FAT",V80)))</formula>
    </cfRule>
    <cfRule type="containsText" dxfId="7375" priority="8096" operator="containsText" text="FIRE">
      <formula>NOT(ISERROR(SEARCH("FIRE",V80)))</formula>
    </cfRule>
    <cfRule type="containsText" dxfId="7374" priority="8097" operator="containsText" text="COSH">
      <formula>NOT(ISERROR(SEARCH("COSH",V80)))</formula>
    </cfRule>
  </conditionalFormatting>
  <conditionalFormatting sqref="M80">
    <cfRule type="containsText" dxfId="7373" priority="8092" operator="containsText" text="FAT">
      <formula>NOT(ISERROR(SEARCH("FAT",M80)))</formula>
    </cfRule>
    <cfRule type="containsText" dxfId="7372" priority="8093" operator="containsText" text="FIRE">
      <formula>NOT(ISERROR(SEARCH("FIRE",M80)))</formula>
    </cfRule>
    <cfRule type="containsText" dxfId="7371" priority="8094" operator="containsText" text="COSH">
      <formula>NOT(ISERROR(SEARCH("COSH",M80)))</formula>
    </cfRule>
  </conditionalFormatting>
  <conditionalFormatting sqref="T80">
    <cfRule type="containsText" dxfId="7370" priority="8089" operator="containsText" text="FAT">
      <formula>NOT(ISERROR(SEARCH("FAT",T80)))</formula>
    </cfRule>
    <cfRule type="containsText" dxfId="7369" priority="8090" operator="containsText" text="FIRE">
      <formula>NOT(ISERROR(SEARCH("FIRE",T80)))</formula>
    </cfRule>
    <cfRule type="containsText" dxfId="7368" priority="8091" operator="containsText" text="COSH">
      <formula>NOT(ISERROR(SEARCH("COSH",T80)))</formula>
    </cfRule>
  </conditionalFormatting>
  <conditionalFormatting sqref="AA80">
    <cfRule type="containsText" dxfId="7367" priority="8086" operator="containsText" text="FAT">
      <formula>NOT(ISERROR(SEARCH("FAT",AA80)))</formula>
    </cfRule>
    <cfRule type="containsText" dxfId="7366" priority="8087" operator="containsText" text="FIRE">
      <formula>NOT(ISERROR(SEARCH("FIRE",AA80)))</formula>
    </cfRule>
    <cfRule type="containsText" dxfId="7365" priority="8088" operator="containsText" text="COSH">
      <formula>NOT(ISERROR(SEARCH("COSH",AA80)))</formula>
    </cfRule>
  </conditionalFormatting>
  <conditionalFormatting sqref="R80:W80">
    <cfRule type="containsText" dxfId="7364" priority="8083" operator="containsText" text="FAT">
      <formula>NOT(ISERROR(SEARCH("FAT",R80)))</formula>
    </cfRule>
    <cfRule type="containsText" dxfId="7363" priority="8084" operator="containsText" text="FIRE">
      <formula>NOT(ISERROR(SEARCH("FIRE",R80)))</formula>
    </cfRule>
    <cfRule type="containsText" dxfId="7362" priority="8085" operator="containsText" text="COSH">
      <formula>NOT(ISERROR(SEARCH("COSH",R80)))</formula>
    </cfRule>
  </conditionalFormatting>
  <conditionalFormatting sqref="S80">
    <cfRule type="containsText" dxfId="7361" priority="8080" operator="containsText" text="FAT">
      <formula>NOT(ISERROR(SEARCH("FAT",S80)))</formula>
    </cfRule>
    <cfRule type="containsText" dxfId="7360" priority="8081" operator="containsText" text="FIRE">
      <formula>NOT(ISERROR(SEARCH("FIRE",S80)))</formula>
    </cfRule>
    <cfRule type="containsText" dxfId="7359" priority="8082" operator="containsText" text="COSH">
      <formula>NOT(ISERROR(SEARCH("COSH",S80)))</formula>
    </cfRule>
  </conditionalFormatting>
  <conditionalFormatting sqref="T80">
    <cfRule type="containsText" dxfId="7358" priority="8077" operator="containsText" text="FAT">
      <formula>NOT(ISERROR(SEARCH("FAT",T80)))</formula>
    </cfRule>
    <cfRule type="containsText" dxfId="7357" priority="8078" operator="containsText" text="FIRE">
      <formula>NOT(ISERROR(SEARCH("FIRE",T80)))</formula>
    </cfRule>
    <cfRule type="containsText" dxfId="7356" priority="8079" operator="containsText" text="COSH">
      <formula>NOT(ISERROR(SEARCH("COSH",T80)))</formula>
    </cfRule>
  </conditionalFormatting>
  <conditionalFormatting sqref="R80:W80">
    <cfRule type="containsText" dxfId="7355" priority="8074" operator="containsText" text="FAT">
      <formula>NOT(ISERROR(SEARCH("FAT",R80)))</formula>
    </cfRule>
    <cfRule type="containsText" dxfId="7354" priority="8075" operator="containsText" text="FIRE">
      <formula>NOT(ISERROR(SEARCH("FIRE",R80)))</formula>
    </cfRule>
    <cfRule type="containsText" dxfId="7353" priority="8076" operator="containsText" text="COSH">
      <formula>NOT(ISERROR(SEARCH("COSH",R80)))</formula>
    </cfRule>
  </conditionalFormatting>
  <conditionalFormatting sqref="R80:W80">
    <cfRule type="containsText" dxfId="7352" priority="8071" operator="containsText" text="FAT">
      <formula>NOT(ISERROR(SEARCH("FAT",R80)))</formula>
    </cfRule>
    <cfRule type="containsText" dxfId="7351" priority="8072" operator="containsText" text="FIRE">
      <formula>NOT(ISERROR(SEARCH("FIRE",R80)))</formula>
    </cfRule>
    <cfRule type="containsText" dxfId="7350" priority="8073" operator="containsText" text="COSH">
      <formula>NOT(ISERROR(SEARCH("COSH",R80)))</formula>
    </cfRule>
  </conditionalFormatting>
  <conditionalFormatting sqref="R80:W80">
    <cfRule type="containsText" dxfId="7349" priority="8068" operator="containsText" text="FAT">
      <formula>NOT(ISERROR(SEARCH("FAT",R80)))</formula>
    </cfRule>
    <cfRule type="containsText" dxfId="7348" priority="8069" operator="containsText" text="FIRE">
      <formula>NOT(ISERROR(SEARCH("FIRE",R80)))</formula>
    </cfRule>
    <cfRule type="containsText" dxfId="7347" priority="8070" operator="containsText" text="COSH">
      <formula>NOT(ISERROR(SEARCH("COSH",R80)))</formula>
    </cfRule>
  </conditionalFormatting>
  <conditionalFormatting sqref="R80:W80">
    <cfRule type="containsText" dxfId="7346" priority="8065" operator="containsText" text="FAT">
      <formula>NOT(ISERROR(SEARCH("FAT",R80)))</formula>
    </cfRule>
    <cfRule type="containsText" dxfId="7345" priority="8066" operator="containsText" text="FIRE">
      <formula>NOT(ISERROR(SEARCH("FIRE",R80)))</formula>
    </cfRule>
    <cfRule type="containsText" dxfId="7344" priority="8067" operator="containsText" text="COSH">
      <formula>NOT(ISERROR(SEARCH("COSH",R80)))</formula>
    </cfRule>
  </conditionalFormatting>
  <conditionalFormatting sqref="R80:W80">
    <cfRule type="containsText" dxfId="7343" priority="8062" operator="containsText" text="FAT">
      <formula>NOT(ISERROR(SEARCH("FAT",R80)))</formula>
    </cfRule>
    <cfRule type="containsText" dxfId="7342" priority="8063" operator="containsText" text="FIRE">
      <formula>NOT(ISERROR(SEARCH("FIRE",R80)))</formula>
    </cfRule>
    <cfRule type="containsText" dxfId="7341" priority="8064" operator="containsText" text="COSH">
      <formula>NOT(ISERROR(SEARCH("COSH",R80)))</formula>
    </cfRule>
  </conditionalFormatting>
  <conditionalFormatting sqref="R80:W80">
    <cfRule type="containsText" dxfId="7340" priority="8059" operator="containsText" text="FAT">
      <formula>NOT(ISERROR(SEARCH("FAT",R80)))</formula>
    </cfRule>
    <cfRule type="containsText" dxfId="7339" priority="8060" operator="containsText" text="FIRE">
      <formula>NOT(ISERROR(SEARCH("FIRE",R80)))</formula>
    </cfRule>
    <cfRule type="containsText" dxfId="7338" priority="8061" operator="containsText" text="COSH">
      <formula>NOT(ISERROR(SEARCH("COSH",R80)))</formula>
    </cfRule>
  </conditionalFormatting>
  <conditionalFormatting sqref="R80:W80">
    <cfRule type="containsText" dxfId="7337" priority="8056" operator="containsText" text="FAT">
      <formula>NOT(ISERROR(SEARCH("FAT",R80)))</formula>
    </cfRule>
    <cfRule type="containsText" dxfId="7336" priority="8057" operator="containsText" text="FIRE">
      <formula>NOT(ISERROR(SEARCH("FIRE",R80)))</formula>
    </cfRule>
    <cfRule type="containsText" dxfId="7335" priority="8058" operator="containsText" text="COSH">
      <formula>NOT(ISERROR(SEARCH("COSH",R80)))</formula>
    </cfRule>
  </conditionalFormatting>
  <conditionalFormatting sqref="R80:W80">
    <cfRule type="containsText" dxfId="7334" priority="8053" operator="containsText" text="FAT">
      <formula>NOT(ISERROR(SEARCH("FAT",R80)))</formula>
    </cfRule>
    <cfRule type="containsText" dxfId="7333" priority="8054" operator="containsText" text="FIRE">
      <formula>NOT(ISERROR(SEARCH("FIRE",R80)))</formula>
    </cfRule>
    <cfRule type="containsText" dxfId="7332" priority="8055" operator="containsText" text="COSH">
      <formula>NOT(ISERROR(SEARCH("COSH",R80)))</formula>
    </cfRule>
  </conditionalFormatting>
  <conditionalFormatting sqref="R80:W80">
    <cfRule type="containsText" dxfId="7331" priority="8050" operator="containsText" text="FAT">
      <formula>NOT(ISERROR(SEARCH("FAT",R80)))</formula>
    </cfRule>
    <cfRule type="containsText" dxfId="7330" priority="8051" operator="containsText" text="FIRE">
      <formula>NOT(ISERROR(SEARCH("FIRE",R80)))</formula>
    </cfRule>
    <cfRule type="containsText" dxfId="7329" priority="8052" operator="containsText" text="COSH">
      <formula>NOT(ISERROR(SEARCH("COSH",R80)))</formula>
    </cfRule>
  </conditionalFormatting>
  <conditionalFormatting sqref="AA80">
    <cfRule type="containsText" dxfId="7328" priority="8047" operator="containsText" text="FAT">
      <formula>NOT(ISERROR(SEARCH("FAT",AA80)))</formula>
    </cfRule>
    <cfRule type="containsText" dxfId="7327" priority="8048" operator="containsText" text="FIRE">
      <formula>NOT(ISERROR(SEARCH("FIRE",AA80)))</formula>
    </cfRule>
    <cfRule type="containsText" dxfId="7326" priority="8049" operator="containsText" text="COSH">
      <formula>NOT(ISERROR(SEARCH("COSH",AA80)))</formula>
    </cfRule>
  </conditionalFormatting>
  <conditionalFormatting sqref="AA80">
    <cfRule type="containsText" dxfId="7325" priority="8044" operator="containsText" text="FAT">
      <formula>NOT(ISERROR(SEARCH("FAT",AA80)))</formula>
    </cfRule>
    <cfRule type="containsText" dxfId="7324" priority="8045" operator="containsText" text="FIRE">
      <formula>NOT(ISERROR(SEARCH("FIRE",AA80)))</formula>
    </cfRule>
    <cfRule type="containsText" dxfId="7323" priority="8046" operator="containsText" text="COSH">
      <formula>NOT(ISERROR(SEARCH("COSH",AA80)))</formula>
    </cfRule>
  </conditionalFormatting>
  <conditionalFormatting sqref="J79">
    <cfRule type="containsText" dxfId="7322" priority="8041" operator="containsText" text="FAT">
      <formula>NOT(ISERROR(SEARCH("FAT",J79)))</formula>
    </cfRule>
    <cfRule type="containsText" dxfId="7321" priority="8042" operator="containsText" text="FIRE">
      <formula>NOT(ISERROR(SEARCH("FIRE",J79)))</formula>
    </cfRule>
    <cfRule type="containsText" dxfId="7320" priority="8043" operator="containsText" text="COSH">
      <formula>NOT(ISERROR(SEARCH("COSH",J79)))</formula>
    </cfRule>
  </conditionalFormatting>
  <conditionalFormatting sqref="X79">
    <cfRule type="containsText" dxfId="7319" priority="8038" operator="containsText" text="FAT">
      <formula>NOT(ISERROR(SEARCH("FAT",X79)))</formula>
    </cfRule>
    <cfRule type="containsText" dxfId="7318" priority="8039" operator="containsText" text="FIRE">
      <formula>NOT(ISERROR(SEARCH("FIRE",X79)))</formula>
    </cfRule>
    <cfRule type="containsText" dxfId="7317" priority="8040" operator="containsText" text="COSH">
      <formula>NOT(ISERROR(SEARCH("COSH",X79)))</formula>
    </cfRule>
  </conditionalFormatting>
  <conditionalFormatting sqref="X79">
    <cfRule type="containsText" dxfId="7316" priority="8035" operator="containsText" text="FAT">
      <formula>NOT(ISERROR(SEARCH("FAT",X79)))</formula>
    </cfRule>
    <cfRule type="containsText" dxfId="7315" priority="8036" operator="containsText" text="FIRE">
      <formula>NOT(ISERROR(SEARCH("FIRE",X79)))</formula>
    </cfRule>
    <cfRule type="containsText" dxfId="7314" priority="8037" operator="containsText" text="COSH">
      <formula>NOT(ISERROR(SEARCH("COSH",X79)))</formula>
    </cfRule>
  </conditionalFormatting>
  <conditionalFormatting sqref="G79">
    <cfRule type="containsText" dxfId="7313" priority="8032" operator="containsText" text="FAT">
      <formula>NOT(ISERROR(SEARCH("FAT",G79)))</formula>
    </cfRule>
    <cfRule type="containsText" dxfId="7312" priority="8033" operator="containsText" text="FIRE">
      <formula>NOT(ISERROR(SEARCH("FIRE",G79)))</formula>
    </cfRule>
    <cfRule type="containsText" dxfId="7311" priority="8034" operator="containsText" text="COSH">
      <formula>NOT(ISERROR(SEARCH("COSH",G79)))</formula>
    </cfRule>
  </conditionalFormatting>
  <conditionalFormatting sqref="N79">
    <cfRule type="containsText" dxfId="7310" priority="8029" operator="containsText" text="FAT">
      <formula>NOT(ISERROR(SEARCH("FAT",N79)))</formula>
    </cfRule>
    <cfRule type="containsText" dxfId="7309" priority="8030" operator="containsText" text="FIRE">
      <formula>NOT(ISERROR(SEARCH("FIRE",N79)))</formula>
    </cfRule>
    <cfRule type="containsText" dxfId="7308" priority="8031" operator="containsText" text="COSH">
      <formula>NOT(ISERROR(SEARCH("COSH",N79)))</formula>
    </cfRule>
  </conditionalFormatting>
  <conditionalFormatting sqref="T79:U79">
    <cfRule type="containsText" dxfId="7307" priority="8026" operator="containsText" text="FAT">
      <formula>NOT(ISERROR(SEARCH("FAT",T79)))</formula>
    </cfRule>
    <cfRule type="containsText" dxfId="7306" priority="8027" operator="containsText" text="FIRE">
      <formula>NOT(ISERROR(SEARCH("FIRE",T79)))</formula>
    </cfRule>
    <cfRule type="containsText" dxfId="7305" priority="8028" operator="containsText" text="COSH">
      <formula>NOT(ISERROR(SEARCH("COSH",T79)))</formula>
    </cfRule>
  </conditionalFormatting>
  <conditionalFormatting sqref="AA79">
    <cfRule type="containsText" dxfId="7304" priority="8023" operator="containsText" text="FAT">
      <formula>NOT(ISERROR(SEARCH("FAT",AA79)))</formula>
    </cfRule>
    <cfRule type="containsText" dxfId="7303" priority="8024" operator="containsText" text="FIRE">
      <formula>NOT(ISERROR(SEARCH("FIRE",AA79)))</formula>
    </cfRule>
    <cfRule type="containsText" dxfId="7302" priority="8025" operator="containsText" text="COSH">
      <formula>NOT(ISERROR(SEARCH("COSH",AA79)))</formula>
    </cfRule>
  </conditionalFormatting>
  <conditionalFormatting sqref="L79">
    <cfRule type="containsText" dxfId="7301" priority="8020" operator="containsText" text="FAT">
      <formula>NOT(ISERROR(SEARCH("FAT",L79)))</formula>
    </cfRule>
    <cfRule type="containsText" dxfId="7300" priority="8021" operator="containsText" text="FIRE">
      <formula>NOT(ISERROR(SEARCH("FIRE",L79)))</formula>
    </cfRule>
    <cfRule type="containsText" dxfId="7299" priority="8022" operator="containsText" text="COSH">
      <formula>NOT(ISERROR(SEARCH("COSH",L79)))</formula>
    </cfRule>
  </conditionalFormatting>
  <conditionalFormatting sqref="S79">
    <cfRule type="containsText" dxfId="7298" priority="8017" operator="containsText" text="FAT">
      <formula>NOT(ISERROR(SEARCH("FAT",S79)))</formula>
    </cfRule>
    <cfRule type="containsText" dxfId="7297" priority="8018" operator="containsText" text="FIRE">
      <formula>NOT(ISERROR(SEARCH("FIRE",S79)))</formula>
    </cfRule>
    <cfRule type="containsText" dxfId="7296" priority="8019" operator="containsText" text="COSH">
      <formula>NOT(ISERROR(SEARCH("COSH",S79)))</formula>
    </cfRule>
  </conditionalFormatting>
  <conditionalFormatting sqref="Y79">
    <cfRule type="containsText" dxfId="7295" priority="8014" operator="containsText" text="FAT">
      <formula>NOT(ISERROR(SEARCH("FAT",Y79)))</formula>
    </cfRule>
    <cfRule type="containsText" dxfId="7294" priority="8015" operator="containsText" text="FIRE">
      <formula>NOT(ISERROR(SEARCH("FIRE",Y79)))</formula>
    </cfRule>
    <cfRule type="containsText" dxfId="7293" priority="8016" operator="containsText" text="COSH">
      <formula>NOT(ISERROR(SEARCH("COSH",Y79)))</formula>
    </cfRule>
  </conditionalFormatting>
  <conditionalFormatting sqref="V79">
    <cfRule type="containsText" dxfId="7292" priority="8011" operator="containsText" text="FAT">
      <formula>NOT(ISERROR(SEARCH("FAT",V79)))</formula>
    </cfRule>
    <cfRule type="containsText" dxfId="7291" priority="8012" operator="containsText" text="FIRE">
      <formula>NOT(ISERROR(SEARCH("FIRE",V79)))</formula>
    </cfRule>
    <cfRule type="containsText" dxfId="7290" priority="8013" operator="containsText" text="COSH">
      <formula>NOT(ISERROR(SEARCH("COSH",V79)))</formula>
    </cfRule>
  </conditionalFormatting>
  <conditionalFormatting sqref="M79">
    <cfRule type="containsText" dxfId="7289" priority="8008" operator="containsText" text="FAT">
      <formula>NOT(ISERROR(SEARCH("FAT",M79)))</formula>
    </cfRule>
    <cfRule type="containsText" dxfId="7288" priority="8009" operator="containsText" text="FIRE">
      <formula>NOT(ISERROR(SEARCH("FIRE",M79)))</formula>
    </cfRule>
    <cfRule type="containsText" dxfId="7287" priority="8010" operator="containsText" text="COSH">
      <formula>NOT(ISERROR(SEARCH("COSH",M79)))</formula>
    </cfRule>
  </conditionalFormatting>
  <conditionalFormatting sqref="T79">
    <cfRule type="containsText" dxfId="7286" priority="8005" operator="containsText" text="FAT">
      <formula>NOT(ISERROR(SEARCH("FAT",T79)))</formula>
    </cfRule>
    <cfRule type="containsText" dxfId="7285" priority="8006" operator="containsText" text="FIRE">
      <formula>NOT(ISERROR(SEARCH("FIRE",T79)))</formula>
    </cfRule>
    <cfRule type="containsText" dxfId="7284" priority="8007" operator="containsText" text="COSH">
      <formula>NOT(ISERROR(SEARCH("COSH",T79)))</formula>
    </cfRule>
  </conditionalFormatting>
  <conditionalFormatting sqref="AA79">
    <cfRule type="containsText" dxfId="7283" priority="8002" operator="containsText" text="FAT">
      <formula>NOT(ISERROR(SEARCH("FAT",AA79)))</formula>
    </cfRule>
    <cfRule type="containsText" dxfId="7282" priority="8003" operator="containsText" text="FIRE">
      <formula>NOT(ISERROR(SEARCH("FIRE",AA79)))</formula>
    </cfRule>
    <cfRule type="containsText" dxfId="7281" priority="8004" operator="containsText" text="COSH">
      <formula>NOT(ISERROR(SEARCH("COSH",AA79)))</formula>
    </cfRule>
  </conditionalFormatting>
  <conditionalFormatting sqref="R79">
    <cfRule type="containsText" dxfId="7280" priority="7999" operator="containsText" text="FAT">
      <formula>NOT(ISERROR(SEARCH("FAT",R79)))</formula>
    </cfRule>
    <cfRule type="containsText" dxfId="7279" priority="8000" operator="containsText" text="FIRE">
      <formula>NOT(ISERROR(SEARCH("FIRE",R79)))</formula>
    </cfRule>
    <cfRule type="containsText" dxfId="7278" priority="8001" operator="containsText" text="COSH">
      <formula>NOT(ISERROR(SEARCH("COSH",R79)))</formula>
    </cfRule>
  </conditionalFormatting>
  <conditionalFormatting sqref="S79">
    <cfRule type="containsText" dxfId="7277" priority="7996" operator="containsText" text="FAT">
      <formula>NOT(ISERROR(SEARCH("FAT",S79)))</formula>
    </cfRule>
    <cfRule type="containsText" dxfId="7276" priority="7997" operator="containsText" text="FIRE">
      <formula>NOT(ISERROR(SEARCH("FIRE",S79)))</formula>
    </cfRule>
    <cfRule type="containsText" dxfId="7275" priority="7998" operator="containsText" text="COSH">
      <formula>NOT(ISERROR(SEARCH("COSH",S79)))</formula>
    </cfRule>
  </conditionalFormatting>
  <conditionalFormatting sqref="T79">
    <cfRule type="containsText" dxfId="7274" priority="7993" operator="containsText" text="FAT">
      <formula>NOT(ISERROR(SEARCH("FAT",T79)))</formula>
    </cfRule>
    <cfRule type="containsText" dxfId="7273" priority="7994" operator="containsText" text="FIRE">
      <formula>NOT(ISERROR(SEARCH("FIRE",T79)))</formula>
    </cfRule>
    <cfRule type="containsText" dxfId="7272" priority="7995" operator="containsText" text="COSH">
      <formula>NOT(ISERROR(SEARCH("COSH",T79)))</formula>
    </cfRule>
  </conditionalFormatting>
  <conditionalFormatting sqref="R79:S79">
    <cfRule type="containsText" dxfId="7271" priority="7990" operator="containsText" text="FAT">
      <formula>NOT(ISERROR(SEARCH("FAT",R79)))</formula>
    </cfRule>
    <cfRule type="containsText" dxfId="7270" priority="7991" operator="containsText" text="FIRE">
      <formula>NOT(ISERROR(SEARCH("FIRE",R79)))</formula>
    </cfRule>
    <cfRule type="containsText" dxfId="7269" priority="7992" operator="containsText" text="COSH">
      <formula>NOT(ISERROR(SEARCH("COSH",R79)))</formula>
    </cfRule>
  </conditionalFormatting>
  <conditionalFormatting sqref="R79:S79">
    <cfRule type="containsText" dxfId="7268" priority="7987" operator="containsText" text="FAT">
      <formula>NOT(ISERROR(SEARCH("FAT",R79)))</formula>
    </cfRule>
    <cfRule type="containsText" dxfId="7267" priority="7988" operator="containsText" text="FIRE">
      <formula>NOT(ISERROR(SEARCH("FIRE",R79)))</formula>
    </cfRule>
    <cfRule type="containsText" dxfId="7266" priority="7989" operator="containsText" text="COSH">
      <formula>NOT(ISERROR(SEARCH("COSH",R79)))</formula>
    </cfRule>
  </conditionalFormatting>
  <conditionalFormatting sqref="R79:S79">
    <cfRule type="containsText" dxfId="7265" priority="7984" operator="containsText" text="FAT">
      <formula>NOT(ISERROR(SEARCH("FAT",R79)))</formula>
    </cfRule>
    <cfRule type="containsText" dxfId="7264" priority="7985" operator="containsText" text="FIRE">
      <formula>NOT(ISERROR(SEARCH("FIRE",R79)))</formula>
    </cfRule>
    <cfRule type="containsText" dxfId="7263" priority="7986" operator="containsText" text="COSH">
      <formula>NOT(ISERROR(SEARCH("COSH",R79)))</formula>
    </cfRule>
  </conditionalFormatting>
  <conditionalFormatting sqref="R79:S79">
    <cfRule type="containsText" dxfId="7262" priority="7981" operator="containsText" text="FAT">
      <formula>NOT(ISERROR(SEARCH("FAT",R79)))</formula>
    </cfRule>
    <cfRule type="containsText" dxfId="7261" priority="7982" operator="containsText" text="FIRE">
      <formula>NOT(ISERROR(SEARCH("FIRE",R79)))</formula>
    </cfRule>
    <cfRule type="containsText" dxfId="7260" priority="7983" operator="containsText" text="COSH">
      <formula>NOT(ISERROR(SEARCH("COSH",R79)))</formula>
    </cfRule>
  </conditionalFormatting>
  <conditionalFormatting sqref="R79:S79">
    <cfRule type="containsText" dxfId="7259" priority="7978" operator="containsText" text="FAT">
      <formula>NOT(ISERROR(SEARCH("FAT",R79)))</formula>
    </cfRule>
    <cfRule type="containsText" dxfId="7258" priority="7979" operator="containsText" text="FIRE">
      <formula>NOT(ISERROR(SEARCH("FIRE",R79)))</formula>
    </cfRule>
    <cfRule type="containsText" dxfId="7257" priority="7980" operator="containsText" text="COSH">
      <formula>NOT(ISERROR(SEARCH("COSH",R79)))</formula>
    </cfRule>
  </conditionalFormatting>
  <conditionalFormatting sqref="R79:S79">
    <cfRule type="containsText" dxfId="7256" priority="7975" operator="containsText" text="FAT">
      <formula>NOT(ISERROR(SEARCH("FAT",R79)))</formula>
    </cfRule>
    <cfRule type="containsText" dxfId="7255" priority="7976" operator="containsText" text="FIRE">
      <formula>NOT(ISERROR(SEARCH("FIRE",R79)))</formula>
    </cfRule>
    <cfRule type="containsText" dxfId="7254" priority="7977" operator="containsText" text="COSH">
      <formula>NOT(ISERROR(SEARCH("COSH",R79)))</formula>
    </cfRule>
  </conditionalFormatting>
  <conditionalFormatting sqref="R79:S79">
    <cfRule type="containsText" dxfId="7253" priority="7972" operator="containsText" text="FAT">
      <formula>NOT(ISERROR(SEARCH("FAT",R79)))</formula>
    </cfRule>
    <cfRule type="containsText" dxfId="7252" priority="7973" operator="containsText" text="FIRE">
      <formula>NOT(ISERROR(SEARCH("FIRE",R79)))</formula>
    </cfRule>
    <cfRule type="containsText" dxfId="7251" priority="7974" operator="containsText" text="COSH">
      <formula>NOT(ISERROR(SEARCH("COSH",R79)))</formula>
    </cfRule>
  </conditionalFormatting>
  <conditionalFormatting sqref="R79:S79">
    <cfRule type="containsText" dxfId="7250" priority="7969" operator="containsText" text="FAT">
      <formula>NOT(ISERROR(SEARCH("FAT",R79)))</formula>
    </cfRule>
    <cfRule type="containsText" dxfId="7249" priority="7970" operator="containsText" text="FIRE">
      <formula>NOT(ISERROR(SEARCH("FIRE",R79)))</formula>
    </cfRule>
    <cfRule type="containsText" dxfId="7248" priority="7971" operator="containsText" text="COSH">
      <formula>NOT(ISERROR(SEARCH("COSH",R79)))</formula>
    </cfRule>
  </conditionalFormatting>
  <conditionalFormatting sqref="R79:S79">
    <cfRule type="containsText" dxfId="7247" priority="7966" operator="containsText" text="FAT">
      <formula>NOT(ISERROR(SEARCH("FAT",R79)))</formula>
    </cfRule>
    <cfRule type="containsText" dxfId="7246" priority="7967" operator="containsText" text="FIRE">
      <formula>NOT(ISERROR(SEARCH("FIRE",R79)))</formula>
    </cfRule>
    <cfRule type="containsText" dxfId="7245" priority="7968" operator="containsText" text="COSH">
      <formula>NOT(ISERROR(SEARCH("COSH",R79)))</formula>
    </cfRule>
  </conditionalFormatting>
  <conditionalFormatting sqref="AA79">
    <cfRule type="containsText" dxfId="7244" priority="7963" operator="containsText" text="FAT">
      <formula>NOT(ISERROR(SEARCH("FAT",AA79)))</formula>
    </cfRule>
    <cfRule type="containsText" dxfId="7243" priority="7964" operator="containsText" text="FIRE">
      <formula>NOT(ISERROR(SEARCH("FIRE",AA79)))</formula>
    </cfRule>
    <cfRule type="containsText" dxfId="7242" priority="7965" operator="containsText" text="COSH">
      <formula>NOT(ISERROR(SEARCH("COSH",AA79)))</formula>
    </cfRule>
  </conditionalFormatting>
  <conditionalFormatting sqref="AA79">
    <cfRule type="containsText" dxfId="7241" priority="7960" operator="containsText" text="FAT">
      <formula>NOT(ISERROR(SEARCH("FAT",AA79)))</formula>
    </cfRule>
    <cfRule type="containsText" dxfId="7240" priority="7961" operator="containsText" text="FIRE">
      <formula>NOT(ISERROR(SEARCH("FIRE",AA79)))</formula>
    </cfRule>
    <cfRule type="containsText" dxfId="7239" priority="7962" operator="containsText" text="COSH">
      <formula>NOT(ISERROR(SEARCH("COSH",AA79)))</formula>
    </cfRule>
  </conditionalFormatting>
  <conditionalFormatting sqref="J82">
    <cfRule type="containsText" dxfId="7238" priority="7957" operator="containsText" text="FAT">
      <formula>NOT(ISERROR(SEARCH("FAT",J82)))</formula>
    </cfRule>
    <cfRule type="containsText" dxfId="7237" priority="7958" operator="containsText" text="FIRE">
      <formula>NOT(ISERROR(SEARCH("FIRE",J82)))</formula>
    </cfRule>
    <cfRule type="containsText" dxfId="7236" priority="7959" operator="containsText" text="COSH">
      <formula>NOT(ISERROR(SEARCH("COSH",J82)))</formula>
    </cfRule>
  </conditionalFormatting>
  <conditionalFormatting sqref="X82">
    <cfRule type="containsText" dxfId="7235" priority="7954" operator="containsText" text="FAT">
      <formula>NOT(ISERROR(SEARCH("FAT",X82)))</formula>
    </cfRule>
    <cfRule type="containsText" dxfId="7234" priority="7955" operator="containsText" text="FIRE">
      <formula>NOT(ISERROR(SEARCH("FIRE",X82)))</formula>
    </cfRule>
    <cfRule type="containsText" dxfId="7233" priority="7956" operator="containsText" text="COSH">
      <formula>NOT(ISERROR(SEARCH("COSH",X82)))</formula>
    </cfRule>
  </conditionalFormatting>
  <conditionalFormatting sqref="X82">
    <cfRule type="containsText" dxfId="7232" priority="7951" operator="containsText" text="FAT">
      <formula>NOT(ISERROR(SEARCH("FAT",X82)))</formula>
    </cfRule>
    <cfRule type="containsText" dxfId="7231" priority="7952" operator="containsText" text="FIRE">
      <formula>NOT(ISERROR(SEARCH("FIRE",X82)))</formula>
    </cfRule>
    <cfRule type="containsText" dxfId="7230" priority="7953" operator="containsText" text="COSH">
      <formula>NOT(ISERROR(SEARCH("COSH",X82)))</formula>
    </cfRule>
  </conditionalFormatting>
  <conditionalFormatting sqref="G82">
    <cfRule type="containsText" dxfId="7229" priority="7948" operator="containsText" text="FAT">
      <formula>NOT(ISERROR(SEARCH("FAT",G82)))</formula>
    </cfRule>
    <cfRule type="containsText" dxfId="7228" priority="7949" operator="containsText" text="FIRE">
      <formula>NOT(ISERROR(SEARCH("FIRE",G82)))</formula>
    </cfRule>
    <cfRule type="containsText" dxfId="7227" priority="7950" operator="containsText" text="COSH">
      <formula>NOT(ISERROR(SEARCH("COSH",G82)))</formula>
    </cfRule>
  </conditionalFormatting>
  <conditionalFormatting sqref="N82 P82">
    <cfRule type="containsText" dxfId="7226" priority="7945" operator="containsText" text="FAT">
      <formula>NOT(ISERROR(SEARCH("FAT",N82)))</formula>
    </cfRule>
    <cfRule type="containsText" dxfId="7225" priority="7946" operator="containsText" text="FIRE">
      <formula>NOT(ISERROR(SEARCH("FIRE",N82)))</formula>
    </cfRule>
    <cfRule type="containsText" dxfId="7224" priority="7947" operator="containsText" text="COSH">
      <formula>NOT(ISERROR(SEARCH("COSH",N82)))</formula>
    </cfRule>
  </conditionalFormatting>
  <conditionalFormatting sqref="T82:U82">
    <cfRule type="containsText" dxfId="7223" priority="7942" operator="containsText" text="FAT">
      <formula>NOT(ISERROR(SEARCH("FAT",T82)))</formula>
    </cfRule>
    <cfRule type="containsText" dxfId="7222" priority="7943" operator="containsText" text="FIRE">
      <formula>NOT(ISERROR(SEARCH("FIRE",T82)))</formula>
    </cfRule>
    <cfRule type="containsText" dxfId="7221" priority="7944" operator="containsText" text="COSH">
      <formula>NOT(ISERROR(SEARCH("COSH",T82)))</formula>
    </cfRule>
  </conditionalFormatting>
  <conditionalFormatting sqref="AA82">
    <cfRule type="containsText" dxfId="7220" priority="7939" operator="containsText" text="FAT">
      <formula>NOT(ISERROR(SEARCH("FAT",AA82)))</formula>
    </cfRule>
    <cfRule type="containsText" dxfId="7219" priority="7940" operator="containsText" text="FIRE">
      <formula>NOT(ISERROR(SEARCH("FIRE",AA82)))</formula>
    </cfRule>
    <cfRule type="containsText" dxfId="7218" priority="7941" operator="containsText" text="COSH">
      <formula>NOT(ISERROR(SEARCH("COSH",AA82)))</formula>
    </cfRule>
  </conditionalFormatting>
  <conditionalFormatting sqref="L82">
    <cfRule type="containsText" dxfId="7217" priority="7936" operator="containsText" text="FAT">
      <formula>NOT(ISERROR(SEARCH("FAT",L82)))</formula>
    </cfRule>
    <cfRule type="containsText" dxfId="7216" priority="7937" operator="containsText" text="FIRE">
      <formula>NOT(ISERROR(SEARCH("FIRE",L82)))</formula>
    </cfRule>
    <cfRule type="containsText" dxfId="7215" priority="7938" operator="containsText" text="COSH">
      <formula>NOT(ISERROR(SEARCH("COSH",L82)))</formula>
    </cfRule>
  </conditionalFormatting>
  <conditionalFormatting sqref="S82">
    <cfRule type="containsText" dxfId="7214" priority="7933" operator="containsText" text="FAT">
      <formula>NOT(ISERROR(SEARCH("FAT",S82)))</formula>
    </cfRule>
    <cfRule type="containsText" dxfId="7213" priority="7934" operator="containsText" text="FIRE">
      <formula>NOT(ISERROR(SEARCH("FIRE",S82)))</formula>
    </cfRule>
    <cfRule type="containsText" dxfId="7212" priority="7935" operator="containsText" text="COSH">
      <formula>NOT(ISERROR(SEARCH("COSH",S82)))</formula>
    </cfRule>
  </conditionalFormatting>
  <conditionalFormatting sqref="Y82">
    <cfRule type="containsText" dxfId="7211" priority="7930" operator="containsText" text="FAT">
      <formula>NOT(ISERROR(SEARCH("FAT",Y82)))</formula>
    </cfRule>
    <cfRule type="containsText" dxfId="7210" priority="7931" operator="containsText" text="FIRE">
      <formula>NOT(ISERROR(SEARCH("FIRE",Y82)))</formula>
    </cfRule>
    <cfRule type="containsText" dxfId="7209" priority="7932" operator="containsText" text="COSH">
      <formula>NOT(ISERROR(SEARCH("COSH",Y82)))</formula>
    </cfRule>
  </conditionalFormatting>
  <conditionalFormatting sqref="V82">
    <cfRule type="containsText" dxfId="7208" priority="7927" operator="containsText" text="FAT">
      <formula>NOT(ISERROR(SEARCH("FAT",V82)))</formula>
    </cfRule>
    <cfRule type="containsText" dxfId="7207" priority="7928" operator="containsText" text="FIRE">
      <formula>NOT(ISERROR(SEARCH("FIRE",V82)))</formula>
    </cfRule>
    <cfRule type="containsText" dxfId="7206" priority="7929" operator="containsText" text="COSH">
      <formula>NOT(ISERROR(SEARCH("COSH",V82)))</formula>
    </cfRule>
  </conditionalFormatting>
  <conditionalFormatting sqref="M82">
    <cfRule type="containsText" dxfId="7205" priority="7924" operator="containsText" text="FAT">
      <formula>NOT(ISERROR(SEARCH("FAT",M82)))</formula>
    </cfRule>
    <cfRule type="containsText" dxfId="7204" priority="7925" operator="containsText" text="FIRE">
      <formula>NOT(ISERROR(SEARCH("FIRE",M82)))</formula>
    </cfRule>
    <cfRule type="containsText" dxfId="7203" priority="7926" operator="containsText" text="COSH">
      <formula>NOT(ISERROR(SEARCH("COSH",M82)))</formula>
    </cfRule>
  </conditionalFormatting>
  <conditionalFormatting sqref="T82">
    <cfRule type="containsText" dxfId="7202" priority="7921" operator="containsText" text="FAT">
      <formula>NOT(ISERROR(SEARCH("FAT",T82)))</formula>
    </cfRule>
    <cfRule type="containsText" dxfId="7201" priority="7922" operator="containsText" text="FIRE">
      <formula>NOT(ISERROR(SEARCH("FIRE",T82)))</formula>
    </cfRule>
    <cfRule type="containsText" dxfId="7200" priority="7923" operator="containsText" text="COSH">
      <formula>NOT(ISERROR(SEARCH("COSH",T82)))</formula>
    </cfRule>
  </conditionalFormatting>
  <conditionalFormatting sqref="AA82">
    <cfRule type="containsText" dxfId="7199" priority="7918" operator="containsText" text="FAT">
      <formula>NOT(ISERROR(SEARCH("FAT",AA82)))</formula>
    </cfRule>
    <cfRule type="containsText" dxfId="7198" priority="7919" operator="containsText" text="FIRE">
      <formula>NOT(ISERROR(SEARCH("FIRE",AA82)))</formula>
    </cfRule>
    <cfRule type="containsText" dxfId="7197" priority="7920" operator="containsText" text="COSH">
      <formula>NOT(ISERROR(SEARCH("COSH",AA82)))</formula>
    </cfRule>
  </conditionalFormatting>
  <conditionalFormatting sqref="R82:W82">
    <cfRule type="containsText" dxfId="7196" priority="7915" operator="containsText" text="FAT">
      <formula>NOT(ISERROR(SEARCH("FAT",R82)))</formula>
    </cfRule>
    <cfRule type="containsText" dxfId="7195" priority="7916" operator="containsText" text="FIRE">
      <formula>NOT(ISERROR(SEARCH("FIRE",R82)))</formula>
    </cfRule>
    <cfRule type="containsText" dxfId="7194" priority="7917" operator="containsText" text="COSH">
      <formula>NOT(ISERROR(SEARCH("COSH",R82)))</formula>
    </cfRule>
  </conditionalFormatting>
  <conditionalFormatting sqref="S82">
    <cfRule type="containsText" dxfId="7193" priority="7912" operator="containsText" text="FAT">
      <formula>NOT(ISERROR(SEARCH("FAT",S82)))</formula>
    </cfRule>
    <cfRule type="containsText" dxfId="7192" priority="7913" operator="containsText" text="FIRE">
      <formula>NOT(ISERROR(SEARCH("FIRE",S82)))</formula>
    </cfRule>
    <cfRule type="containsText" dxfId="7191" priority="7914" operator="containsText" text="COSH">
      <formula>NOT(ISERROR(SEARCH("COSH",S82)))</formula>
    </cfRule>
  </conditionalFormatting>
  <conditionalFormatting sqref="T82">
    <cfRule type="containsText" dxfId="7190" priority="7909" operator="containsText" text="FAT">
      <formula>NOT(ISERROR(SEARCH("FAT",T82)))</formula>
    </cfRule>
    <cfRule type="containsText" dxfId="7189" priority="7910" operator="containsText" text="FIRE">
      <formula>NOT(ISERROR(SEARCH("FIRE",T82)))</formula>
    </cfRule>
    <cfRule type="containsText" dxfId="7188" priority="7911" operator="containsText" text="COSH">
      <formula>NOT(ISERROR(SEARCH("COSH",T82)))</formula>
    </cfRule>
  </conditionalFormatting>
  <conditionalFormatting sqref="R82:W82">
    <cfRule type="containsText" dxfId="7187" priority="7906" operator="containsText" text="FAT">
      <formula>NOT(ISERROR(SEARCH("FAT",R82)))</formula>
    </cfRule>
    <cfRule type="containsText" dxfId="7186" priority="7907" operator="containsText" text="FIRE">
      <formula>NOT(ISERROR(SEARCH("FIRE",R82)))</formula>
    </cfRule>
    <cfRule type="containsText" dxfId="7185" priority="7908" operator="containsText" text="COSH">
      <formula>NOT(ISERROR(SEARCH("COSH",R82)))</formula>
    </cfRule>
  </conditionalFormatting>
  <conditionalFormatting sqref="R82:W82">
    <cfRule type="containsText" dxfId="7184" priority="7903" operator="containsText" text="FAT">
      <formula>NOT(ISERROR(SEARCH("FAT",R82)))</formula>
    </cfRule>
    <cfRule type="containsText" dxfId="7183" priority="7904" operator="containsText" text="FIRE">
      <formula>NOT(ISERROR(SEARCH("FIRE",R82)))</formula>
    </cfRule>
    <cfRule type="containsText" dxfId="7182" priority="7905" operator="containsText" text="COSH">
      <formula>NOT(ISERROR(SEARCH("COSH",R82)))</formula>
    </cfRule>
  </conditionalFormatting>
  <conditionalFormatting sqref="R82:W82">
    <cfRule type="containsText" dxfId="7181" priority="7900" operator="containsText" text="FAT">
      <formula>NOT(ISERROR(SEARCH("FAT",R82)))</formula>
    </cfRule>
    <cfRule type="containsText" dxfId="7180" priority="7901" operator="containsText" text="FIRE">
      <formula>NOT(ISERROR(SEARCH("FIRE",R82)))</formula>
    </cfRule>
    <cfRule type="containsText" dxfId="7179" priority="7902" operator="containsText" text="COSH">
      <formula>NOT(ISERROR(SEARCH("COSH",R82)))</formula>
    </cfRule>
  </conditionalFormatting>
  <conditionalFormatting sqref="R82:W82">
    <cfRule type="containsText" dxfId="7178" priority="7897" operator="containsText" text="FAT">
      <formula>NOT(ISERROR(SEARCH("FAT",R82)))</formula>
    </cfRule>
    <cfRule type="containsText" dxfId="7177" priority="7898" operator="containsText" text="FIRE">
      <formula>NOT(ISERROR(SEARCH("FIRE",R82)))</formula>
    </cfRule>
    <cfRule type="containsText" dxfId="7176" priority="7899" operator="containsText" text="COSH">
      <formula>NOT(ISERROR(SEARCH("COSH",R82)))</formula>
    </cfRule>
  </conditionalFormatting>
  <conditionalFormatting sqref="R82:W82">
    <cfRule type="containsText" dxfId="7175" priority="7894" operator="containsText" text="FAT">
      <formula>NOT(ISERROR(SEARCH("FAT",R82)))</formula>
    </cfRule>
    <cfRule type="containsText" dxfId="7174" priority="7895" operator="containsText" text="FIRE">
      <formula>NOT(ISERROR(SEARCH("FIRE",R82)))</formula>
    </cfRule>
    <cfRule type="containsText" dxfId="7173" priority="7896" operator="containsText" text="COSH">
      <formula>NOT(ISERROR(SEARCH("COSH",R82)))</formula>
    </cfRule>
  </conditionalFormatting>
  <conditionalFormatting sqref="R82:W82">
    <cfRule type="containsText" dxfId="7172" priority="7891" operator="containsText" text="FAT">
      <formula>NOT(ISERROR(SEARCH("FAT",R82)))</formula>
    </cfRule>
    <cfRule type="containsText" dxfId="7171" priority="7892" operator="containsText" text="FIRE">
      <formula>NOT(ISERROR(SEARCH("FIRE",R82)))</formula>
    </cfRule>
    <cfRule type="containsText" dxfId="7170" priority="7893" operator="containsText" text="COSH">
      <formula>NOT(ISERROR(SEARCH("COSH",R82)))</formula>
    </cfRule>
  </conditionalFormatting>
  <conditionalFormatting sqref="R82:W82">
    <cfRule type="containsText" dxfId="7169" priority="7888" operator="containsText" text="FAT">
      <formula>NOT(ISERROR(SEARCH("FAT",R82)))</formula>
    </cfRule>
    <cfRule type="containsText" dxfId="7168" priority="7889" operator="containsText" text="FIRE">
      <formula>NOT(ISERROR(SEARCH("FIRE",R82)))</formula>
    </cfRule>
    <cfRule type="containsText" dxfId="7167" priority="7890" operator="containsText" text="COSH">
      <formula>NOT(ISERROR(SEARCH("COSH",R82)))</formula>
    </cfRule>
  </conditionalFormatting>
  <conditionalFormatting sqref="R82:W82">
    <cfRule type="containsText" dxfId="7166" priority="7885" operator="containsText" text="FAT">
      <formula>NOT(ISERROR(SEARCH("FAT",R82)))</formula>
    </cfRule>
    <cfRule type="containsText" dxfId="7165" priority="7886" operator="containsText" text="FIRE">
      <formula>NOT(ISERROR(SEARCH("FIRE",R82)))</formula>
    </cfRule>
    <cfRule type="containsText" dxfId="7164" priority="7887" operator="containsText" text="COSH">
      <formula>NOT(ISERROR(SEARCH("COSH",R82)))</formula>
    </cfRule>
  </conditionalFormatting>
  <conditionalFormatting sqref="R82:W82">
    <cfRule type="containsText" dxfId="7163" priority="7882" operator="containsText" text="FAT">
      <formula>NOT(ISERROR(SEARCH("FAT",R82)))</formula>
    </cfRule>
    <cfRule type="containsText" dxfId="7162" priority="7883" operator="containsText" text="FIRE">
      <formula>NOT(ISERROR(SEARCH("FIRE",R82)))</formula>
    </cfRule>
    <cfRule type="containsText" dxfId="7161" priority="7884" operator="containsText" text="COSH">
      <formula>NOT(ISERROR(SEARCH("COSH",R82)))</formula>
    </cfRule>
  </conditionalFormatting>
  <conditionalFormatting sqref="AA82">
    <cfRule type="containsText" dxfId="7160" priority="7879" operator="containsText" text="FAT">
      <formula>NOT(ISERROR(SEARCH("FAT",AA82)))</formula>
    </cfRule>
    <cfRule type="containsText" dxfId="7159" priority="7880" operator="containsText" text="FIRE">
      <formula>NOT(ISERROR(SEARCH("FIRE",AA82)))</formula>
    </cfRule>
    <cfRule type="containsText" dxfId="7158" priority="7881" operator="containsText" text="COSH">
      <formula>NOT(ISERROR(SEARCH("COSH",AA82)))</formula>
    </cfRule>
  </conditionalFormatting>
  <conditionalFormatting sqref="Y82">
    <cfRule type="containsText" dxfId="7157" priority="7876" operator="containsText" text="FAT">
      <formula>NOT(ISERROR(SEARCH("FAT",Y82)))</formula>
    </cfRule>
    <cfRule type="containsText" dxfId="7156" priority="7877" operator="containsText" text="FIRE">
      <formula>NOT(ISERROR(SEARCH("FIRE",Y82)))</formula>
    </cfRule>
    <cfRule type="containsText" dxfId="7155" priority="7878" operator="containsText" text="COSH">
      <formula>NOT(ISERROR(SEARCH("COSH",Y82)))</formula>
    </cfRule>
  </conditionalFormatting>
  <conditionalFormatting sqref="AA82">
    <cfRule type="containsText" dxfId="7154" priority="7873" operator="containsText" text="FAT">
      <formula>NOT(ISERROR(SEARCH("FAT",AA82)))</formula>
    </cfRule>
    <cfRule type="containsText" dxfId="7153" priority="7874" operator="containsText" text="FIRE">
      <formula>NOT(ISERROR(SEARCH("FIRE",AA82)))</formula>
    </cfRule>
    <cfRule type="containsText" dxfId="7152" priority="7875" operator="containsText" text="COSH">
      <formula>NOT(ISERROR(SEARCH("COSH",AA82)))</formula>
    </cfRule>
  </conditionalFormatting>
  <conditionalFormatting sqref="J86">
    <cfRule type="containsText" dxfId="7151" priority="7870" operator="containsText" text="FAT">
      <formula>NOT(ISERROR(SEARCH("FAT",J86)))</formula>
    </cfRule>
    <cfRule type="containsText" dxfId="7150" priority="7871" operator="containsText" text="FIRE">
      <formula>NOT(ISERROR(SEARCH("FIRE",J86)))</formula>
    </cfRule>
    <cfRule type="containsText" dxfId="7149" priority="7872" operator="containsText" text="COSH">
      <formula>NOT(ISERROR(SEARCH("COSH",J86)))</formula>
    </cfRule>
  </conditionalFormatting>
  <conditionalFormatting sqref="X86">
    <cfRule type="containsText" dxfId="7148" priority="7867" operator="containsText" text="FAT">
      <formula>NOT(ISERROR(SEARCH("FAT",X86)))</formula>
    </cfRule>
    <cfRule type="containsText" dxfId="7147" priority="7868" operator="containsText" text="FIRE">
      <formula>NOT(ISERROR(SEARCH("FIRE",X86)))</formula>
    </cfRule>
    <cfRule type="containsText" dxfId="7146" priority="7869" operator="containsText" text="COSH">
      <formula>NOT(ISERROR(SEARCH("COSH",X86)))</formula>
    </cfRule>
  </conditionalFormatting>
  <conditionalFormatting sqref="X86">
    <cfRule type="containsText" dxfId="7145" priority="7864" operator="containsText" text="FAT">
      <formula>NOT(ISERROR(SEARCH("FAT",X86)))</formula>
    </cfRule>
    <cfRule type="containsText" dxfId="7144" priority="7865" operator="containsText" text="FIRE">
      <formula>NOT(ISERROR(SEARCH("FIRE",X86)))</formula>
    </cfRule>
    <cfRule type="containsText" dxfId="7143" priority="7866" operator="containsText" text="COSH">
      <formula>NOT(ISERROR(SEARCH("COSH",X86)))</formula>
    </cfRule>
  </conditionalFormatting>
  <conditionalFormatting sqref="G86">
    <cfRule type="containsText" dxfId="7142" priority="7861" operator="containsText" text="FAT">
      <formula>NOT(ISERROR(SEARCH("FAT",G86)))</formula>
    </cfRule>
    <cfRule type="containsText" dxfId="7141" priority="7862" operator="containsText" text="FIRE">
      <formula>NOT(ISERROR(SEARCH("FIRE",G86)))</formula>
    </cfRule>
    <cfRule type="containsText" dxfId="7140" priority="7863" operator="containsText" text="COSH">
      <formula>NOT(ISERROR(SEARCH("COSH",G86)))</formula>
    </cfRule>
  </conditionalFormatting>
  <conditionalFormatting sqref="N86 P86">
    <cfRule type="containsText" dxfId="7139" priority="7858" operator="containsText" text="FAT">
      <formula>NOT(ISERROR(SEARCH("FAT",N86)))</formula>
    </cfRule>
    <cfRule type="containsText" dxfId="7138" priority="7859" operator="containsText" text="FIRE">
      <formula>NOT(ISERROR(SEARCH("FIRE",N86)))</formula>
    </cfRule>
    <cfRule type="containsText" dxfId="7137" priority="7860" operator="containsText" text="COSH">
      <formula>NOT(ISERROR(SEARCH("COSH",N86)))</formula>
    </cfRule>
  </conditionalFormatting>
  <conditionalFormatting sqref="T86:U86">
    <cfRule type="containsText" dxfId="7136" priority="7855" operator="containsText" text="FAT">
      <formula>NOT(ISERROR(SEARCH("FAT",T86)))</formula>
    </cfRule>
    <cfRule type="containsText" dxfId="7135" priority="7856" operator="containsText" text="FIRE">
      <formula>NOT(ISERROR(SEARCH("FIRE",T86)))</formula>
    </cfRule>
    <cfRule type="containsText" dxfId="7134" priority="7857" operator="containsText" text="COSH">
      <formula>NOT(ISERROR(SEARCH("COSH",T86)))</formula>
    </cfRule>
  </conditionalFormatting>
  <conditionalFormatting sqref="AA86">
    <cfRule type="containsText" dxfId="7133" priority="7852" operator="containsText" text="FAT">
      <formula>NOT(ISERROR(SEARCH("FAT",AA86)))</formula>
    </cfRule>
    <cfRule type="containsText" dxfId="7132" priority="7853" operator="containsText" text="FIRE">
      <formula>NOT(ISERROR(SEARCH("FIRE",AA86)))</formula>
    </cfRule>
    <cfRule type="containsText" dxfId="7131" priority="7854" operator="containsText" text="COSH">
      <formula>NOT(ISERROR(SEARCH("COSH",AA86)))</formula>
    </cfRule>
  </conditionalFormatting>
  <conditionalFormatting sqref="L86">
    <cfRule type="containsText" dxfId="7130" priority="7849" operator="containsText" text="FAT">
      <formula>NOT(ISERROR(SEARCH("FAT",L86)))</formula>
    </cfRule>
    <cfRule type="containsText" dxfId="7129" priority="7850" operator="containsText" text="FIRE">
      <formula>NOT(ISERROR(SEARCH("FIRE",L86)))</formula>
    </cfRule>
    <cfRule type="containsText" dxfId="7128" priority="7851" operator="containsText" text="COSH">
      <formula>NOT(ISERROR(SEARCH("COSH",L86)))</formula>
    </cfRule>
  </conditionalFormatting>
  <conditionalFormatting sqref="S86">
    <cfRule type="containsText" dxfId="7127" priority="7846" operator="containsText" text="FAT">
      <formula>NOT(ISERROR(SEARCH("FAT",S86)))</formula>
    </cfRule>
    <cfRule type="containsText" dxfId="7126" priority="7847" operator="containsText" text="FIRE">
      <formula>NOT(ISERROR(SEARCH("FIRE",S86)))</formula>
    </cfRule>
    <cfRule type="containsText" dxfId="7125" priority="7848" operator="containsText" text="COSH">
      <formula>NOT(ISERROR(SEARCH("COSH",S86)))</formula>
    </cfRule>
  </conditionalFormatting>
  <conditionalFormatting sqref="Y86">
    <cfRule type="containsText" dxfId="7124" priority="7843" operator="containsText" text="FAT">
      <formula>NOT(ISERROR(SEARCH("FAT",Y86)))</formula>
    </cfRule>
    <cfRule type="containsText" dxfId="7123" priority="7844" operator="containsText" text="FIRE">
      <formula>NOT(ISERROR(SEARCH("FIRE",Y86)))</formula>
    </cfRule>
    <cfRule type="containsText" dxfId="7122" priority="7845" operator="containsText" text="COSH">
      <formula>NOT(ISERROR(SEARCH("COSH",Y86)))</formula>
    </cfRule>
  </conditionalFormatting>
  <conditionalFormatting sqref="V86">
    <cfRule type="containsText" dxfId="7121" priority="7840" operator="containsText" text="FAT">
      <formula>NOT(ISERROR(SEARCH("FAT",V86)))</formula>
    </cfRule>
    <cfRule type="containsText" dxfId="7120" priority="7841" operator="containsText" text="FIRE">
      <formula>NOT(ISERROR(SEARCH("FIRE",V86)))</formula>
    </cfRule>
    <cfRule type="containsText" dxfId="7119" priority="7842" operator="containsText" text="COSH">
      <formula>NOT(ISERROR(SEARCH("COSH",V86)))</formula>
    </cfRule>
  </conditionalFormatting>
  <conditionalFormatting sqref="M86">
    <cfRule type="containsText" dxfId="7118" priority="7837" operator="containsText" text="FAT">
      <formula>NOT(ISERROR(SEARCH("FAT",M86)))</formula>
    </cfRule>
    <cfRule type="containsText" dxfId="7117" priority="7838" operator="containsText" text="FIRE">
      <formula>NOT(ISERROR(SEARCH("FIRE",M86)))</formula>
    </cfRule>
    <cfRule type="containsText" dxfId="7116" priority="7839" operator="containsText" text="COSH">
      <formula>NOT(ISERROR(SEARCH("COSH",M86)))</formula>
    </cfRule>
  </conditionalFormatting>
  <conditionalFormatting sqref="T86">
    <cfRule type="containsText" dxfId="7115" priority="7834" operator="containsText" text="FAT">
      <formula>NOT(ISERROR(SEARCH("FAT",T86)))</formula>
    </cfRule>
    <cfRule type="containsText" dxfId="7114" priority="7835" operator="containsText" text="FIRE">
      <formula>NOT(ISERROR(SEARCH("FIRE",T86)))</formula>
    </cfRule>
    <cfRule type="containsText" dxfId="7113" priority="7836" operator="containsText" text="COSH">
      <formula>NOT(ISERROR(SEARCH("COSH",T86)))</formula>
    </cfRule>
  </conditionalFormatting>
  <conditionalFormatting sqref="AA86">
    <cfRule type="containsText" dxfId="7112" priority="7831" operator="containsText" text="FAT">
      <formula>NOT(ISERROR(SEARCH("FAT",AA86)))</formula>
    </cfRule>
    <cfRule type="containsText" dxfId="7111" priority="7832" operator="containsText" text="FIRE">
      <formula>NOT(ISERROR(SEARCH("FIRE",AA86)))</formula>
    </cfRule>
    <cfRule type="containsText" dxfId="7110" priority="7833" operator="containsText" text="COSH">
      <formula>NOT(ISERROR(SEARCH("COSH",AA86)))</formula>
    </cfRule>
  </conditionalFormatting>
  <conditionalFormatting sqref="R86:W86">
    <cfRule type="containsText" dxfId="7109" priority="7828" operator="containsText" text="FAT">
      <formula>NOT(ISERROR(SEARCH("FAT",R86)))</formula>
    </cfRule>
    <cfRule type="containsText" dxfId="7108" priority="7829" operator="containsText" text="FIRE">
      <formula>NOT(ISERROR(SEARCH("FIRE",R86)))</formula>
    </cfRule>
    <cfRule type="containsText" dxfId="7107" priority="7830" operator="containsText" text="COSH">
      <formula>NOT(ISERROR(SEARCH("COSH",R86)))</formula>
    </cfRule>
  </conditionalFormatting>
  <conditionalFormatting sqref="S86">
    <cfRule type="containsText" dxfId="7106" priority="7825" operator="containsText" text="FAT">
      <formula>NOT(ISERROR(SEARCH("FAT",S86)))</formula>
    </cfRule>
    <cfRule type="containsText" dxfId="7105" priority="7826" operator="containsText" text="FIRE">
      <formula>NOT(ISERROR(SEARCH("FIRE",S86)))</formula>
    </cfRule>
    <cfRule type="containsText" dxfId="7104" priority="7827" operator="containsText" text="COSH">
      <formula>NOT(ISERROR(SEARCH("COSH",S86)))</formula>
    </cfRule>
  </conditionalFormatting>
  <conditionalFormatting sqref="T86">
    <cfRule type="containsText" dxfId="7103" priority="7822" operator="containsText" text="FAT">
      <formula>NOT(ISERROR(SEARCH("FAT",T86)))</formula>
    </cfRule>
    <cfRule type="containsText" dxfId="7102" priority="7823" operator="containsText" text="FIRE">
      <formula>NOT(ISERROR(SEARCH("FIRE",T86)))</formula>
    </cfRule>
    <cfRule type="containsText" dxfId="7101" priority="7824" operator="containsText" text="COSH">
      <formula>NOT(ISERROR(SEARCH("COSH",T86)))</formula>
    </cfRule>
  </conditionalFormatting>
  <conditionalFormatting sqref="R86:W86">
    <cfRule type="containsText" dxfId="7100" priority="7819" operator="containsText" text="FAT">
      <formula>NOT(ISERROR(SEARCH("FAT",R86)))</formula>
    </cfRule>
    <cfRule type="containsText" dxfId="7099" priority="7820" operator="containsText" text="FIRE">
      <formula>NOT(ISERROR(SEARCH("FIRE",R86)))</formula>
    </cfRule>
    <cfRule type="containsText" dxfId="7098" priority="7821" operator="containsText" text="COSH">
      <formula>NOT(ISERROR(SEARCH("COSH",R86)))</formula>
    </cfRule>
  </conditionalFormatting>
  <conditionalFormatting sqref="R86:W86">
    <cfRule type="containsText" dxfId="7097" priority="7816" operator="containsText" text="FAT">
      <formula>NOT(ISERROR(SEARCH("FAT",R86)))</formula>
    </cfRule>
    <cfRule type="containsText" dxfId="7096" priority="7817" operator="containsText" text="FIRE">
      <formula>NOT(ISERROR(SEARCH("FIRE",R86)))</formula>
    </cfRule>
    <cfRule type="containsText" dxfId="7095" priority="7818" operator="containsText" text="COSH">
      <formula>NOT(ISERROR(SEARCH("COSH",R86)))</formula>
    </cfRule>
  </conditionalFormatting>
  <conditionalFormatting sqref="R86:W86">
    <cfRule type="containsText" dxfId="7094" priority="7813" operator="containsText" text="FAT">
      <formula>NOT(ISERROR(SEARCH("FAT",R86)))</formula>
    </cfRule>
    <cfRule type="containsText" dxfId="7093" priority="7814" operator="containsText" text="FIRE">
      <formula>NOT(ISERROR(SEARCH("FIRE",R86)))</formula>
    </cfRule>
    <cfRule type="containsText" dxfId="7092" priority="7815" operator="containsText" text="COSH">
      <formula>NOT(ISERROR(SEARCH("COSH",R86)))</formula>
    </cfRule>
  </conditionalFormatting>
  <conditionalFormatting sqref="R86:W86">
    <cfRule type="containsText" dxfId="7091" priority="7810" operator="containsText" text="FAT">
      <formula>NOT(ISERROR(SEARCH("FAT",R86)))</formula>
    </cfRule>
    <cfRule type="containsText" dxfId="7090" priority="7811" operator="containsText" text="FIRE">
      <formula>NOT(ISERROR(SEARCH("FIRE",R86)))</formula>
    </cfRule>
    <cfRule type="containsText" dxfId="7089" priority="7812" operator="containsText" text="COSH">
      <formula>NOT(ISERROR(SEARCH("COSH",R86)))</formula>
    </cfRule>
  </conditionalFormatting>
  <conditionalFormatting sqref="R86:W86">
    <cfRule type="containsText" dxfId="7088" priority="7807" operator="containsText" text="FAT">
      <formula>NOT(ISERROR(SEARCH("FAT",R86)))</formula>
    </cfRule>
    <cfRule type="containsText" dxfId="7087" priority="7808" operator="containsText" text="FIRE">
      <formula>NOT(ISERROR(SEARCH("FIRE",R86)))</formula>
    </cfRule>
    <cfRule type="containsText" dxfId="7086" priority="7809" operator="containsText" text="COSH">
      <formula>NOT(ISERROR(SEARCH("COSH",R86)))</formula>
    </cfRule>
  </conditionalFormatting>
  <conditionalFormatting sqref="R86:W86">
    <cfRule type="containsText" dxfId="7085" priority="7804" operator="containsText" text="FAT">
      <formula>NOT(ISERROR(SEARCH("FAT",R86)))</formula>
    </cfRule>
    <cfRule type="containsText" dxfId="7084" priority="7805" operator="containsText" text="FIRE">
      <formula>NOT(ISERROR(SEARCH("FIRE",R86)))</formula>
    </cfRule>
    <cfRule type="containsText" dxfId="7083" priority="7806" operator="containsText" text="COSH">
      <formula>NOT(ISERROR(SEARCH("COSH",R86)))</formula>
    </cfRule>
  </conditionalFormatting>
  <conditionalFormatting sqref="R86:W86">
    <cfRule type="containsText" dxfId="7082" priority="7801" operator="containsText" text="FAT">
      <formula>NOT(ISERROR(SEARCH("FAT",R86)))</formula>
    </cfRule>
    <cfRule type="containsText" dxfId="7081" priority="7802" operator="containsText" text="FIRE">
      <formula>NOT(ISERROR(SEARCH("FIRE",R86)))</formula>
    </cfRule>
    <cfRule type="containsText" dxfId="7080" priority="7803" operator="containsText" text="COSH">
      <formula>NOT(ISERROR(SEARCH("COSH",R86)))</formula>
    </cfRule>
  </conditionalFormatting>
  <conditionalFormatting sqref="R86:W86">
    <cfRule type="containsText" dxfId="7079" priority="7798" operator="containsText" text="FAT">
      <formula>NOT(ISERROR(SEARCH("FAT",R86)))</formula>
    </cfRule>
    <cfRule type="containsText" dxfId="7078" priority="7799" operator="containsText" text="FIRE">
      <formula>NOT(ISERROR(SEARCH("FIRE",R86)))</formula>
    </cfRule>
    <cfRule type="containsText" dxfId="7077" priority="7800" operator="containsText" text="COSH">
      <formula>NOT(ISERROR(SEARCH("COSH",R86)))</formula>
    </cfRule>
  </conditionalFormatting>
  <conditionalFormatting sqref="R86:W86">
    <cfRule type="containsText" dxfId="7076" priority="7795" operator="containsText" text="FAT">
      <formula>NOT(ISERROR(SEARCH("FAT",R86)))</formula>
    </cfRule>
    <cfRule type="containsText" dxfId="7075" priority="7796" operator="containsText" text="FIRE">
      <formula>NOT(ISERROR(SEARCH("FIRE",R86)))</formula>
    </cfRule>
    <cfRule type="containsText" dxfId="7074" priority="7797" operator="containsText" text="COSH">
      <formula>NOT(ISERROR(SEARCH("COSH",R86)))</formula>
    </cfRule>
  </conditionalFormatting>
  <conditionalFormatting sqref="AA86">
    <cfRule type="containsText" dxfId="7073" priority="7792" operator="containsText" text="FAT">
      <formula>NOT(ISERROR(SEARCH("FAT",AA86)))</formula>
    </cfRule>
    <cfRule type="containsText" dxfId="7072" priority="7793" operator="containsText" text="FIRE">
      <formula>NOT(ISERROR(SEARCH("FIRE",AA86)))</formula>
    </cfRule>
    <cfRule type="containsText" dxfId="7071" priority="7794" operator="containsText" text="COSH">
      <formula>NOT(ISERROR(SEARCH("COSH",AA86)))</formula>
    </cfRule>
  </conditionalFormatting>
  <conditionalFormatting sqref="AA86">
    <cfRule type="containsText" dxfId="7070" priority="7789" operator="containsText" text="FAT">
      <formula>NOT(ISERROR(SEARCH("FAT",AA86)))</formula>
    </cfRule>
    <cfRule type="containsText" dxfId="7069" priority="7790" operator="containsText" text="FIRE">
      <formula>NOT(ISERROR(SEARCH("FIRE",AA86)))</formula>
    </cfRule>
    <cfRule type="containsText" dxfId="7068" priority="7791" operator="containsText" text="COSH">
      <formula>NOT(ISERROR(SEARCH("COSH",AA86)))</formula>
    </cfRule>
  </conditionalFormatting>
  <conditionalFormatting sqref="J83">
    <cfRule type="containsText" dxfId="7067" priority="7786" operator="containsText" text="FAT">
      <formula>NOT(ISERROR(SEARCH("FAT",J83)))</formula>
    </cfRule>
    <cfRule type="containsText" dxfId="7066" priority="7787" operator="containsText" text="FIRE">
      <formula>NOT(ISERROR(SEARCH("FIRE",J83)))</formula>
    </cfRule>
    <cfRule type="containsText" dxfId="7065" priority="7788" operator="containsText" text="COSH">
      <formula>NOT(ISERROR(SEARCH("COSH",J83)))</formula>
    </cfRule>
  </conditionalFormatting>
  <conditionalFormatting sqref="X83">
    <cfRule type="containsText" dxfId="7064" priority="7783" operator="containsText" text="FAT">
      <formula>NOT(ISERROR(SEARCH("FAT",X83)))</formula>
    </cfRule>
    <cfRule type="containsText" dxfId="7063" priority="7784" operator="containsText" text="FIRE">
      <formula>NOT(ISERROR(SEARCH("FIRE",X83)))</formula>
    </cfRule>
    <cfRule type="containsText" dxfId="7062" priority="7785" operator="containsText" text="COSH">
      <formula>NOT(ISERROR(SEARCH("COSH",X83)))</formula>
    </cfRule>
  </conditionalFormatting>
  <conditionalFormatting sqref="X83">
    <cfRule type="containsText" dxfId="7061" priority="7780" operator="containsText" text="FAT">
      <formula>NOT(ISERROR(SEARCH("FAT",X83)))</formula>
    </cfRule>
    <cfRule type="containsText" dxfId="7060" priority="7781" operator="containsText" text="FIRE">
      <formula>NOT(ISERROR(SEARCH("FIRE",X83)))</formula>
    </cfRule>
    <cfRule type="containsText" dxfId="7059" priority="7782" operator="containsText" text="COSH">
      <formula>NOT(ISERROR(SEARCH("COSH",X83)))</formula>
    </cfRule>
  </conditionalFormatting>
  <conditionalFormatting sqref="G83">
    <cfRule type="containsText" dxfId="7058" priority="7777" operator="containsText" text="FAT">
      <formula>NOT(ISERROR(SEARCH("FAT",G83)))</formula>
    </cfRule>
    <cfRule type="containsText" dxfId="7057" priority="7778" operator="containsText" text="FIRE">
      <formula>NOT(ISERROR(SEARCH("FIRE",G83)))</formula>
    </cfRule>
    <cfRule type="containsText" dxfId="7056" priority="7779" operator="containsText" text="COSH">
      <formula>NOT(ISERROR(SEARCH("COSH",G83)))</formula>
    </cfRule>
  </conditionalFormatting>
  <conditionalFormatting sqref="N83">
    <cfRule type="containsText" dxfId="7055" priority="7774" operator="containsText" text="FAT">
      <formula>NOT(ISERROR(SEARCH("FAT",N83)))</formula>
    </cfRule>
    <cfRule type="containsText" dxfId="7054" priority="7775" operator="containsText" text="FIRE">
      <formula>NOT(ISERROR(SEARCH("FIRE",N83)))</formula>
    </cfRule>
    <cfRule type="containsText" dxfId="7053" priority="7776" operator="containsText" text="COSH">
      <formula>NOT(ISERROR(SEARCH("COSH",N83)))</formula>
    </cfRule>
  </conditionalFormatting>
  <conditionalFormatting sqref="T83:U83">
    <cfRule type="containsText" dxfId="7052" priority="7771" operator="containsText" text="FAT">
      <formula>NOT(ISERROR(SEARCH("FAT",T83)))</formula>
    </cfRule>
    <cfRule type="containsText" dxfId="7051" priority="7772" operator="containsText" text="FIRE">
      <formula>NOT(ISERROR(SEARCH("FIRE",T83)))</formula>
    </cfRule>
    <cfRule type="containsText" dxfId="7050" priority="7773" operator="containsText" text="COSH">
      <formula>NOT(ISERROR(SEARCH("COSH",T83)))</formula>
    </cfRule>
  </conditionalFormatting>
  <conditionalFormatting sqref="AA83">
    <cfRule type="containsText" dxfId="7049" priority="7768" operator="containsText" text="FAT">
      <formula>NOT(ISERROR(SEARCH("FAT",AA83)))</formula>
    </cfRule>
    <cfRule type="containsText" dxfId="7048" priority="7769" operator="containsText" text="FIRE">
      <formula>NOT(ISERROR(SEARCH("FIRE",AA83)))</formula>
    </cfRule>
    <cfRule type="containsText" dxfId="7047" priority="7770" operator="containsText" text="COSH">
      <formula>NOT(ISERROR(SEARCH("COSH",AA83)))</formula>
    </cfRule>
  </conditionalFormatting>
  <conditionalFormatting sqref="L83">
    <cfRule type="containsText" dxfId="7046" priority="7765" operator="containsText" text="FAT">
      <formula>NOT(ISERROR(SEARCH("FAT",L83)))</formula>
    </cfRule>
    <cfRule type="containsText" dxfId="7045" priority="7766" operator="containsText" text="FIRE">
      <formula>NOT(ISERROR(SEARCH("FIRE",L83)))</formula>
    </cfRule>
    <cfRule type="containsText" dxfId="7044" priority="7767" operator="containsText" text="COSH">
      <formula>NOT(ISERROR(SEARCH("COSH",L83)))</formula>
    </cfRule>
  </conditionalFormatting>
  <conditionalFormatting sqref="S83">
    <cfRule type="containsText" dxfId="7043" priority="7762" operator="containsText" text="FAT">
      <formula>NOT(ISERROR(SEARCH("FAT",S83)))</formula>
    </cfRule>
    <cfRule type="containsText" dxfId="7042" priority="7763" operator="containsText" text="FIRE">
      <formula>NOT(ISERROR(SEARCH("FIRE",S83)))</formula>
    </cfRule>
    <cfRule type="containsText" dxfId="7041" priority="7764" operator="containsText" text="COSH">
      <formula>NOT(ISERROR(SEARCH("COSH",S83)))</formula>
    </cfRule>
  </conditionalFormatting>
  <conditionalFormatting sqref="Y83">
    <cfRule type="containsText" dxfId="7040" priority="7759" operator="containsText" text="FAT">
      <formula>NOT(ISERROR(SEARCH("FAT",Y83)))</formula>
    </cfRule>
    <cfRule type="containsText" dxfId="7039" priority="7760" operator="containsText" text="FIRE">
      <formula>NOT(ISERROR(SEARCH("FIRE",Y83)))</formula>
    </cfRule>
    <cfRule type="containsText" dxfId="7038" priority="7761" operator="containsText" text="COSH">
      <formula>NOT(ISERROR(SEARCH("COSH",Y83)))</formula>
    </cfRule>
  </conditionalFormatting>
  <conditionalFormatting sqref="V83">
    <cfRule type="containsText" dxfId="7037" priority="7756" operator="containsText" text="FAT">
      <formula>NOT(ISERROR(SEARCH("FAT",V83)))</formula>
    </cfRule>
    <cfRule type="containsText" dxfId="7036" priority="7757" operator="containsText" text="FIRE">
      <formula>NOT(ISERROR(SEARCH("FIRE",V83)))</formula>
    </cfRule>
    <cfRule type="containsText" dxfId="7035" priority="7758" operator="containsText" text="COSH">
      <formula>NOT(ISERROR(SEARCH("COSH",V83)))</formula>
    </cfRule>
  </conditionalFormatting>
  <conditionalFormatting sqref="M83">
    <cfRule type="containsText" dxfId="7034" priority="7753" operator="containsText" text="FAT">
      <formula>NOT(ISERROR(SEARCH("FAT",M83)))</formula>
    </cfRule>
    <cfRule type="containsText" dxfId="7033" priority="7754" operator="containsText" text="FIRE">
      <formula>NOT(ISERROR(SEARCH("FIRE",M83)))</formula>
    </cfRule>
    <cfRule type="containsText" dxfId="7032" priority="7755" operator="containsText" text="COSH">
      <formula>NOT(ISERROR(SEARCH("COSH",M83)))</formula>
    </cfRule>
  </conditionalFormatting>
  <conditionalFormatting sqref="T83">
    <cfRule type="containsText" dxfId="7031" priority="7750" operator="containsText" text="FAT">
      <formula>NOT(ISERROR(SEARCH("FAT",T83)))</formula>
    </cfRule>
    <cfRule type="containsText" dxfId="7030" priority="7751" operator="containsText" text="FIRE">
      <formula>NOT(ISERROR(SEARCH("FIRE",T83)))</formula>
    </cfRule>
    <cfRule type="containsText" dxfId="7029" priority="7752" operator="containsText" text="COSH">
      <formula>NOT(ISERROR(SEARCH("COSH",T83)))</formula>
    </cfRule>
  </conditionalFormatting>
  <conditionalFormatting sqref="AA83">
    <cfRule type="containsText" dxfId="7028" priority="7747" operator="containsText" text="FAT">
      <formula>NOT(ISERROR(SEARCH("FAT",AA83)))</formula>
    </cfRule>
    <cfRule type="containsText" dxfId="7027" priority="7748" operator="containsText" text="FIRE">
      <formula>NOT(ISERROR(SEARCH("FIRE",AA83)))</formula>
    </cfRule>
    <cfRule type="containsText" dxfId="7026" priority="7749" operator="containsText" text="COSH">
      <formula>NOT(ISERROR(SEARCH("COSH",AA83)))</formula>
    </cfRule>
  </conditionalFormatting>
  <conditionalFormatting sqref="R83">
    <cfRule type="containsText" dxfId="7025" priority="7744" operator="containsText" text="FAT">
      <formula>NOT(ISERROR(SEARCH("FAT",R83)))</formula>
    </cfRule>
    <cfRule type="containsText" dxfId="7024" priority="7745" operator="containsText" text="FIRE">
      <formula>NOT(ISERROR(SEARCH("FIRE",R83)))</formula>
    </cfRule>
    <cfRule type="containsText" dxfId="7023" priority="7746" operator="containsText" text="COSH">
      <formula>NOT(ISERROR(SEARCH("COSH",R83)))</formula>
    </cfRule>
  </conditionalFormatting>
  <conditionalFormatting sqref="S83">
    <cfRule type="containsText" dxfId="7022" priority="7741" operator="containsText" text="FAT">
      <formula>NOT(ISERROR(SEARCH("FAT",S83)))</formula>
    </cfRule>
    <cfRule type="containsText" dxfId="7021" priority="7742" operator="containsText" text="FIRE">
      <formula>NOT(ISERROR(SEARCH("FIRE",S83)))</formula>
    </cfRule>
    <cfRule type="containsText" dxfId="7020" priority="7743" operator="containsText" text="COSH">
      <formula>NOT(ISERROR(SEARCH("COSH",S83)))</formula>
    </cfRule>
  </conditionalFormatting>
  <conditionalFormatting sqref="T83">
    <cfRule type="containsText" dxfId="7019" priority="7738" operator="containsText" text="FAT">
      <formula>NOT(ISERROR(SEARCH("FAT",T83)))</formula>
    </cfRule>
    <cfRule type="containsText" dxfId="7018" priority="7739" operator="containsText" text="FIRE">
      <formula>NOT(ISERROR(SEARCH("FIRE",T83)))</formula>
    </cfRule>
    <cfRule type="containsText" dxfId="7017" priority="7740" operator="containsText" text="COSH">
      <formula>NOT(ISERROR(SEARCH("COSH",T83)))</formula>
    </cfRule>
  </conditionalFormatting>
  <conditionalFormatting sqref="R83:S83">
    <cfRule type="containsText" dxfId="7016" priority="7735" operator="containsText" text="FAT">
      <formula>NOT(ISERROR(SEARCH("FAT",R83)))</formula>
    </cfRule>
    <cfRule type="containsText" dxfId="7015" priority="7736" operator="containsText" text="FIRE">
      <formula>NOT(ISERROR(SEARCH("FIRE",R83)))</formula>
    </cfRule>
    <cfRule type="containsText" dxfId="7014" priority="7737" operator="containsText" text="COSH">
      <formula>NOT(ISERROR(SEARCH("COSH",R83)))</formula>
    </cfRule>
  </conditionalFormatting>
  <conditionalFormatting sqref="R83:S83">
    <cfRule type="containsText" dxfId="7013" priority="7732" operator="containsText" text="FAT">
      <formula>NOT(ISERROR(SEARCH("FAT",R83)))</formula>
    </cfRule>
    <cfRule type="containsText" dxfId="7012" priority="7733" operator="containsText" text="FIRE">
      <formula>NOT(ISERROR(SEARCH("FIRE",R83)))</formula>
    </cfRule>
    <cfRule type="containsText" dxfId="7011" priority="7734" operator="containsText" text="COSH">
      <formula>NOT(ISERROR(SEARCH("COSH",R83)))</formula>
    </cfRule>
  </conditionalFormatting>
  <conditionalFormatting sqref="R83:S83">
    <cfRule type="containsText" dxfId="7010" priority="7729" operator="containsText" text="FAT">
      <formula>NOT(ISERROR(SEARCH("FAT",R83)))</formula>
    </cfRule>
    <cfRule type="containsText" dxfId="7009" priority="7730" operator="containsText" text="FIRE">
      <formula>NOT(ISERROR(SEARCH("FIRE",R83)))</formula>
    </cfRule>
    <cfRule type="containsText" dxfId="7008" priority="7731" operator="containsText" text="COSH">
      <formula>NOT(ISERROR(SEARCH("COSH",R83)))</formula>
    </cfRule>
  </conditionalFormatting>
  <conditionalFormatting sqref="R83:S83">
    <cfRule type="containsText" dxfId="7007" priority="7726" operator="containsText" text="FAT">
      <formula>NOT(ISERROR(SEARCH("FAT",R83)))</formula>
    </cfRule>
    <cfRule type="containsText" dxfId="7006" priority="7727" operator="containsText" text="FIRE">
      <formula>NOT(ISERROR(SEARCH("FIRE",R83)))</formula>
    </cfRule>
    <cfRule type="containsText" dxfId="7005" priority="7728" operator="containsText" text="COSH">
      <formula>NOT(ISERROR(SEARCH("COSH",R83)))</formula>
    </cfRule>
  </conditionalFormatting>
  <conditionalFormatting sqref="R83:S83">
    <cfRule type="containsText" dxfId="7004" priority="7723" operator="containsText" text="FAT">
      <formula>NOT(ISERROR(SEARCH("FAT",R83)))</formula>
    </cfRule>
    <cfRule type="containsText" dxfId="7003" priority="7724" operator="containsText" text="FIRE">
      <formula>NOT(ISERROR(SEARCH("FIRE",R83)))</formula>
    </cfRule>
    <cfRule type="containsText" dxfId="7002" priority="7725" operator="containsText" text="COSH">
      <formula>NOT(ISERROR(SEARCH("COSH",R83)))</formula>
    </cfRule>
  </conditionalFormatting>
  <conditionalFormatting sqref="R83:S83">
    <cfRule type="containsText" dxfId="7001" priority="7720" operator="containsText" text="FAT">
      <formula>NOT(ISERROR(SEARCH("FAT",R83)))</formula>
    </cfRule>
    <cfRule type="containsText" dxfId="7000" priority="7721" operator="containsText" text="FIRE">
      <formula>NOT(ISERROR(SEARCH("FIRE",R83)))</formula>
    </cfRule>
    <cfRule type="containsText" dxfId="6999" priority="7722" operator="containsText" text="COSH">
      <formula>NOT(ISERROR(SEARCH("COSH",R83)))</formula>
    </cfRule>
  </conditionalFormatting>
  <conditionalFormatting sqref="R83:S83">
    <cfRule type="containsText" dxfId="6998" priority="7717" operator="containsText" text="FAT">
      <formula>NOT(ISERROR(SEARCH("FAT",R83)))</formula>
    </cfRule>
    <cfRule type="containsText" dxfId="6997" priority="7718" operator="containsText" text="FIRE">
      <formula>NOT(ISERROR(SEARCH("FIRE",R83)))</formula>
    </cfRule>
    <cfRule type="containsText" dxfId="6996" priority="7719" operator="containsText" text="COSH">
      <formula>NOT(ISERROR(SEARCH("COSH",R83)))</formula>
    </cfRule>
  </conditionalFormatting>
  <conditionalFormatting sqref="R83:S83">
    <cfRule type="containsText" dxfId="6995" priority="7714" operator="containsText" text="FAT">
      <formula>NOT(ISERROR(SEARCH("FAT",R83)))</formula>
    </cfRule>
    <cfRule type="containsText" dxfId="6994" priority="7715" operator="containsText" text="FIRE">
      <formula>NOT(ISERROR(SEARCH("FIRE",R83)))</formula>
    </cfRule>
    <cfRule type="containsText" dxfId="6993" priority="7716" operator="containsText" text="COSH">
      <formula>NOT(ISERROR(SEARCH("COSH",R83)))</formula>
    </cfRule>
  </conditionalFormatting>
  <conditionalFormatting sqref="R83:S83">
    <cfRule type="containsText" dxfId="6992" priority="7711" operator="containsText" text="FAT">
      <formula>NOT(ISERROR(SEARCH("FAT",R83)))</formula>
    </cfRule>
    <cfRule type="containsText" dxfId="6991" priority="7712" operator="containsText" text="FIRE">
      <formula>NOT(ISERROR(SEARCH("FIRE",R83)))</formula>
    </cfRule>
    <cfRule type="containsText" dxfId="6990" priority="7713" operator="containsText" text="COSH">
      <formula>NOT(ISERROR(SEARCH("COSH",R83)))</formula>
    </cfRule>
  </conditionalFormatting>
  <conditionalFormatting sqref="AA83">
    <cfRule type="containsText" dxfId="6989" priority="7708" operator="containsText" text="FAT">
      <formula>NOT(ISERROR(SEARCH("FAT",AA83)))</formula>
    </cfRule>
    <cfRule type="containsText" dxfId="6988" priority="7709" operator="containsText" text="FIRE">
      <formula>NOT(ISERROR(SEARCH("FIRE",AA83)))</formula>
    </cfRule>
    <cfRule type="containsText" dxfId="6987" priority="7710" operator="containsText" text="COSH">
      <formula>NOT(ISERROR(SEARCH("COSH",AA83)))</formula>
    </cfRule>
  </conditionalFormatting>
  <conditionalFormatting sqref="AA83">
    <cfRule type="containsText" dxfId="6986" priority="7705" operator="containsText" text="FAT">
      <formula>NOT(ISERROR(SEARCH("FAT",AA83)))</formula>
    </cfRule>
    <cfRule type="containsText" dxfId="6985" priority="7706" operator="containsText" text="FIRE">
      <formula>NOT(ISERROR(SEARCH("FIRE",AA83)))</formula>
    </cfRule>
    <cfRule type="containsText" dxfId="6984" priority="7707" operator="containsText" text="COSH">
      <formula>NOT(ISERROR(SEARCH("COSH",AA83)))</formula>
    </cfRule>
  </conditionalFormatting>
  <conditionalFormatting sqref="J85">
    <cfRule type="containsText" dxfId="6983" priority="7702" operator="containsText" text="FAT">
      <formula>NOT(ISERROR(SEARCH("FAT",J85)))</formula>
    </cfRule>
    <cfRule type="containsText" dxfId="6982" priority="7703" operator="containsText" text="FIRE">
      <formula>NOT(ISERROR(SEARCH("FIRE",J85)))</formula>
    </cfRule>
    <cfRule type="containsText" dxfId="6981" priority="7704" operator="containsText" text="COSH">
      <formula>NOT(ISERROR(SEARCH("COSH",J85)))</formula>
    </cfRule>
  </conditionalFormatting>
  <conditionalFormatting sqref="X85">
    <cfRule type="containsText" dxfId="6980" priority="7699" operator="containsText" text="FAT">
      <formula>NOT(ISERROR(SEARCH("FAT",X85)))</formula>
    </cfRule>
    <cfRule type="containsText" dxfId="6979" priority="7700" operator="containsText" text="FIRE">
      <formula>NOT(ISERROR(SEARCH("FIRE",X85)))</formula>
    </cfRule>
    <cfRule type="containsText" dxfId="6978" priority="7701" operator="containsText" text="COSH">
      <formula>NOT(ISERROR(SEARCH("COSH",X85)))</formula>
    </cfRule>
  </conditionalFormatting>
  <conditionalFormatting sqref="X85">
    <cfRule type="containsText" dxfId="6977" priority="7696" operator="containsText" text="FAT">
      <formula>NOT(ISERROR(SEARCH("FAT",X85)))</formula>
    </cfRule>
    <cfRule type="containsText" dxfId="6976" priority="7697" operator="containsText" text="FIRE">
      <formula>NOT(ISERROR(SEARCH("FIRE",X85)))</formula>
    </cfRule>
    <cfRule type="containsText" dxfId="6975" priority="7698" operator="containsText" text="COSH">
      <formula>NOT(ISERROR(SEARCH("COSH",X85)))</formula>
    </cfRule>
  </conditionalFormatting>
  <conditionalFormatting sqref="G85">
    <cfRule type="containsText" dxfId="6974" priority="7693" operator="containsText" text="FAT">
      <formula>NOT(ISERROR(SEARCH("FAT",G85)))</formula>
    </cfRule>
    <cfRule type="containsText" dxfId="6973" priority="7694" operator="containsText" text="FIRE">
      <formula>NOT(ISERROR(SEARCH("FIRE",G85)))</formula>
    </cfRule>
    <cfRule type="containsText" dxfId="6972" priority="7695" operator="containsText" text="COSH">
      <formula>NOT(ISERROR(SEARCH("COSH",G85)))</formula>
    </cfRule>
  </conditionalFormatting>
  <conditionalFormatting sqref="N85">
    <cfRule type="containsText" dxfId="6971" priority="7690" operator="containsText" text="FAT">
      <formula>NOT(ISERROR(SEARCH("FAT",N85)))</formula>
    </cfRule>
    <cfRule type="containsText" dxfId="6970" priority="7691" operator="containsText" text="FIRE">
      <formula>NOT(ISERROR(SEARCH("FIRE",N85)))</formula>
    </cfRule>
    <cfRule type="containsText" dxfId="6969" priority="7692" operator="containsText" text="COSH">
      <formula>NOT(ISERROR(SEARCH("COSH",N85)))</formula>
    </cfRule>
  </conditionalFormatting>
  <conditionalFormatting sqref="T85:U85">
    <cfRule type="containsText" dxfId="6968" priority="7687" operator="containsText" text="FAT">
      <formula>NOT(ISERROR(SEARCH("FAT",T85)))</formula>
    </cfRule>
    <cfRule type="containsText" dxfId="6967" priority="7688" operator="containsText" text="FIRE">
      <formula>NOT(ISERROR(SEARCH("FIRE",T85)))</formula>
    </cfRule>
    <cfRule type="containsText" dxfId="6966" priority="7689" operator="containsText" text="COSH">
      <formula>NOT(ISERROR(SEARCH("COSH",T85)))</formula>
    </cfRule>
  </conditionalFormatting>
  <conditionalFormatting sqref="AA85">
    <cfRule type="containsText" dxfId="6965" priority="7684" operator="containsText" text="FAT">
      <formula>NOT(ISERROR(SEARCH("FAT",AA85)))</formula>
    </cfRule>
    <cfRule type="containsText" dxfId="6964" priority="7685" operator="containsText" text="FIRE">
      <formula>NOT(ISERROR(SEARCH("FIRE",AA85)))</formula>
    </cfRule>
    <cfRule type="containsText" dxfId="6963" priority="7686" operator="containsText" text="COSH">
      <formula>NOT(ISERROR(SEARCH("COSH",AA85)))</formula>
    </cfRule>
  </conditionalFormatting>
  <conditionalFormatting sqref="L85">
    <cfRule type="containsText" dxfId="6962" priority="7681" operator="containsText" text="FAT">
      <formula>NOT(ISERROR(SEARCH("FAT",L85)))</formula>
    </cfRule>
    <cfRule type="containsText" dxfId="6961" priority="7682" operator="containsText" text="FIRE">
      <formula>NOT(ISERROR(SEARCH("FIRE",L85)))</formula>
    </cfRule>
    <cfRule type="containsText" dxfId="6960" priority="7683" operator="containsText" text="COSH">
      <formula>NOT(ISERROR(SEARCH("COSH",L85)))</formula>
    </cfRule>
  </conditionalFormatting>
  <conditionalFormatting sqref="S85">
    <cfRule type="containsText" dxfId="6959" priority="7678" operator="containsText" text="FAT">
      <formula>NOT(ISERROR(SEARCH("FAT",S85)))</formula>
    </cfRule>
    <cfRule type="containsText" dxfId="6958" priority="7679" operator="containsText" text="FIRE">
      <formula>NOT(ISERROR(SEARCH("FIRE",S85)))</formula>
    </cfRule>
    <cfRule type="containsText" dxfId="6957" priority="7680" operator="containsText" text="COSH">
      <formula>NOT(ISERROR(SEARCH("COSH",S85)))</formula>
    </cfRule>
  </conditionalFormatting>
  <conditionalFormatting sqref="Y85">
    <cfRule type="containsText" dxfId="6956" priority="7675" operator="containsText" text="FAT">
      <formula>NOT(ISERROR(SEARCH("FAT",Y85)))</formula>
    </cfRule>
    <cfRule type="containsText" dxfId="6955" priority="7676" operator="containsText" text="FIRE">
      <formula>NOT(ISERROR(SEARCH("FIRE",Y85)))</formula>
    </cfRule>
    <cfRule type="containsText" dxfId="6954" priority="7677" operator="containsText" text="COSH">
      <formula>NOT(ISERROR(SEARCH("COSH",Y85)))</formula>
    </cfRule>
  </conditionalFormatting>
  <conditionalFormatting sqref="V85">
    <cfRule type="containsText" dxfId="6953" priority="7672" operator="containsText" text="FAT">
      <formula>NOT(ISERROR(SEARCH("FAT",V85)))</formula>
    </cfRule>
    <cfRule type="containsText" dxfId="6952" priority="7673" operator="containsText" text="FIRE">
      <formula>NOT(ISERROR(SEARCH("FIRE",V85)))</formula>
    </cfRule>
    <cfRule type="containsText" dxfId="6951" priority="7674" operator="containsText" text="COSH">
      <formula>NOT(ISERROR(SEARCH("COSH",V85)))</formula>
    </cfRule>
  </conditionalFormatting>
  <conditionalFormatting sqref="M85">
    <cfRule type="containsText" dxfId="6950" priority="7669" operator="containsText" text="FAT">
      <formula>NOT(ISERROR(SEARCH("FAT",M85)))</formula>
    </cfRule>
    <cfRule type="containsText" dxfId="6949" priority="7670" operator="containsText" text="FIRE">
      <formula>NOT(ISERROR(SEARCH("FIRE",M85)))</formula>
    </cfRule>
    <cfRule type="containsText" dxfId="6948" priority="7671" operator="containsText" text="COSH">
      <formula>NOT(ISERROR(SEARCH("COSH",M85)))</formula>
    </cfRule>
  </conditionalFormatting>
  <conditionalFormatting sqref="T85">
    <cfRule type="containsText" dxfId="6947" priority="7666" operator="containsText" text="FAT">
      <formula>NOT(ISERROR(SEARCH("FAT",T85)))</formula>
    </cfRule>
    <cfRule type="containsText" dxfId="6946" priority="7667" operator="containsText" text="FIRE">
      <formula>NOT(ISERROR(SEARCH("FIRE",T85)))</formula>
    </cfRule>
    <cfRule type="containsText" dxfId="6945" priority="7668" operator="containsText" text="COSH">
      <formula>NOT(ISERROR(SEARCH("COSH",T85)))</formula>
    </cfRule>
  </conditionalFormatting>
  <conditionalFormatting sqref="AA85">
    <cfRule type="containsText" dxfId="6944" priority="7663" operator="containsText" text="FAT">
      <formula>NOT(ISERROR(SEARCH("FAT",AA85)))</formula>
    </cfRule>
    <cfRule type="containsText" dxfId="6943" priority="7664" operator="containsText" text="FIRE">
      <formula>NOT(ISERROR(SEARCH("FIRE",AA85)))</formula>
    </cfRule>
    <cfRule type="containsText" dxfId="6942" priority="7665" operator="containsText" text="COSH">
      <formula>NOT(ISERROR(SEARCH("COSH",AA85)))</formula>
    </cfRule>
  </conditionalFormatting>
  <conditionalFormatting sqref="R85">
    <cfRule type="containsText" dxfId="6941" priority="7660" operator="containsText" text="FAT">
      <formula>NOT(ISERROR(SEARCH("FAT",R85)))</formula>
    </cfRule>
    <cfRule type="containsText" dxfId="6940" priority="7661" operator="containsText" text="FIRE">
      <formula>NOT(ISERROR(SEARCH("FIRE",R85)))</formula>
    </cfRule>
    <cfRule type="containsText" dxfId="6939" priority="7662" operator="containsText" text="COSH">
      <formula>NOT(ISERROR(SEARCH("COSH",R85)))</formula>
    </cfRule>
  </conditionalFormatting>
  <conditionalFormatting sqref="S85">
    <cfRule type="containsText" dxfId="6938" priority="7657" operator="containsText" text="FAT">
      <formula>NOT(ISERROR(SEARCH("FAT",S85)))</formula>
    </cfRule>
    <cfRule type="containsText" dxfId="6937" priority="7658" operator="containsText" text="FIRE">
      <formula>NOT(ISERROR(SEARCH("FIRE",S85)))</formula>
    </cfRule>
    <cfRule type="containsText" dxfId="6936" priority="7659" operator="containsText" text="COSH">
      <formula>NOT(ISERROR(SEARCH("COSH",S85)))</formula>
    </cfRule>
  </conditionalFormatting>
  <conditionalFormatting sqref="T85">
    <cfRule type="containsText" dxfId="6935" priority="7654" operator="containsText" text="FAT">
      <formula>NOT(ISERROR(SEARCH("FAT",T85)))</formula>
    </cfRule>
    <cfRule type="containsText" dxfId="6934" priority="7655" operator="containsText" text="FIRE">
      <formula>NOT(ISERROR(SEARCH("FIRE",T85)))</formula>
    </cfRule>
    <cfRule type="containsText" dxfId="6933" priority="7656" operator="containsText" text="COSH">
      <formula>NOT(ISERROR(SEARCH("COSH",T85)))</formula>
    </cfRule>
  </conditionalFormatting>
  <conditionalFormatting sqref="R85:S85">
    <cfRule type="containsText" dxfId="6932" priority="7651" operator="containsText" text="FAT">
      <formula>NOT(ISERROR(SEARCH("FAT",R85)))</formula>
    </cfRule>
    <cfRule type="containsText" dxfId="6931" priority="7652" operator="containsText" text="FIRE">
      <formula>NOT(ISERROR(SEARCH("FIRE",R85)))</formula>
    </cfRule>
    <cfRule type="containsText" dxfId="6930" priority="7653" operator="containsText" text="COSH">
      <formula>NOT(ISERROR(SEARCH("COSH",R85)))</formula>
    </cfRule>
  </conditionalFormatting>
  <conditionalFormatting sqref="R85:S85">
    <cfRule type="containsText" dxfId="6929" priority="7648" operator="containsText" text="FAT">
      <formula>NOT(ISERROR(SEARCH("FAT",R85)))</formula>
    </cfRule>
    <cfRule type="containsText" dxfId="6928" priority="7649" operator="containsText" text="FIRE">
      <formula>NOT(ISERROR(SEARCH("FIRE",R85)))</formula>
    </cfRule>
    <cfRule type="containsText" dxfId="6927" priority="7650" operator="containsText" text="COSH">
      <formula>NOT(ISERROR(SEARCH("COSH",R85)))</formula>
    </cfRule>
  </conditionalFormatting>
  <conditionalFormatting sqref="R85:S85">
    <cfRule type="containsText" dxfId="6926" priority="7645" operator="containsText" text="FAT">
      <formula>NOT(ISERROR(SEARCH("FAT",R85)))</formula>
    </cfRule>
    <cfRule type="containsText" dxfId="6925" priority="7646" operator="containsText" text="FIRE">
      <formula>NOT(ISERROR(SEARCH("FIRE",R85)))</formula>
    </cfRule>
    <cfRule type="containsText" dxfId="6924" priority="7647" operator="containsText" text="COSH">
      <formula>NOT(ISERROR(SEARCH("COSH",R85)))</formula>
    </cfRule>
  </conditionalFormatting>
  <conditionalFormatting sqref="R85:S85">
    <cfRule type="containsText" dxfId="6923" priority="7642" operator="containsText" text="FAT">
      <formula>NOT(ISERROR(SEARCH("FAT",R85)))</formula>
    </cfRule>
    <cfRule type="containsText" dxfId="6922" priority="7643" operator="containsText" text="FIRE">
      <formula>NOT(ISERROR(SEARCH("FIRE",R85)))</formula>
    </cfRule>
    <cfRule type="containsText" dxfId="6921" priority="7644" operator="containsText" text="COSH">
      <formula>NOT(ISERROR(SEARCH("COSH",R85)))</formula>
    </cfRule>
  </conditionalFormatting>
  <conditionalFormatting sqref="R85:S85">
    <cfRule type="containsText" dxfId="6920" priority="7639" operator="containsText" text="FAT">
      <formula>NOT(ISERROR(SEARCH("FAT",R85)))</formula>
    </cfRule>
    <cfRule type="containsText" dxfId="6919" priority="7640" operator="containsText" text="FIRE">
      <formula>NOT(ISERROR(SEARCH("FIRE",R85)))</formula>
    </cfRule>
    <cfRule type="containsText" dxfId="6918" priority="7641" operator="containsText" text="COSH">
      <formula>NOT(ISERROR(SEARCH("COSH",R85)))</formula>
    </cfRule>
  </conditionalFormatting>
  <conditionalFormatting sqref="R85:S85">
    <cfRule type="containsText" dxfId="6917" priority="7636" operator="containsText" text="FAT">
      <formula>NOT(ISERROR(SEARCH("FAT",R85)))</formula>
    </cfRule>
    <cfRule type="containsText" dxfId="6916" priority="7637" operator="containsText" text="FIRE">
      <formula>NOT(ISERROR(SEARCH("FIRE",R85)))</formula>
    </cfRule>
    <cfRule type="containsText" dxfId="6915" priority="7638" operator="containsText" text="COSH">
      <formula>NOT(ISERROR(SEARCH("COSH",R85)))</formula>
    </cfRule>
  </conditionalFormatting>
  <conditionalFormatting sqref="R85:S85">
    <cfRule type="containsText" dxfId="6914" priority="7633" operator="containsText" text="FAT">
      <formula>NOT(ISERROR(SEARCH("FAT",R85)))</formula>
    </cfRule>
    <cfRule type="containsText" dxfId="6913" priority="7634" operator="containsText" text="FIRE">
      <formula>NOT(ISERROR(SEARCH("FIRE",R85)))</formula>
    </cfRule>
    <cfRule type="containsText" dxfId="6912" priority="7635" operator="containsText" text="COSH">
      <formula>NOT(ISERROR(SEARCH("COSH",R85)))</formula>
    </cfRule>
  </conditionalFormatting>
  <conditionalFormatting sqref="R85:S85">
    <cfRule type="containsText" dxfId="6911" priority="7630" operator="containsText" text="FAT">
      <formula>NOT(ISERROR(SEARCH("FAT",R85)))</formula>
    </cfRule>
    <cfRule type="containsText" dxfId="6910" priority="7631" operator="containsText" text="FIRE">
      <formula>NOT(ISERROR(SEARCH("FIRE",R85)))</formula>
    </cfRule>
    <cfRule type="containsText" dxfId="6909" priority="7632" operator="containsText" text="COSH">
      <formula>NOT(ISERROR(SEARCH("COSH",R85)))</formula>
    </cfRule>
  </conditionalFormatting>
  <conditionalFormatting sqref="R85:S85">
    <cfRule type="containsText" dxfId="6908" priority="7627" operator="containsText" text="FAT">
      <formula>NOT(ISERROR(SEARCH("FAT",R85)))</formula>
    </cfRule>
    <cfRule type="containsText" dxfId="6907" priority="7628" operator="containsText" text="FIRE">
      <formula>NOT(ISERROR(SEARCH("FIRE",R85)))</formula>
    </cfRule>
    <cfRule type="containsText" dxfId="6906" priority="7629" operator="containsText" text="COSH">
      <formula>NOT(ISERROR(SEARCH("COSH",R85)))</formula>
    </cfRule>
  </conditionalFormatting>
  <conditionalFormatting sqref="AA85">
    <cfRule type="containsText" dxfId="6905" priority="7624" operator="containsText" text="FAT">
      <formula>NOT(ISERROR(SEARCH("FAT",AA85)))</formula>
    </cfRule>
    <cfRule type="containsText" dxfId="6904" priority="7625" operator="containsText" text="FIRE">
      <formula>NOT(ISERROR(SEARCH("FIRE",AA85)))</formula>
    </cfRule>
    <cfRule type="containsText" dxfId="6903" priority="7626" operator="containsText" text="COSH">
      <formula>NOT(ISERROR(SEARCH("COSH",AA85)))</formula>
    </cfRule>
  </conditionalFormatting>
  <conditionalFormatting sqref="AA85">
    <cfRule type="containsText" dxfId="6902" priority="7621" operator="containsText" text="FAT">
      <formula>NOT(ISERROR(SEARCH("FAT",AA85)))</formula>
    </cfRule>
    <cfRule type="containsText" dxfId="6901" priority="7622" operator="containsText" text="FIRE">
      <formula>NOT(ISERROR(SEARCH("FIRE",AA85)))</formula>
    </cfRule>
    <cfRule type="containsText" dxfId="6900" priority="7623" operator="containsText" text="COSH">
      <formula>NOT(ISERROR(SEARCH("COSH",AA85)))</formula>
    </cfRule>
  </conditionalFormatting>
  <conditionalFormatting sqref="J68">
    <cfRule type="containsText" dxfId="6899" priority="7618" operator="containsText" text="FAT">
      <formula>NOT(ISERROR(SEARCH("FAT",J68)))</formula>
    </cfRule>
    <cfRule type="containsText" dxfId="6898" priority="7619" operator="containsText" text="FIRE">
      <formula>NOT(ISERROR(SEARCH("FIRE",J68)))</formula>
    </cfRule>
    <cfRule type="containsText" dxfId="6897" priority="7620" operator="containsText" text="COSH">
      <formula>NOT(ISERROR(SEARCH("COSH",J68)))</formula>
    </cfRule>
  </conditionalFormatting>
  <conditionalFormatting sqref="Q68:Q86 R86:T86 R82:T82">
    <cfRule type="containsText" dxfId="6896" priority="7615" operator="containsText" text="FAT">
      <formula>NOT(ISERROR(SEARCH("FAT",Q68)))</formula>
    </cfRule>
    <cfRule type="containsText" dxfId="6895" priority="7616" operator="containsText" text="FIRE">
      <formula>NOT(ISERROR(SEARCH("FIRE",Q68)))</formula>
    </cfRule>
    <cfRule type="containsText" dxfId="6894" priority="7617" operator="containsText" text="COSH">
      <formula>NOT(ISERROR(SEARCH("COSH",Q68)))</formula>
    </cfRule>
  </conditionalFormatting>
  <conditionalFormatting sqref="X68">
    <cfRule type="containsText" dxfId="6893" priority="7612" operator="containsText" text="FAT">
      <formula>NOT(ISERROR(SEARCH("FAT",X68)))</formula>
    </cfRule>
    <cfRule type="containsText" dxfId="6892" priority="7613" operator="containsText" text="FIRE">
      <formula>NOT(ISERROR(SEARCH("FIRE",X68)))</formula>
    </cfRule>
    <cfRule type="containsText" dxfId="6891" priority="7614" operator="containsText" text="COSH">
      <formula>NOT(ISERROR(SEARCH("COSH",X68)))</formula>
    </cfRule>
  </conditionalFormatting>
  <conditionalFormatting sqref="G68">
    <cfRule type="containsText" dxfId="6890" priority="7609" operator="containsText" text="FAT">
      <formula>NOT(ISERROR(SEARCH("FAT",G68)))</formula>
    </cfRule>
    <cfRule type="containsText" dxfId="6889" priority="7610" operator="containsText" text="FIRE">
      <formula>NOT(ISERROR(SEARCH("FIRE",G68)))</formula>
    </cfRule>
    <cfRule type="containsText" dxfId="6888" priority="7611" operator="containsText" text="COSH">
      <formula>NOT(ISERROR(SEARCH("COSH",G68)))</formula>
    </cfRule>
  </conditionalFormatting>
  <conditionalFormatting sqref="N68">
    <cfRule type="containsText" dxfId="6887" priority="7606" operator="containsText" text="FAT">
      <formula>NOT(ISERROR(SEARCH("FAT",N68)))</formula>
    </cfRule>
    <cfRule type="containsText" dxfId="6886" priority="7607" operator="containsText" text="FIRE">
      <formula>NOT(ISERROR(SEARCH("FIRE",N68)))</formula>
    </cfRule>
    <cfRule type="containsText" dxfId="6885" priority="7608" operator="containsText" text="COSH">
      <formula>NOT(ISERROR(SEARCH("COSH",N68)))</formula>
    </cfRule>
  </conditionalFormatting>
  <conditionalFormatting sqref="T68:U68">
    <cfRule type="containsText" dxfId="6884" priority="7603" operator="containsText" text="FAT">
      <formula>NOT(ISERROR(SEARCH("FAT",T68)))</formula>
    </cfRule>
    <cfRule type="containsText" dxfId="6883" priority="7604" operator="containsText" text="FIRE">
      <formula>NOT(ISERROR(SEARCH("FIRE",T68)))</formula>
    </cfRule>
    <cfRule type="containsText" dxfId="6882" priority="7605" operator="containsText" text="COSH">
      <formula>NOT(ISERROR(SEARCH("COSH",T68)))</formula>
    </cfRule>
  </conditionalFormatting>
  <conditionalFormatting sqref="AA68">
    <cfRule type="containsText" dxfId="6881" priority="7600" operator="containsText" text="FAT">
      <formula>NOT(ISERROR(SEARCH("FAT",AA68)))</formula>
    </cfRule>
    <cfRule type="containsText" dxfId="6880" priority="7601" operator="containsText" text="FIRE">
      <formula>NOT(ISERROR(SEARCH("FIRE",AA68)))</formula>
    </cfRule>
    <cfRule type="containsText" dxfId="6879" priority="7602" operator="containsText" text="COSH">
      <formula>NOT(ISERROR(SEARCH("COSH",AA68)))</formula>
    </cfRule>
  </conditionalFormatting>
  <conditionalFormatting sqref="L68:M68">
    <cfRule type="containsText" dxfId="6878" priority="7597" operator="containsText" text="FAT">
      <formula>NOT(ISERROR(SEARCH("FAT",L68)))</formula>
    </cfRule>
    <cfRule type="containsText" dxfId="6877" priority="7598" operator="containsText" text="FIRE">
      <formula>NOT(ISERROR(SEARCH("FIRE",L68)))</formula>
    </cfRule>
    <cfRule type="containsText" dxfId="6876" priority="7599" operator="containsText" text="COSH">
      <formula>NOT(ISERROR(SEARCH("COSH",L68)))</formula>
    </cfRule>
  </conditionalFormatting>
  <conditionalFormatting sqref="L68">
    <cfRule type="containsText" dxfId="6875" priority="7594" operator="containsText" text="FAT">
      <formula>NOT(ISERROR(SEARCH("FAT",L68)))</formula>
    </cfRule>
    <cfRule type="containsText" dxfId="6874" priority="7595" operator="containsText" text="FIRE">
      <formula>NOT(ISERROR(SEARCH("FIRE",L68)))</formula>
    </cfRule>
    <cfRule type="containsText" dxfId="6873" priority="7596" operator="containsText" text="COSH">
      <formula>NOT(ISERROR(SEARCH("COSH",L68)))</formula>
    </cfRule>
  </conditionalFormatting>
  <conditionalFormatting sqref="S68">
    <cfRule type="containsText" dxfId="6872" priority="7591" operator="containsText" text="FAT">
      <formula>NOT(ISERROR(SEARCH("FAT",S68)))</formula>
    </cfRule>
    <cfRule type="containsText" dxfId="6871" priority="7592" operator="containsText" text="FIRE">
      <formula>NOT(ISERROR(SEARCH("FIRE",S68)))</formula>
    </cfRule>
    <cfRule type="containsText" dxfId="6870" priority="7593" operator="containsText" text="COSH">
      <formula>NOT(ISERROR(SEARCH("COSH",S68)))</formula>
    </cfRule>
  </conditionalFormatting>
  <conditionalFormatting sqref="Y68">
    <cfRule type="containsText" dxfId="6869" priority="7588" operator="containsText" text="FAT">
      <formula>NOT(ISERROR(SEARCH("FAT",Y68)))</formula>
    </cfRule>
    <cfRule type="containsText" dxfId="6868" priority="7589" operator="containsText" text="FIRE">
      <formula>NOT(ISERROR(SEARCH("FIRE",Y68)))</formula>
    </cfRule>
    <cfRule type="containsText" dxfId="6867" priority="7590" operator="containsText" text="COSH">
      <formula>NOT(ISERROR(SEARCH("COSH",Y68)))</formula>
    </cfRule>
  </conditionalFormatting>
  <conditionalFormatting sqref="H68:H87">
    <cfRule type="containsText" dxfId="6866" priority="7585" operator="containsText" text="FAT">
      <formula>NOT(ISERROR(SEARCH("FAT",H68)))</formula>
    </cfRule>
    <cfRule type="containsText" dxfId="6865" priority="7586" operator="containsText" text="FIRE">
      <formula>NOT(ISERROR(SEARCH("FIRE",H68)))</formula>
    </cfRule>
    <cfRule type="containsText" dxfId="6864" priority="7587" operator="containsText" text="COSH">
      <formula>NOT(ISERROR(SEARCH("COSH",H68)))</formula>
    </cfRule>
  </conditionalFormatting>
  <conditionalFormatting sqref="O68:O86">
    <cfRule type="containsText" dxfId="6863" priority="7582" operator="containsText" text="FAT">
      <formula>NOT(ISERROR(SEARCH("FAT",O68)))</formula>
    </cfRule>
    <cfRule type="containsText" dxfId="6862" priority="7583" operator="containsText" text="FIRE">
      <formula>NOT(ISERROR(SEARCH("FIRE",O68)))</formula>
    </cfRule>
    <cfRule type="containsText" dxfId="6861" priority="7584" operator="containsText" text="COSH">
      <formula>NOT(ISERROR(SEARCH("COSH",O68)))</formula>
    </cfRule>
  </conditionalFormatting>
  <conditionalFormatting sqref="V68">
    <cfRule type="containsText" dxfId="6860" priority="7579" operator="containsText" text="FAT">
      <formula>NOT(ISERROR(SEARCH("FAT",V68)))</formula>
    </cfRule>
    <cfRule type="containsText" dxfId="6859" priority="7580" operator="containsText" text="FIRE">
      <formula>NOT(ISERROR(SEARCH("FIRE",V68)))</formula>
    </cfRule>
    <cfRule type="containsText" dxfId="6858" priority="7581" operator="containsText" text="COSH">
      <formula>NOT(ISERROR(SEARCH("COSH",V68)))</formula>
    </cfRule>
  </conditionalFormatting>
  <conditionalFormatting sqref="M68">
    <cfRule type="containsText" dxfId="6857" priority="7576" operator="containsText" text="FAT">
      <formula>NOT(ISERROR(SEARCH("FAT",M68)))</formula>
    </cfRule>
    <cfRule type="containsText" dxfId="6856" priority="7577" operator="containsText" text="FIRE">
      <formula>NOT(ISERROR(SEARCH("FIRE",M68)))</formula>
    </cfRule>
    <cfRule type="containsText" dxfId="6855" priority="7578" operator="containsText" text="COSH">
      <formula>NOT(ISERROR(SEARCH("COSH",M68)))</formula>
    </cfRule>
  </conditionalFormatting>
  <conditionalFormatting sqref="T68">
    <cfRule type="containsText" dxfId="6854" priority="7573" operator="containsText" text="FAT">
      <formula>NOT(ISERROR(SEARCH("FAT",T68)))</formula>
    </cfRule>
    <cfRule type="containsText" dxfId="6853" priority="7574" operator="containsText" text="FIRE">
      <formula>NOT(ISERROR(SEARCH("FIRE",T68)))</formula>
    </cfRule>
    <cfRule type="containsText" dxfId="6852" priority="7575" operator="containsText" text="COSH">
      <formula>NOT(ISERROR(SEARCH("COSH",T68)))</formula>
    </cfRule>
  </conditionalFormatting>
  <conditionalFormatting sqref="AA68">
    <cfRule type="containsText" dxfId="6851" priority="7570" operator="containsText" text="FAT">
      <formula>NOT(ISERROR(SEARCH("FAT",AA68)))</formula>
    </cfRule>
    <cfRule type="containsText" dxfId="6850" priority="7571" operator="containsText" text="FIRE">
      <formula>NOT(ISERROR(SEARCH("FIRE",AA68)))</formula>
    </cfRule>
    <cfRule type="containsText" dxfId="6849" priority="7572" operator="containsText" text="COSH">
      <formula>NOT(ISERROR(SEARCH("COSH",AA68)))</formula>
    </cfRule>
  </conditionalFormatting>
  <conditionalFormatting sqref="R68">
    <cfRule type="containsText" dxfId="6848" priority="7567" operator="containsText" text="FAT">
      <formula>NOT(ISERROR(SEARCH("FAT",R68)))</formula>
    </cfRule>
    <cfRule type="containsText" dxfId="6847" priority="7568" operator="containsText" text="FIRE">
      <formula>NOT(ISERROR(SEARCH("FIRE",R68)))</formula>
    </cfRule>
    <cfRule type="containsText" dxfId="6846" priority="7569" operator="containsText" text="COSH">
      <formula>NOT(ISERROR(SEARCH("COSH",R68)))</formula>
    </cfRule>
  </conditionalFormatting>
  <conditionalFormatting sqref="S68">
    <cfRule type="containsText" dxfId="6845" priority="7564" operator="containsText" text="FAT">
      <formula>NOT(ISERROR(SEARCH("FAT",S68)))</formula>
    </cfRule>
    <cfRule type="containsText" dxfId="6844" priority="7565" operator="containsText" text="FIRE">
      <formula>NOT(ISERROR(SEARCH("FIRE",S68)))</formula>
    </cfRule>
    <cfRule type="containsText" dxfId="6843" priority="7566" operator="containsText" text="COSH">
      <formula>NOT(ISERROR(SEARCH("COSH",S68)))</formula>
    </cfRule>
  </conditionalFormatting>
  <conditionalFormatting sqref="T68">
    <cfRule type="containsText" dxfId="6842" priority="7561" operator="containsText" text="FAT">
      <formula>NOT(ISERROR(SEARCH("FAT",T68)))</formula>
    </cfRule>
    <cfRule type="containsText" dxfId="6841" priority="7562" operator="containsText" text="FIRE">
      <formula>NOT(ISERROR(SEARCH("FIRE",T68)))</formula>
    </cfRule>
    <cfRule type="containsText" dxfId="6840" priority="7563" operator="containsText" text="COSH">
      <formula>NOT(ISERROR(SEARCH("COSH",T68)))</formula>
    </cfRule>
  </conditionalFormatting>
  <conditionalFormatting sqref="R68:S68">
    <cfRule type="containsText" dxfId="6839" priority="7558" operator="containsText" text="FAT">
      <formula>NOT(ISERROR(SEARCH("FAT",R68)))</formula>
    </cfRule>
    <cfRule type="containsText" dxfId="6838" priority="7559" operator="containsText" text="FIRE">
      <formula>NOT(ISERROR(SEARCH("FIRE",R68)))</formula>
    </cfRule>
    <cfRule type="containsText" dxfId="6837" priority="7560" operator="containsText" text="COSH">
      <formula>NOT(ISERROR(SEARCH("COSH",R68)))</formula>
    </cfRule>
  </conditionalFormatting>
  <conditionalFormatting sqref="R68:S68">
    <cfRule type="containsText" dxfId="6836" priority="7555" operator="containsText" text="FAT">
      <formula>NOT(ISERROR(SEARCH("FAT",R68)))</formula>
    </cfRule>
    <cfRule type="containsText" dxfId="6835" priority="7556" operator="containsText" text="FIRE">
      <formula>NOT(ISERROR(SEARCH("FIRE",R68)))</formula>
    </cfRule>
    <cfRule type="containsText" dxfId="6834" priority="7557" operator="containsText" text="COSH">
      <formula>NOT(ISERROR(SEARCH("COSH",R68)))</formula>
    </cfRule>
  </conditionalFormatting>
  <conditionalFormatting sqref="R68:S68">
    <cfRule type="containsText" dxfId="6833" priority="7552" operator="containsText" text="FAT">
      <formula>NOT(ISERROR(SEARCH("FAT",R68)))</formula>
    </cfRule>
    <cfRule type="containsText" dxfId="6832" priority="7553" operator="containsText" text="FIRE">
      <formula>NOT(ISERROR(SEARCH("FIRE",R68)))</formula>
    </cfRule>
    <cfRule type="containsText" dxfId="6831" priority="7554" operator="containsText" text="COSH">
      <formula>NOT(ISERROR(SEARCH("COSH",R68)))</formula>
    </cfRule>
  </conditionalFormatting>
  <conditionalFormatting sqref="R68:S68">
    <cfRule type="containsText" dxfId="6830" priority="7549" operator="containsText" text="FAT">
      <formula>NOT(ISERROR(SEARCH("FAT",R68)))</formula>
    </cfRule>
    <cfRule type="containsText" dxfId="6829" priority="7550" operator="containsText" text="FIRE">
      <formula>NOT(ISERROR(SEARCH("FIRE",R68)))</formula>
    </cfRule>
    <cfRule type="containsText" dxfId="6828" priority="7551" operator="containsText" text="COSH">
      <formula>NOT(ISERROR(SEARCH("COSH",R68)))</formula>
    </cfRule>
  </conditionalFormatting>
  <conditionalFormatting sqref="R68:S68">
    <cfRule type="containsText" dxfId="6827" priority="7546" operator="containsText" text="FAT">
      <formula>NOT(ISERROR(SEARCH("FAT",R68)))</formula>
    </cfRule>
    <cfRule type="containsText" dxfId="6826" priority="7547" operator="containsText" text="FIRE">
      <formula>NOT(ISERROR(SEARCH("FIRE",R68)))</formula>
    </cfRule>
    <cfRule type="containsText" dxfId="6825" priority="7548" operator="containsText" text="COSH">
      <formula>NOT(ISERROR(SEARCH("COSH",R68)))</formula>
    </cfRule>
  </conditionalFormatting>
  <conditionalFormatting sqref="R68:S68">
    <cfRule type="containsText" dxfId="6824" priority="7543" operator="containsText" text="FAT">
      <formula>NOT(ISERROR(SEARCH("FAT",R68)))</formula>
    </cfRule>
    <cfRule type="containsText" dxfId="6823" priority="7544" operator="containsText" text="FIRE">
      <formula>NOT(ISERROR(SEARCH("FIRE",R68)))</formula>
    </cfRule>
    <cfRule type="containsText" dxfId="6822" priority="7545" operator="containsText" text="COSH">
      <formula>NOT(ISERROR(SEARCH("COSH",R68)))</formula>
    </cfRule>
  </conditionalFormatting>
  <conditionalFormatting sqref="R68:S68">
    <cfRule type="containsText" dxfId="6821" priority="7540" operator="containsText" text="FAT">
      <formula>NOT(ISERROR(SEARCH("FAT",R68)))</formula>
    </cfRule>
    <cfRule type="containsText" dxfId="6820" priority="7541" operator="containsText" text="FIRE">
      <formula>NOT(ISERROR(SEARCH("FIRE",R68)))</formula>
    </cfRule>
    <cfRule type="containsText" dxfId="6819" priority="7542" operator="containsText" text="COSH">
      <formula>NOT(ISERROR(SEARCH("COSH",R68)))</formula>
    </cfRule>
  </conditionalFormatting>
  <conditionalFormatting sqref="R68:S68">
    <cfRule type="containsText" dxfId="6818" priority="7537" operator="containsText" text="FAT">
      <formula>NOT(ISERROR(SEARCH("FAT",R68)))</formula>
    </cfRule>
    <cfRule type="containsText" dxfId="6817" priority="7538" operator="containsText" text="FIRE">
      <formula>NOT(ISERROR(SEARCH("FIRE",R68)))</formula>
    </cfRule>
    <cfRule type="containsText" dxfId="6816" priority="7539" operator="containsText" text="COSH">
      <formula>NOT(ISERROR(SEARCH("COSH",R68)))</formula>
    </cfRule>
  </conditionalFormatting>
  <conditionalFormatting sqref="R68:S68">
    <cfRule type="containsText" dxfId="6815" priority="7534" operator="containsText" text="FAT">
      <formula>NOT(ISERROR(SEARCH("FAT",R68)))</formula>
    </cfRule>
    <cfRule type="containsText" dxfId="6814" priority="7535" operator="containsText" text="FIRE">
      <formula>NOT(ISERROR(SEARCH("FIRE",R68)))</formula>
    </cfRule>
    <cfRule type="containsText" dxfId="6813" priority="7536" operator="containsText" text="COSH">
      <formula>NOT(ISERROR(SEARCH("COSH",R68)))</formula>
    </cfRule>
  </conditionalFormatting>
  <conditionalFormatting sqref="AA68">
    <cfRule type="containsText" dxfId="6812" priority="7531" operator="containsText" text="FAT">
      <formula>NOT(ISERROR(SEARCH("FAT",AA68)))</formula>
    </cfRule>
    <cfRule type="containsText" dxfId="6811" priority="7532" operator="containsText" text="FIRE">
      <formula>NOT(ISERROR(SEARCH("FIRE",AA68)))</formula>
    </cfRule>
    <cfRule type="containsText" dxfId="6810" priority="7533" operator="containsText" text="COSH">
      <formula>NOT(ISERROR(SEARCH("COSH",AA68)))</formula>
    </cfRule>
  </conditionalFormatting>
  <conditionalFormatting sqref="AA68">
    <cfRule type="containsText" dxfId="6809" priority="7528" operator="containsText" text="FAT">
      <formula>NOT(ISERROR(SEARCH("FAT",AA68)))</formula>
    </cfRule>
    <cfRule type="containsText" dxfId="6808" priority="7529" operator="containsText" text="FIRE">
      <formula>NOT(ISERROR(SEARCH("FIRE",AA68)))</formula>
    </cfRule>
    <cfRule type="containsText" dxfId="6807" priority="7530" operator="containsText" text="COSH">
      <formula>NOT(ISERROR(SEARCH("COSH",AA68)))</formula>
    </cfRule>
  </conditionalFormatting>
  <conditionalFormatting sqref="G37:AJ37">
    <cfRule type="containsText" dxfId="6806" priority="7525" operator="containsText" text="FAT">
      <formula>NOT(ISERROR(SEARCH("FAT",G37)))</formula>
    </cfRule>
    <cfRule type="containsText" dxfId="6805" priority="7526" operator="containsText" text="FIRE">
      <formula>NOT(ISERROR(SEARCH("FIRE",G37)))</formula>
    </cfRule>
    <cfRule type="containsText" dxfId="6804" priority="7527" operator="containsText" text="COSH">
      <formula>NOT(ISERROR(SEARCH("COSH",G37)))</formula>
    </cfRule>
  </conditionalFormatting>
  <conditionalFormatting sqref="G65:AK65">
    <cfRule type="containsText" dxfId="6803" priority="7522" operator="containsText" text="FAT">
      <formula>NOT(ISERROR(SEARCH("FAT",G65)))</formula>
    </cfRule>
    <cfRule type="containsText" dxfId="6802" priority="7523" operator="containsText" text="FIRE">
      <formula>NOT(ISERROR(SEARCH("FIRE",G65)))</formula>
    </cfRule>
    <cfRule type="containsText" dxfId="6801" priority="7524" operator="containsText" text="COSH">
      <formula>NOT(ISERROR(SEARCH("COSH",G65)))</formula>
    </cfRule>
  </conditionalFormatting>
  <conditionalFormatting sqref="G92:AK92">
    <cfRule type="containsText" dxfId="6800" priority="7519" operator="containsText" text="FAT">
      <formula>NOT(ISERROR(SEARCH("FAT",G92)))</formula>
    </cfRule>
    <cfRule type="containsText" dxfId="6799" priority="7520" operator="containsText" text="FIRE">
      <formula>NOT(ISERROR(SEARCH("FIRE",G92)))</formula>
    </cfRule>
    <cfRule type="containsText" dxfId="6798" priority="7521" operator="containsText" text="COSH">
      <formula>NOT(ISERROR(SEARCH("COSH",G92)))</formula>
    </cfRule>
  </conditionalFormatting>
  <conditionalFormatting sqref="G93:AK93">
    <cfRule type="containsText" dxfId="6797" priority="7516" operator="containsText" text="FAT">
      <formula>NOT(ISERROR(SEARCH("FAT",G93)))</formula>
    </cfRule>
    <cfRule type="containsText" dxfId="6796" priority="7517" operator="containsText" text="FIRE">
      <formula>NOT(ISERROR(SEARCH("FIRE",G93)))</formula>
    </cfRule>
    <cfRule type="containsText" dxfId="6795" priority="7518" operator="containsText" text="COSH">
      <formula>NOT(ISERROR(SEARCH("COSH",G93)))</formula>
    </cfRule>
  </conditionalFormatting>
  <conditionalFormatting sqref="AK41 AE39:AJ52 AI53:AJ53 AF57:AJ57 AH56:AJ56 AA40:AD52 AA53:AG53 AA54:AJ55 AA56:AF56 AA58:AJ58 AA60:AJ60">
    <cfRule type="cellIs" dxfId="6794" priority="7515" operator="equal">
      <formula>0</formula>
    </cfRule>
  </conditionalFormatting>
  <conditionalFormatting sqref="AI49">
    <cfRule type="containsText" dxfId="6793" priority="7512" operator="containsText" text="FAT">
      <formula>NOT(ISERROR(SEARCH("FAT",AI49)))</formula>
    </cfRule>
    <cfRule type="containsText" dxfId="6792" priority="7513" operator="containsText" text="FIRE">
      <formula>NOT(ISERROR(SEARCH("FIRE",AI49)))</formula>
    </cfRule>
    <cfRule type="containsText" dxfId="6791" priority="7514" operator="containsText" text="COSH">
      <formula>NOT(ISERROR(SEARCH("COSH",AI49)))</formula>
    </cfRule>
  </conditionalFormatting>
  <conditionalFormatting sqref="AI49">
    <cfRule type="containsText" dxfId="6790" priority="7509" operator="containsText" text="FAT">
      <formula>NOT(ISERROR(SEARCH("FAT",AI49)))</formula>
    </cfRule>
    <cfRule type="containsText" dxfId="6789" priority="7510" operator="containsText" text="FIRE">
      <formula>NOT(ISERROR(SEARCH("FIRE",AI49)))</formula>
    </cfRule>
    <cfRule type="containsText" dxfId="6788" priority="7511" operator="containsText" text="COSH">
      <formula>NOT(ISERROR(SEARCH("COSH",AI49)))</formula>
    </cfRule>
  </conditionalFormatting>
  <conditionalFormatting sqref="AI49">
    <cfRule type="containsText" dxfId="6787" priority="7506" operator="containsText" text="FAT">
      <formula>NOT(ISERROR(SEARCH("FAT",AI49)))</formula>
    </cfRule>
    <cfRule type="containsText" dxfId="6786" priority="7507" operator="containsText" text="FIRE">
      <formula>NOT(ISERROR(SEARCH("FIRE",AI49)))</formula>
    </cfRule>
    <cfRule type="containsText" dxfId="6785" priority="7508" operator="containsText" text="COSH">
      <formula>NOT(ISERROR(SEARCH("COSH",AI49)))</formula>
    </cfRule>
  </conditionalFormatting>
  <conditionalFormatting sqref="AI49">
    <cfRule type="containsText" dxfId="6784" priority="7503" operator="containsText" text="FAT">
      <formula>NOT(ISERROR(SEARCH("FAT",AI49)))</formula>
    </cfRule>
    <cfRule type="containsText" dxfId="6783" priority="7504" operator="containsText" text="FIRE">
      <formula>NOT(ISERROR(SEARCH("FIRE",AI49)))</formula>
    </cfRule>
    <cfRule type="containsText" dxfId="6782" priority="7505" operator="containsText" text="COSH">
      <formula>NOT(ISERROR(SEARCH("COSH",AI49)))</formula>
    </cfRule>
  </conditionalFormatting>
  <conditionalFormatting sqref="AI49">
    <cfRule type="containsText" dxfId="6781" priority="7500" operator="containsText" text="FAT">
      <formula>NOT(ISERROR(SEARCH("FAT",AI49)))</formula>
    </cfRule>
    <cfRule type="containsText" dxfId="6780" priority="7501" operator="containsText" text="FIRE">
      <formula>NOT(ISERROR(SEARCH("FIRE",AI49)))</formula>
    </cfRule>
    <cfRule type="containsText" dxfId="6779" priority="7502" operator="containsText" text="COSH">
      <formula>NOT(ISERROR(SEARCH("COSH",AI49)))</formula>
    </cfRule>
  </conditionalFormatting>
  <conditionalFormatting sqref="AI49">
    <cfRule type="containsText" dxfId="6778" priority="7497" operator="containsText" text="FAT">
      <formula>NOT(ISERROR(SEARCH("FAT",AI49)))</formula>
    </cfRule>
    <cfRule type="containsText" dxfId="6777" priority="7498" operator="containsText" text="FIRE">
      <formula>NOT(ISERROR(SEARCH("FIRE",AI49)))</formula>
    </cfRule>
    <cfRule type="containsText" dxfId="6776" priority="7499" operator="containsText" text="COSH">
      <formula>NOT(ISERROR(SEARCH("COSH",AI49)))</formula>
    </cfRule>
  </conditionalFormatting>
  <conditionalFormatting sqref="AI49">
    <cfRule type="containsText" dxfId="6775" priority="7494" operator="containsText" text="FAT">
      <formula>NOT(ISERROR(SEARCH("FAT",AI49)))</formula>
    </cfRule>
    <cfRule type="containsText" dxfId="6774" priority="7495" operator="containsText" text="FIRE">
      <formula>NOT(ISERROR(SEARCH("FIRE",AI49)))</formula>
    </cfRule>
    <cfRule type="containsText" dxfId="6773" priority="7496" operator="containsText" text="COSH">
      <formula>NOT(ISERROR(SEARCH("COSH",AI49)))</formula>
    </cfRule>
  </conditionalFormatting>
  <conditionalFormatting sqref="AI49">
    <cfRule type="containsText" dxfId="6772" priority="7491" operator="containsText" text="FAT">
      <formula>NOT(ISERROR(SEARCH("FAT",AI49)))</formula>
    </cfRule>
    <cfRule type="containsText" dxfId="6771" priority="7492" operator="containsText" text="FIRE">
      <formula>NOT(ISERROR(SEARCH("FIRE",AI49)))</formula>
    </cfRule>
    <cfRule type="containsText" dxfId="6770" priority="7493" operator="containsText" text="COSH">
      <formula>NOT(ISERROR(SEARCH("COSH",AI49)))</formula>
    </cfRule>
  </conditionalFormatting>
  <conditionalFormatting sqref="AI49">
    <cfRule type="containsText" dxfId="6769" priority="7488" operator="containsText" text="FAT">
      <formula>NOT(ISERROR(SEARCH("FAT",AI49)))</formula>
    </cfRule>
    <cfRule type="containsText" dxfId="6768" priority="7489" operator="containsText" text="FIRE">
      <formula>NOT(ISERROR(SEARCH("FIRE",AI49)))</formula>
    </cfRule>
    <cfRule type="containsText" dxfId="6767" priority="7490" operator="containsText" text="COSH">
      <formula>NOT(ISERROR(SEARCH("COSH",AI49)))</formula>
    </cfRule>
  </conditionalFormatting>
  <conditionalFormatting sqref="AI49">
    <cfRule type="containsText" dxfId="6766" priority="7485" operator="containsText" text="FAT">
      <formula>NOT(ISERROR(SEARCH("FAT",AI49)))</formula>
    </cfRule>
    <cfRule type="containsText" dxfId="6765" priority="7486" operator="containsText" text="FIRE">
      <formula>NOT(ISERROR(SEARCH("FIRE",AI49)))</formula>
    </cfRule>
    <cfRule type="containsText" dxfId="6764" priority="7487" operator="containsText" text="COSH">
      <formula>NOT(ISERROR(SEARCH("COSH",AI49)))</formula>
    </cfRule>
  </conditionalFormatting>
  <conditionalFormatting sqref="AI49">
    <cfRule type="containsText" dxfId="6763" priority="7482" operator="containsText" text="FAT">
      <formula>NOT(ISERROR(SEARCH("FAT",AI49)))</formula>
    </cfRule>
    <cfRule type="containsText" dxfId="6762" priority="7483" operator="containsText" text="FIRE">
      <formula>NOT(ISERROR(SEARCH("FIRE",AI49)))</formula>
    </cfRule>
    <cfRule type="containsText" dxfId="6761" priority="7484" operator="containsText" text="COSH">
      <formula>NOT(ISERROR(SEARCH("COSH",AI49)))</formula>
    </cfRule>
  </conditionalFormatting>
  <conditionalFormatting sqref="AI49">
    <cfRule type="containsText" dxfId="6760" priority="7479" operator="containsText" text="FAT">
      <formula>NOT(ISERROR(SEARCH("FAT",AI49)))</formula>
    </cfRule>
    <cfRule type="containsText" dxfId="6759" priority="7480" operator="containsText" text="FIRE">
      <formula>NOT(ISERROR(SEARCH("FIRE",AI49)))</formula>
    </cfRule>
    <cfRule type="containsText" dxfId="6758" priority="7481" operator="containsText" text="COSH">
      <formula>NOT(ISERROR(SEARCH("COSH",AI49)))</formula>
    </cfRule>
  </conditionalFormatting>
  <conditionalFormatting sqref="AI49">
    <cfRule type="containsText" dxfId="6757" priority="7476" operator="containsText" text="FAT">
      <formula>NOT(ISERROR(SEARCH("FAT",AI49)))</formula>
    </cfRule>
    <cfRule type="containsText" dxfId="6756" priority="7477" operator="containsText" text="FIRE">
      <formula>NOT(ISERROR(SEARCH("FIRE",AI49)))</formula>
    </cfRule>
    <cfRule type="containsText" dxfId="6755" priority="7478" operator="containsText" text="COSH">
      <formula>NOT(ISERROR(SEARCH("COSH",AI49)))</formula>
    </cfRule>
  </conditionalFormatting>
  <conditionalFormatting sqref="AI49">
    <cfRule type="containsText" dxfId="6754" priority="7473" operator="containsText" text="FAT">
      <formula>NOT(ISERROR(SEARCH("FAT",AI49)))</formula>
    </cfRule>
    <cfRule type="containsText" dxfId="6753" priority="7474" operator="containsText" text="FIRE">
      <formula>NOT(ISERROR(SEARCH("FIRE",AI49)))</formula>
    </cfRule>
    <cfRule type="containsText" dxfId="6752" priority="7475" operator="containsText" text="COSH">
      <formula>NOT(ISERROR(SEARCH("COSH",AI49)))</formula>
    </cfRule>
  </conditionalFormatting>
  <conditionalFormatting sqref="AI49">
    <cfRule type="containsText" dxfId="6751" priority="7470" operator="containsText" text="FAT">
      <formula>NOT(ISERROR(SEARCH("FAT",AI49)))</formula>
    </cfRule>
    <cfRule type="containsText" dxfId="6750" priority="7471" operator="containsText" text="FIRE">
      <formula>NOT(ISERROR(SEARCH("FIRE",AI49)))</formula>
    </cfRule>
    <cfRule type="containsText" dxfId="6749" priority="7472" operator="containsText" text="COSH">
      <formula>NOT(ISERROR(SEARCH("COSH",AI49)))</formula>
    </cfRule>
  </conditionalFormatting>
  <conditionalFormatting sqref="AI49">
    <cfRule type="containsText" dxfId="6748" priority="7467" operator="containsText" text="FAT">
      <formula>NOT(ISERROR(SEARCH("FAT",AI49)))</formula>
    </cfRule>
    <cfRule type="containsText" dxfId="6747" priority="7468" operator="containsText" text="FIRE">
      <formula>NOT(ISERROR(SEARCH("FIRE",AI49)))</formula>
    </cfRule>
    <cfRule type="containsText" dxfId="6746" priority="7469" operator="containsText" text="COSH">
      <formula>NOT(ISERROR(SEARCH("COSH",AI49)))</formula>
    </cfRule>
  </conditionalFormatting>
  <conditionalFormatting sqref="E30">
    <cfRule type="duplicateValues" dxfId="6745" priority="7459"/>
  </conditionalFormatting>
  <conditionalFormatting sqref="E30">
    <cfRule type="duplicateValues" dxfId="6744" priority="7458"/>
  </conditionalFormatting>
  <conditionalFormatting sqref="E30">
    <cfRule type="duplicateValues" dxfId="6743" priority="7457"/>
  </conditionalFormatting>
  <conditionalFormatting sqref="E30">
    <cfRule type="duplicateValues" dxfId="6742" priority="7460"/>
  </conditionalFormatting>
  <conditionalFormatting sqref="E30">
    <cfRule type="duplicateValues" dxfId="6741" priority="7461"/>
  </conditionalFormatting>
  <conditionalFormatting sqref="E30">
    <cfRule type="duplicateValues" dxfId="6740" priority="7462"/>
  </conditionalFormatting>
  <conditionalFormatting sqref="E30">
    <cfRule type="duplicateValues" dxfId="6739" priority="7463"/>
  </conditionalFormatting>
  <conditionalFormatting sqref="E30">
    <cfRule type="duplicateValues" dxfId="6738" priority="7464"/>
  </conditionalFormatting>
  <conditionalFormatting sqref="E30">
    <cfRule type="duplicateValues" dxfId="6737" priority="7465"/>
  </conditionalFormatting>
  <conditionalFormatting sqref="E30">
    <cfRule type="duplicateValues" dxfId="6736" priority="7466"/>
  </conditionalFormatting>
  <conditionalFormatting sqref="E56">
    <cfRule type="duplicateValues" dxfId="6735" priority="7454"/>
  </conditionalFormatting>
  <conditionalFormatting sqref="E56">
    <cfRule type="duplicateValues" dxfId="6734" priority="7455"/>
  </conditionalFormatting>
  <conditionalFormatting sqref="E56">
    <cfRule type="duplicateValues" dxfId="6733" priority="7456"/>
  </conditionalFormatting>
  <conditionalFormatting sqref="U73:U75">
    <cfRule type="containsText" dxfId="6732" priority="7451" operator="containsText" text="FAT">
      <formula>NOT(ISERROR(SEARCH("FAT",U73)))</formula>
    </cfRule>
    <cfRule type="containsText" dxfId="6731" priority="7452" operator="containsText" text="FIRE">
      <formula>NOT(ISERROR(SEARCH("FIRE",U73)))</formula>
    </cfRule>
    <cfRule type="containsText" dxfId="6730" priority="7453" operator="containsText" text="COSH">
      <formula>NOT(ISERROR(SEARCH("COSH",U73)))</formula>
    </cfRule>
  </conditionalFormatting>
  <conditionalFormatting sqref="U73:U75">
    <cfRule type="containsText" dxfId="6729" priority="7448" operator="containsText" text="FAT">
      <formula>NOT(ISERROR(SEARCH("FAT",U73)))</formula>
    </cfRule>
    <cfRule type="containsText" dxfId="6728" priority="7449" operator="containsText" text="FIRE">
      <formula>NOT(ISERROR(SEARCH("FIRE",U73)))</formula>
    </cfRule>
    <cfRule type="containsText" dxfId="6727" priority="7450" operator="containsText" text="COSH">
      <formula>NOT(ISERROR(SEARCH("COSH",U73)))</formula>
    </cfRule>
  </conditionalFormatting>
  <conditionalFormatting sqref="U85">
    <cfRule type="containsText" dxfId="6726" priority="7445" operator="containsText" text="FAT">
      <formula>NOT(ISERROR(SEARCH("FAT",U85)))</formula>
    </cfRule>
    <cfRule type="containsText" dxfId="6725" priority="7446" operator="containsText" text="FIRE">
      <formula>NOT(ISERROR(SEARCH("FIRE",U85)))</formula>
    </cfRule>
    <cfRule type="containsText" dxfId="6724" priority="7447" operator="containsText" text="COSH">
      <formula>NOT(ISERROR(SEARCH("COSH",U85)))</formula>
    </cfRule>
  </conditionalFormatting>
  <conditionalFormatting sqref="U85">
    <cfRule type="containsText" dxfId="6723" priority="7442" operator="containsText" text="FAT">
      <formula>NOT(ISERROR(SEARCH("FAT",U85)))</formula>
    </cfRule>
    <cfRule type="containsText" dxfId="6722" priority="7443" operator="containsText" text="FIRE">
      <formula>NOT(ISERROR(SEARCH("FIRE",U85)))</formula>
    </cfRule>
    <cfRule type="containsText" dxfId="6721" priority="7444" operator="containsText" text="COSH">
      <formula>NOT(ISERROR(SEARCH("COSH",U85)))</formula>
    </cfRule>
  </conditionalFormatting>
  <conditionalFormatting sqref="AK18">
    <cfRule type="cellIs" dxfId="6720" priority="7441" operator="between">
      <formula>1</formula>
      <formula>3</formula>
    </cfRule>
  </conditionalFormatting>
  <conditionalFormatting sqref="AK18">
    <cfRule type="containsText" dxfId="6719" priority="7438" operator="containsText" text="FAT">
      <formula>NOT(ISERROR(SEARCH("FAT",AK18)))</formula>
    </cfRule>
    <cfRule type="containsText" dxfId="6718" priority="7439" operator="containsText" text="FIRE">
      <formula>NOT(ISERROR(SEARCH("FIRE",AK18)))</formula>
    </cfRule>
    <cfRule type="containsText" dxfId="6717" priority="7440" operator="containsText" text="COSH">
      <formula>NOT(ISERROR(SEARCH("COSH",AK18)))</formula>
    </cfRule>
  </conditionalFormatting>
  <conditionalFormatting sqref="AR5">
    <cfRule type="containsText" dxfId="6716" priority="7435" operator="containsText" text="FAT">
      <formula>NOT(ISERROR(SEARCH("FAT",#REF!)))</formula>
    </cfRule>
    <cfRule type="containsText" dxfId="6715" priority="7436" operator="containsText" text="FIRE">
      <formula>NOT(ISERROR(SEARCH("FIRE",#REF!)))</formula>
    </cfRule>
    <cfRule type="containsText" dxfId="6714" priority="7437" operator="containsText" text="COSH">
      <formula>NOT(ISERROR(SEARCH("COSH",#REF!)))</formula>
    </cfRule>
  </conditionalFormatting>
  <conditionalFormatting sqref="AR6">
    <cfRule type="duplicateValues" dxfId="6713" priority="7426"/>
  </conditionalFormatting>
  <conditionalFormatting sqref="AR6">
    <cfRule type="duplicateValues" dxfId="6712" priority="7425"/>
  </conditionalFormatting>
  <conditionalFormatting sqref="AR6">
    <cfRule type="duplicateValues" dxfId="6711" priority="7427"/>
  </conditionalFormatting>
  <conditionalFormatting sqref="AR6">
    <cfRule type="duplicateValues" dxfId="6710" priority="7428"/>
  </conditionalFormatting>
  <conditionalFormatting sqref="AR6">
    <cfRule type="duplicateValues" dxfId="6709" priority="7429"/>
  </conditionalFormatting>
  <conditionalFormatting sqref="AR6">
    <cfRule type="duplicateValues" dxfId="6708" priority="7430"/>
  </conditionalFormatting>
  <conditionalFormatting sqref="AR6">
    <cfRule type="duplicateValues" dxfId="6707" priority="7431"/>
  </conditionalFormatting>
  <conditionalFormatting sqref="AR6">
    <cfRule type="duplicateValues" dxfId="6706" priority="7432"/>
  </conditionalFormatting>
  <conditionalFormatting sqref="AR6">
    <cfRule type="duplicateValues" dxfId="6705" priority="7433"/>
  </conditionalFormatting>
  <conditionalFormatting sqref="AR6">
    <cfRule type="duplicateValues" dxfId="6704" priority="7434"/>
  </conditionalFormatting>
  <conditionalFormatting sqref="AR7">
    <cfRule type="duplicateValues" dxfId="6703" priority="7422"/>
  </conditionalFormatting>
  <conditionalFormatting sqref="AR7">
    <cfRule type="duplicateValues" dxfId="6702" priority="7423"/>
  </conditionalFormatting>
  <conditionalFormatting sqref="AR7">
    <cfRule type="duplicateValues" dxfId="6701" priority="7424"/>
  </conditionalFormatting>
  <conditionalFormatting sqref="AR8">
    <cfRule type="duplicateValues" dxfId="6700" priority="7421"/>
  </conditionalFormatting>
  <conditionalFormatting sqref="AI39:AI40">
    <cfRule type="containsText" dxfId="6699" priority="7418" operator="containsText" text="FAT">
      <formula>NOT(ISERROR(SEARCH("FAT",AI39)))</formula>
    </cfRule>
    <cfRule type="containsText" dxfId="6698" priority="7419" operator="containsText" text="FIRE">
      <formula>NOT(ISERROR(SEARCH("FIRE",AI39)))</formula>
    </cfRule>
    <cfRule type="containsText" dxfId="6697" priority="7420" operator="containsText" text="COSH">
      <formula>NOT(ISERROR(SEARCH("COSH",AI39)))</formula>
    </cfRule>
  </conditionalFormatting>
  <conditionalFormatting sqref="AI45:AI46">
    <cfRule type="containsText" dxfId="6696" priority="7415" operator="containsText" text="FAT">
      <formula>NOT(ISERROR(SEARCH("FAT",AI45)))</formula>
    </cfRule>
    <cfRule type="containsText" dxfId="6695" priority="7416" operator="containsText" text="FIRE">
      <formula>NOT(ISERROR(SEARCH("FIRE",AI45)))</formula>
    </cfRule>
    <cfRule type="containsText" dxfId="6694" priority="7417" operator="containsText" text="COSH">
      <formula>NOT(ISERROR(SEARCH("COSH",AI45)))</formula>
    </cfRule>
  </conditionalFormatting>
  <conditionalFormatting sqref="AI47:AI49">
    <cfRule type="containsText" dxfId="6693" priority="7412" operator="containsText" text="FAT">
      <formula>NOT(ISERROR(SEARCH("FAT",AI47)))</formula>
    </cfRule>
    <cfRule type="containsText" dxfId="6692" priority="7413" operator="containsText" text="FIRE">
      <formula>NOT(ISERROR(SEARCH("FIRE",AI47)))</formula>
    </cfRule>
    <cfRule type="containsText" dxfId="6691" priority="7414" operator="containsText" text="COSH">
      <formula>NOT(ISERROR(SEARCH("COSH",AI47)))</formula>
    </cfRule>
  </conditionalFormatting>
  <conditionalFormatting sqref="AI57">
    <cfRule type="containsText" dxfId="6690" priority="7409" operator="containsText" text="FAT">
      <formula>NOT(ISERROR(SEARCH("FAT",AI57)))</formula>
    </cfRule>
    <cfRule type="containsText" dxfId="6689" priority="7410" operator="containsText" text="FIRE">
      <formula>NOT(ISERROR(SEARCH("FIRE",AI57)))</formula>
    </cfRule>
    <cfRule type="containsText" dxfId="6688" priority="7411" operator="containsText" text="COSH">
      <formula>NOT(ISERROR(SEARCH("COSH",AI57)))</formula>
    </cfRule>
  </conditionalFormatting>
  <conditionalFormatting sqref="AI56">
    <cfRule type="containsText" dxfId="6687" priority="7406" operator="containsText" text="FAT">
      <formula>NOT(ISERROR(SEARCH("FAT",AI56)))</formula>
    </cfRule>
    <cfRule type="containsText" dxfId="6686" priority="7407" operator="containsText" text="FIRE">
      <formula>NOT(ISERROR(SEARCH("FIRE",AI56)))</formula>
    </cfRule>
    <cfRule type="containsText" dxfId="6685" priority="7408" operator="containsText" text="COSH">
      <formula>NOT(ISERROR(SEARCH("COSH",AI56)))</formula>
    </cfRule>
  </conditionalFormatting>
  <conditionalFormatting sqref="G35:AJ35">
    <cfRule type="containsText" dxfId="6684" priority="7403" operator="containsText" text="FAT">
      <formula>NOT(ISERROR(SEARCH("FAT",G35)))</formula>
    </cfRule>
    <cfRule type="containsText" dxfId="6683" priority="7404" operator="containsText" text="FIRE">
      <formula>NOT(ISERROR(SEARCH("FIRE",G35)))</formula>
    </cfRule>
    <cfRule type="containsText" dxfId="6682" priority="7405" operator="containsText" text="COSH">
      <formula>NOT(ISERROR(SEARCH("COSH",G35)))</formula>
    </cfRule>
  </conditionalFormatting>
  <conditionalFormatting sqref="G35:AJ35">
    <cfRule type="containsText" dxfId="6681" priority="7400" operator="containsText" text="FAT">
      <formula>NOT(ISERROR(SEARCH("FAT",G35)))</formula>
    </cfRule>
    <cfRule type="containsText" dxfId="6680" priority="7401" operator="containsText" text="FIRE">
      <formula>NOT(ISERROR(SEARCH("FIRE",G35)))</formula>
    </cfRule>
    <cfRule type="containsText" dxfId="6679" priority="7402" operator="containsText" text="COSH">
      <formula>NOT(ISERROR(SEARCH("COSH",G35)))</formula>
    </cfRule>
  </conditionalFormatting>
  <conditionalFormatting sqref="G36:AK36">
    <cfRule type="containsText" dxfId="6678" priority="7397" operator="containsText" text="FAT">
      <formula>NOT(ISERROR(SEARCH("FAT",G36)))</formula>
    </cfRule>
    <cfRule type="containsText" dxfId="6677" priority="7398" operator="containsText" text="FIRE">
      <formula>NOT(ISERROR(SEARCH("FIRE",G36)))</formula>
    </cfRule>
    <cfRule type="containsText" dxfId="6676" priority="7399" operator="containsText" text="COSH">
      <formula>NOT(ISERROR(SEARCH("COSH",G36)))</formula>
    </cfRule>
  </conditionalFormatting>
  <conditionalFormatting sqref="E24:E25">
    <cfRule type="duplicateValues" dxfId="6675" priority="7391"/>
  </conditionalFormatting>
  <conditionalFormatting sqref="E24:E25">
    <cfRule type="duplicateValues" dxfId="6674" priority="7392"/>
  </conditionalFormatting>
  <conditionalFormatting sqref="E24:E25">
    <cfRule type="duplicateValues" dxfId="6673" priority="7393"/>
  </conditionalFormatting>
  <conditionalFormatting sqref="AO24:AQ26">
    <cfRule type="containsText" dxfId="6672" priority="7388" operator="containsText" text="FAT">
      <formula>NOT(ISERROR(SEARCH("FAT",AO24)))</formula>
    </cfRule>
    <cfRule type="containsText" dxfId="6671" priority="7389" operator="containsText" text="FIRE">
      <formula>NOT(ISERROR(SEARCH("FIRE",AO24)))</formula>
    </cfRule>
    <cfRule type="containsText" dxfId="6670" priority="7390" operator="containsText" text="COSH">
      <formula>NOT(ISERROR(SEARCH("COSH",AO24)))</formula>
    </cfRule>
  </conditionalFormatting>
  <conditionalFormatting sqref="F24:F26">
    <cfRule type="containsText" dxfId="6669" priority="7394" operator="containsText" text="FAT">
      <formula>NOT(ISERROR(SEARCH("FAT",#REF!)))</formula>
    </cfRule>
    <cfRule type="containsText" dxfId="6668" priority="7395" operator="containsText" text="FIRE">
      <formula>NOT(ISERROR(SEARCH("FIRE",#REF!)))</formula>
    </cfRule>
    <cfRule type="containsText" dxfId="6667" priority="7396" operator="containsText" text="COSH">
      <formula>NOT(ISERROR(SEARCH("COSH",#REF!)))</formula>
    </cfRule>
  </conditionalFormatting>
  <conditionalFormatting sqref="E24">
    <cfRule type="duplicateValues" dxfId="6666" priority="7385"/>
  </conditionalFormatting>
  <conditionalFormatting sqref="E24">
    <cfRule type="duplicateValues" dxfId="6665" priority="7386"/>
  </conditionalFormatting>
  <conditionalFormatting sqref="E24">
    <cfRule type="duplicateValues" dxfId="6664" priority="7387"/>
  </conditionalFormatting>
  <conditionalFormatting sqref="AK24:AK26">
    <cfRule type="cellIs" dxfId="6663" priority="7384" operator="between">
      <formula>1</formula>
      <formula>3</formula>
    </cfRule>
  </conditionalFormatting>
  <conditionalFormatting sqref="AK24:AK26">
    <cfRule type="containsText" dxfId="6662" priority="7381" operator="containsText" text="FAT">
      <formula>NOT(ISERROR(SEARCH("FAT",AK24)))</formula>
    </cfRule>
    <cfRule type="containsText" dxfId="6661" priority="7382" operator="containsText" text="FIRE">
      <formula>NOT(ISERROR(SEARCH("FIRE",AK24)))</formula>
    </cfRule>
    <cfRule type="containsText" dxfId="6660" priority="7383" operator="containsText" text="COSH">
      <formula>NOT(ISERROR(SEARCH("COSH",AK24)))</formula>
    </cfRule>
  </conditionalFormatting>
  <conditionalFormatting sqref="E26">
    <cfRule type="duplicateValues" dxfId="6659" priority="7378"/>
  </conditionalFormatting>
  <conditionalFormatting sqref="E26">
    <cfRule type="duplicateValues" dxfId="6658" priority="7379"/>
  </conditionalFormatting>
  <conditionalFormatting sqref="E26">
    <cfRule type="duplicateValues" dxfId="6657" priority="7380"/>
  </conditionalFormatting>
  <conditionalFormatting sqref="E23">
    <cfRule type="duplicateValues" dxfId="6656" priority="7375"/>
  </conditionalFormatting>
  <conditionalFormatting sqref="E23">
    <cfRule type="duplicateValues" dxfId="6655" priority="7376"/>
  </conditionalFormatting>
  <conditionalFormatting sqref="E23">
    <cfRule type="duplicateValues" dxfId="6654" priority="7377"/>
  </conditionalFormatting>
  <conditionalFormatting sqref="AA41:AK41">
    <cfRule type="containsText" dxfId="6653" priority="7372" operator="containsText" text="FAT">
      <formula>NOT(ISERROR(SEARCH("FAT",AA41)))</formula>
    </cfRule>
    <cfRule type="containsText" dxfId="6652" priority="7373" operator="containsText" text="FIRE">
      <formula>NOT(ISERROR(SEARCH("FIRE",AA41)))</formula>
    </cfRule>
    <cfRule type="containsText" dxfId="6651" priority="7374" operator="containsText" text="COSH">
      <formula>NOT(ISERROR(SEARCH("COSH",AA41)))</formula>
    </cfRule>
  </conditionalFormatting>
  <conditionalFormatting sqref="AA41:AK41">
    <cfRule type="containsText" dxfId="6650" priority="7369" operator="containsText" text="FAT">
      <formula>NOT(ISERROR(SEARCH("FAT",AA41)))</formula>
    </cfRule>
    <cfRule type="containsText" dxfId="6649" priority="7370" operator="containsText" text="FIRE">
      <formula>NOT(ISERROR(SEARCH("FIRE",AA41)))</formula>
    </cfRule>
    <cfRule type="containsText" dxfId="6648" priority="7371" operator="containsText" text="COSH">
      <formula>NOT(ISERROR(SEARCH("COSH",AA41)))</formula>
    </cfRule>
  </conditionalFormatting>
  <conditionalFormatting sqref="AK98">
    <cfRule type="containsText" dxfId="6647" priority="7366" operator="containsText" text="FAT">
      <formula>NOT(ISERROR(SEARCH("FAT",AK98)))</formula>
    </cfRule>
    <cfRule type="containsText" dxfId="6646" priority="7367" operator="containsText" text="FIRE">
      <formula>NOT(ISERROR(SEARCH("FIRE",AK98)))</formula>
    </cfRule>
    <cfRule type="containsText" dxfId="6645" priority="7368" operator="containsText" text="COSH">
      <formula>NOT(ISERROR(SEARCH("COSH",AK98)))</formula>
    </cfRule>
  </conditionalFormatting>
  <conditionalFormatting sqref="E71">
    <cfRule type="duplicateValues" dxfId="6644" priority="7365"/>
  </conditionalFormatting>
  <conditionalFormatting sqref="E99">
    <cfRule type="duplicateValues" dxfId="6643" priority="7357"/>
  </conditionalFormatting>
  <conditionalFormatting sqref="E99">
    <cfRule type="duplicateValues" dxfId="6642" priority="7356"/>
  </conditionalFormatting>
  <conditionalFormatting sqref="E99">
    <cfRule type="duplicateValues" dxfId="6641" priority="7355"/>
  </conditionalFormatting>
  <conditionalFormatting sqref="E99">
    <cfRule type="duplicateValues" dxfId="6640" priority="7358"/>
  </conditionalFormatting>
  <conditionalFormatting sqref="E99">
    <cfRule type="duplicateValues" dxfId="6639" priority="7359"/>
  </conditionalFormatting>
  <conditionalFormatting sqref="E99">
    <cfRule type="duplicateValues" dxfId="6638" priority="7360"/>
  </conditionalFormatting>
  <conditionalFormatting sqref="E99">
    <cfRule type="duplicateValues" dxfId="6637" priority="7361"/>
  </conditionalFormatting>
  <conditionalFormatting sqref="E99">
    <cfRule type="duplicateValues" dxfId="6636" priority="7362"/>
  </conditionalFormatting>
  <conditionalFormatting sqref="E99">
    <cfRule type="duplicateValues" dxfId="6635" priority="7363"/>
  </conditionalFormatting>
  <conditionalFormatting sqref="E99">
    <cfRule type="duplicateValues" dxfId="6634" priority="7364"/>
  </conditionalFormatting>
  <conditionalFormatting sqref="E105">
    <cfRule type="duplicateValues" dxfId="6633" priority="7353"/>
  </conditionalFormatting>
  <conditionalFormatting sqref="E105">
    <cfRule type="duplicateValues" dxfId="6632" priority="7354"/>
  </conditionalFormatting>
  <conditionalFormatting sqref="E105">
    <cfRule type="duplicateValues" dxfId="6631" priority="7352"/>
  </conditionalFormatting>
  <conditionalFormatting sqref="E106">
    <cfRule type="duplicateValues" dxfId="6630" priority="7349"/>
  </conditionalFormatting>
  <conditionalFormatting sqref="E106">
    <cfRule type="duplicateValues" dxfId="6629" priority="7350"/>
  </conditionalFormatting>
  <conditionalFormatting sqref="E106">
    <cfRule type="duplicateValues" dxfId="6628" priority="7351"/>
  </conditionalFormatting>
  <conditionalFormatting sqref="E103:E104">
    <cfRule type="duplicateValues" dxfId="6627" priority="7347"/>
  </conditionalFormatting>
  <conditionalFormatting sqref="E103:E104">
    <cfRule type="duplicateValues" dxfId="6626" priority="7348"/>
  </conditionalFormatting>
  <conditionalFormatting sqref="E108">
    <cfRule type="containsText" dxfId="6625" priority="7343" operator="containsText" text="FAT">
      <formula>NOT(ISERROR(SEARCH("FAT",#REF!)))</formula>
    </cfRule>
    <cfRule type="containsText" dxfId="6624" priority="7344" operator="containsText" text="FIRE">
      <formula>NOT(ISERROR(SEARCH("FIRE",#REF!)))</formula>
    </cfRule>
    <cfRule type="containsText" dxfId="6623" priority="7345" operator="containsText" text="COSH">
      <formula>NOT(ISERROR(SEARCH("COSH",#REF!)))</formula>
    </cfRule>
  </conditionalFormatting>
  <conditionalFormatting sqref="E109:E110">
    <cfRule type="duplicateValues" dxfId="6622" priority="7346"/>
  </conditionalFormatting>
  <conditionalFormatting sqref="E111">
    <cfRule type="duplicateValues" dxfId="6621" priority="7341"/>
  </conditionalFormatting>
  <conditionalFormatting sqref="E111">
    <cfRule type="duplicateValues" dxfId="6620" priority="7342"/>
  </conditionalFormatting>
  <conditionalFormatting sqref="E112">
    <cfRule type="duplicateValues" dxfId="6619" priority="7338"/>
  </conditionalFormatting>
  <conditionalFormatting sqref="E112">
    <cfRule type="duplicateValues" dxfId="6618" priority="7339"/>
  </conditionalFormatting>
  <conditionalFormatting sqref="E112">
    <cfRule type="duplicateValues" dxfId="6617" priority="7340"/>
  </conditionalFormatting>
  <conditionalFormatting sqref="E115:E116">
    <cfRule type="duplicateValues" dxfId="6616" priority="7336"/>
  </conditionalFormatting>
  <conditionalFormatting sqref="E113:E114">
    <cfRule type="duplicateValues" dxfId="6615" priority="7335"/>
  </conditionalFormatting>
  <conditionalFormatting sqref="E113:E116">
    <cfRule type="duplicateValues" dxfId="6614" priority="7337"/>
  </conditionalFormatting>
  <conditionalFormatting sqref="AC17 AB16:AC16 AB19:AC21 AB24:AC25 AI16:AJ17 AI29:AJ29 AI27:AJ27 AI24:AJ25 N16:P21 AI19:AJ21 O11:P11 AI18 AB31:AC33 AI31:AJ33 N32:Q33 R32:T32 X32:AA32 N24:P31 AB27:AC29 Q26:S26 U26:AC26 U11:Z24 Q25:AA25 U27:W33 X27:Z31 M31:M32 M28 M24 G11:L33 M21">
    <cfRule type="containsText" dxfId="6613" priority="7332" operator="containsText" text="FAT">
      <formula>NOT(ISERROR(SEARCH("FAT",G11)))</formula>
    </cfRule>
    <cfRule type="containsText" dxfId="6612" priority="7333" operator="containsText" text="FIRE">
      <formula>NOT(ISERROR(SEARCH("FIRE",G11)))</formula>
    </cfRule>
    <cfRule type="containsText" dxfId="6611" priority="7334" operator="containsText" text="COSH">
      <formula>NOT(ISERROR(SEARCH("COSH",G11)))</formula>
    </cfRule>
  </conditionalFormatting>
  <conditionalFormatting sqref="AC18 U18:W18">
    <cfRule type="containsText" dxfId="6610" priority="7329" operator="containsText" text="FAT">
      <formula>NOT(ISERROR(SEARCH("FAT",U18)))</formula>
    </cfRule>
    <cfRule type="containsText" dxfId="6609" priority="7330" operator="containsText" text="FIRE">
      <formula>NOT(ISERROR(SEARCH("FIRE",U18)))</formula>
    </cfRule>
    <cfRule type="containsText" dxfId="6608" priority="7331" operator="containsText" text="COSH">
      <formula>NOT(ISERROR(SEARCH("COSH",U18)))</formula>
    </cfRule>
  </conditionalFormatting>
  <conditionalFormatting sqref="AB17">
    <cfRule type="containsText" dxfId="6607" priority="7326" operator="containsText" text="FAT">
      <formula>NOT(ISERROR(SEARCH("FAT",AB17)))</formula>
    </cfRule>
    <cfRule type="containsText" dxfId="6606" priority="7327" operator="containsText" text="FIRE">
      <formula>NOT(ISERROR(SEARCH("FIRE",AB17)))</formula>
    </cfRule>
    <cfRule type="containsText" dxfId="6605" priority="7328" operator="containsText" text="COSH">
      <formula>NOT(ISERROR(SEARCH("COSH",AB17)))</formula>
    </cfRule>
  </conditionalFormatting>
  <conditionalFormatting sqref="AB18">
    <cfRule type="containsText" dxfId="6604" priority="7323" operator="containsText" text="FAT">
      <formula>NOT(ISERROR(SEARCH("FAT",AB18)))</formula>
    </cfRule>
    <cfRule type="containsText" dxfId="6603" priority="7324" operator="containsText" text="FIRE">
      <formula>NOT(ISERROR(SEARCH("FIRE",AB18)))</formula>
    </cfRule>
    <cfRule type="containsText" dxfId="6602" priority="7325" operator="containsText" text="COSH">
      <formula>NOT(ISERROR(SEARCH("COSH",AB18)))</formula>
    </cfRule>
  </conditionalFormatting>
  <conditionalFormatting sqref="N23:P23 U23:W23 AB23:AC23 AI23:AJ23">
    <cfRule type="containsText" dxfId="6601" priority="7320" operator="containsText" text="FAT">
      <formula>NOT(ISERROR(SEARCH("FAT",N23)))</formula>
    </cfRule>
    <cfRule type="containsText" dxfId="6600" priority="7321" operator="containsText" text="FIRE">
      <formula>NOT(ISERROR(SEARCH("FIRE",N23)))</formula>
    </cfRule>
    <cfRule type="containsText" dxfId="6599" priority="7322" operator="containsText" text="COSH">
      <formula>NOT(ISERROR(SEARCH("COSH",N23)))</formula>
    </cfRule>
  </conditionalFormatting>
  <conditionalFormatting sqref="N30:P30 AB30:AC30 AI30:AJ30">
    <cfRule type="containsText" dxfId="6598" priority="7317" operator="containsText" text="FAT">
      <formula>NOT(ISERROR(SEARCH("FAT",N30)))</formula>
    </cfRule>
    <cfRule type="containsText" dxfId="6597" priority="7318" operator="containsText" text="FIRE">
      <formula>NOT(ISERROR(SEARCH("FIRE",N30)))</formula>
    </cfRule>
    <cfRule type="containsText" dxfId="6596" priority="7319" operator="containsText" text="COSH">
      <formula>NOT(ISERROR(SEARCH("COSH",N30)))</formula>
    </cfRule>
  </conditionalFormatting>
  <conditionalFormatting sqref="AI18:AJ18">
    <cfRule type="containsText" dxfId="6595" priority="7308" operator="containsText" text="FAT">
      <formula>NOT(ISERROR(SEARCH("FAT",AI18)))</formula>
    </cfRule>
    <cfRule type="containsText" dxfId="6594" priority="7309" operator="containsText" text="FIRE">
      <formula>NOT(ISERROR(SEARCH("FIRE",AI18)))</formula>
    </cfRule>
    <cfRule type="containsText" dxfId="6593" priority="7310" operator="containsText" text="COSH">
      <formula>NOT(ISERROR(SEARCH("COSH",AI18)))</formula>
    </cfRule>
  </conditionalFormatting>
  <conditionalFormatting sqref="N20:O20">
    <cfRule type="containsText" dxfId="6592" priority="7302" operator="containsText" text="FAT">
      <formula>NOT(ISERROR(SEARCH("FAT",N20)))</formula>
    </cfRule>
    <cfRule type="containsText" dxfId="6591" priority="7303" operator="containsText" text="FIRE">
      <formula>NOT(ISERROR(SEARCH("FIRE",N20)))</formula>
    </cfRule>
    <cfRule type="containsText" dxfId="6590" priority="7304" operator="containsText" text="COSH">
      <formula>NOT(ISERROR(SEARCH("COSH",N20)))</formula>
    </cfRule>
  </conditionalFormatting>
  <conditionalFormatting sqref="AI26:AJ26">
    <cfRule type="containsText" dxfId="6589" priority="7296" operator="containsText" text="FAT">
      <formula>NOT(ISERROR(SEARCH("FAT",AI26)))</formula>
    </cfRule>
    <cfRule type="containsText" dxfId="6588" priority="7297" operator="containsText" text="FIRE">
      <formula>NOT(ISERROR(SEARCH("FIRE",AI26)))</formula>
    </cfRule>
    <cfRule type="containsText" dxfId="6587" priority="7298" operator="containsText" text="COSH">
      <formula>NOT(ISERROR(SEARCH("COSH",AI26)))</formula>
    </cfRule>
  </conditionalFormatting>
  <conditionalFormatting sqref="AI28:AJ28">
    <cfRule type="containsText" dxfId="6586" priority="7293" operator="containsText" text="FAT">
      <formula>NOT(ISERROR(SEARCH("FAT",AI28)))</formula>
    </cfRule>
    <cfRule type="containsText" dxfId="6585" priority="7294" operator="containsText" text="FIRE">
      <formula>NOT(ISERROR(SEARCH("FIRE",AI28)))</formula>
    </cfRule>
    <cfRule type="containsText" dxfId="6584" priority="7295" operator="containsText" text="COSH">
      <formula>NOT(ISERROR(SEARCH("COSH",AI28)))</formula>
    </cfRule>
  </conditionalFormatting>
  <conditionalFormatting sqref="U16:V16 V17">
    <cfRule type="containsText" dxfId="6583" priority="7314" operator="containsText" text="FAT">
      <formula>NOT(ISERROR(SEARCH("FAT",U16)))</formula>
    </cfRule>
    <cfRule type="containsText" dxfId="6582" priority="7315" operator="containsText" text="FIRE">
      <formula>NOT(ISERROR(SEARCH("FIRE",U16)))</formula>
    </cfRule>
    <cfRule type="containsText" dxfId="6581" priority="7316" operator="containsText" text="COSH">
      <formula>NOT(ISERROR(SEARCH("COSH",U16)))</formula>
    </cfRule>
  </conditionalFormatting>
  <conditionalFormatting sqref="N17:O17">
    <cfRule type="containsText" dxfId="6580" priority="7311" operator="containsText" text="FAT">
      <formula>NOT(ISERROR(SEARCH("FAT",N17)))</formula>
    </cfRule>
    <cfRule type="containsText" dxfId="6579" priority="7312" operator="containsText" text="FIRE">
      <formula>NOT(ISERROR(SEARCH("FIRE",N17)))</formula>
    </cfRule>
    <cfRule type="containsText" dxfId="6578" priority="7313" operator="containsText" text="COSH">
      <formula>NOT(ISERROR(SEARCH("COSH",N17)))</formula>
    </cfRule>
  </conditionalFormatting>
  <conditionalFormatting sqref="U19:V19">
    <cfRule type="containsText" dxfId="6577" priority="7305" operator="containsText" text="FAT">
      <formula>NOT(ISERROR(SEARCH("FAT",U19)))</formula>
    </cfRule>
    <cfRule type="containsText" dxfId="6576" priority="7306" operator="containsText" text="FIRE">
      <formula>NOT(ISERROR(SEARCH("FIRE",U19)))</formula>
    </cfRule>
    <cfRule type="containsText" dxfId="6575" priority="7307" operator="containsText" text="COSH">
      <formula>NOT(ISERROR(SEARCH("COSH",U19)))</formula>
    </cfRule>
  </conditionalFormatting>
  <conditionalFormatting sqref="N24:O24">
    <cfRule type="containsText" dxfId="6574" priority="7299" operator="containsText" text="FAT">
      <formula>NOT(ISERROR(SEARCH("FAT",N24)))</formula>
    </cfRule>
    <cfRule type="containsText" dxfId="6573" priority="7300" operator="containsText" text="FIRE">
      <formula>NOT(ISERROR(SEARCH("FIRE",N24)))</formula>
    </cfRule>
    <cfRule type="containsText" dxfId="6572" priority="7301" operator="containsText" text="COSH">
      <formula>NOT(ISERROR(SEARCH("COSH",N24)))</formula>
    </cfRule>
  </conditionalFormatting>
  <conditionalFormatting sqref="N31:P31">
    <cfRule type="containsText" dxfId="6571" priority="7290" operator="containsText" text="FAT">
      <formula>NOT(ISERROR(SEARCH("FAT",N31)))</formula>
    </cfRule>
    <cfRule type="containsText" dxfId="6570" priority="7291" operator="containsText" text="FIRE">
      <formula>NOT(ISERROR(SEARCH("FIRE",N31)))</formula>
    </cfRule>
    <cfRule type="containsText" dxfId="6569" priority="7292" operator="containsText" text="COSH">
      <formula>NOT(ISERROR(SEARCH("COSH",N31)))</formula>
    </cfRule>
  </conditionalFormatting>
  <conditionalFormatting sqref="U13:W13 AB13:AC13 AI13:AJ13 V14:V17 N13:P26 Q26:S26 U26:AB26 Q25:AA25">
    <cfRule type="containsText" dxfId="6568" priority="7287" operator="containsText" text="FAT">
      <formula>NOT(ISERROR(SEARCH("FAT",N13)))</formula>
    </cfRule>
    <cfRule type="containsText" dxfId="6567" priority="7288" operator="containsText" text="FIRE">
      <formula>NOT(ISERROR(SEARCH("FIRE",N13)))</formula>
    </cfRule>
    <cfRule type="containsText" dxfId="6566" priority="7289" operator="containsText" text="COSH">
      <formula>NOT(ISERROR(SEARCH("COSH",N13)))</formula>
    </cfRule>
  </conditionalFormatting>
  <conditionalFormatting sqref="Z19:Z21 Z24 Z16:Z17">
    <cfRule type="containsText" dxfId="6565" priority="7284" operator="containsText" text="FAT">
      <formula>NOT(ISERROR(SEARCH("FAT",Z16)))</formula>
    </cfRule>
    <cfRule type="containsText" dxfId="6564" priority="7285" operator="containsText" text="FIRE">
      <formula>NOT(ISERROR(SEARCH("FIRE",Z16)))</formula>
    </cfRule>
    <cfRule type="containsText" dxfId="6563" priority="7286" operator="containsText" text="COSH">
      <formula>NOT(ISERROR(SEARCH("COSH",Z16)))</formula>
    </cfRule>
  </conditionalFormatting>
  <conditionalFormatting sqref="Z23">
    <cfRule type="containsText" dxfId="6562" priority="7281" operator="containsText" text="FAT">
      <formula>NOT(ISERROR(SEARCH("FAT",Z23)))</formula>
    </cfRule>
    <cfRule type="containsText" dxfId="6561" priority="7282" operator="containsText" text="FIRE">
      <formula>NOT(ISERROR(SEARCH("FIRE",Z23)))</formula>
    </cfRule>
    <cfRule type="containsText" dxfId="6560" priority="7283" operator="containsText" text="COSH">
      <formula>NOT(ISERROR(SEARCH("COSH",Z23)))</formula>
    </cfRule>
  </conditionalFormatting>
  <conditionalFormatting sqref="Z18">
    <cfRule type="containsText" dxfId="6559" priority="7278" operator="containsText" text="FAT">
      <formula>NOT(ISERROR(SEARCH("FAT",Z18)))</formula>
    </cfRule>
    <cfRule type="containsText" dxfId="6558" priority="7279" operator="containsText" text="FIRE">
      <formula>NOT(ISERROR(SEARCH("FIRE",Z18)))</formula>
    </cfRule>
    <cfRule type="containsText" dxfId="6557" priority="7280" operator="containsText" text="COSH">
      <formula>NOT(ISERROR(SEARCH("COSH",Z18)))</formula>
    </cfRule>
  </conditionalFormatting>
  <conditionalFormatting sqref="Z13">
    <cfRule type="containsText" dxfId="6556" priority="7275" operator="containsText" text="FAT">
      <formula>NOT(ISERROR(SEARCH("FAT",Z13)))</formula>
    </cfRule>
    <cfRule type="containsText" dxfId="6555" priority="7276" operator="containsText" text="FIRE">
      <formula>NOT(ISERROR(SEARCH("FIRE",Z13)))</formula>
    </cfRule>
    <cfRule type="containsText" dxfId="6554" priority="7277" operator="containsText" text="COSH">
      <formula>NOT(ISERROR(SEARCH("COSH",Z13)))</formula>
    </cfRule>
  </conditionalFormatting>
  <conditionalFormatting sqref="AG24:AG25 AG19:AG21 AG27 AG29 AG16:AG17 AG31:AG33">
    <cfRule type="containsText" dxfId="6553" priority="7272" operator="containsText" text="FAT">
      <formula>NOT(ISERROR(SEARCH("FAT",AG16)))</formula>
    </cfRule>
    <cfRule type="containsText" dxfId="6552" priority="7273" operator="containsText" text="FIRE">
      <formula>NOT(ISERROR(SEARCH("FIRE",AG16)))</formula>
    </cfRule>
    <cfRule type="containsText" dxfId="6551" priority="7274" operator="containsText" text="COSH">
      <formula>NOT(ISERROR(SEARCH("COSH",AG16)))</formula>
    </cfRule>
  </conditionalFormatting>
  <conditionalFormatting sqref="AG30 AG23">
    <cfRule type="containsText" dxfId="6550" priority="7269" operator="containsText" text="FAT">
      <formula>NOT(ISERROR(SEARCH("FAT",AG23)))</formula>
    </cfRule>
    <cfRule type="containsText" dxfId="6549" priority="7270" operator="containsText" text="FIRE">
      <formula>NOT(ISERROR(SEARCH("FIRE",AG23)))</formula>
    </cfRule>
    <cfRule type="containsText" dxfId="6548" priority="7271" operator="containsText" text="COSH">
      <formula>NOT(ISERROR(SEARCH("COSH",AG23)))</formula>
    </cfRule>
  </conditionalFormatting>
  <conditionalFormatting sqref="AG18">
    <cfRule type="containsText" dxfId="6547" priority="7266" operator="containsText" text="FAT">
      <formula>NOT(ISERROR(SEARCH("FAT",AG18)))</formula>
    </cfRule>
    <cfRule type="containsText" dxfId="6546" priority="7267" operator="containsText" text="FIRE">
      <formula>NOT(ISERROR(SEARCH("FIRE",AG18)))</formula>
    </cfRule>
    <cfRule type="containsText" dxfId="6545" priority="7268" operator="containsText" text="COSH">
      <formula>NOT(ISERROR(SEARCH("COSH",AG18)))</formula>
    </cfRule>
  </conditionalFormatting>
  <conditionalFormatting sqref="AG26">
    <cfRule type="containsText" dxfId="6544" priority="7263" operator="containsText" text="FAT">
      <formula>NOT(ISERROR(SEARCH("FAT",AG26)))</formula>
    </cfRule>
    <cfRule type="containsText" dxfId="6543" priority="7264" operator="containsText" text="FIRE">
      <formula>NOT(ISERROR(SEARCH("FIRE",AG26)))</formula>
    </cfRule>
    <cfRule type="containsText" dxfId="6542" priority="7265" operator="containsText" text="COSH">
      <formula>NOT(ISERROR(SEARCH("COSH",AG26)))</formula>
    </cfRule>
  </conditionalFormatting>
  <conditionalFormatting sqref="AG28">
    <cfRule type="containsText" dxfId="6541" priority="7260" operator="containsText" text="FAT">
      <formula>NOT(ISERROR(SEARCH("FAT",AG28)))</formula>
    </cfRule>
    <cfRule type="containsText" dxfId="6540" priority="7261" operator="containsText" text="FIRE">
      <formula>NOT(ISERROR(SEARCH("FIRE",AG28)))</formula>
    </cfRule>
    <cfRule type="containsText" dxfId="6539" priority="7262" operator="containsText" text="COSH">
      <formula>NOT(ISERROR(SEARCH("COSH",AG28)))</formula>
    </cfRule>
  </conditionalFormatting>
  <conditionalFormatting sqref="AG13">
    <cfRule type="containsText" dxfId="6538" priority="7257" operator="containsText" text="FAT">
      <formula>NOT(ISERROR(SEARCH("FAT",AG13)))</formula>
    </cfRule>
    <cfRule type="containsText" dxfId="6537" priority="7258" operator="containsText" text="FIRE">
      <formula>NOT(ISERROR(SEARCH("FIRE",AG13)))</formula>
    </cfRule>
    <cfRule type="containsText" dxfId="6536" priority="7259" operator="containsText" text="COSH">
      <formula>NOT(ISERROR(SEARCH("COSH",AG13)))</formula>
    </cfRule>
  </conditionalFormatting>
  <conditionalFormatting sqref="N14:P15 U14:W15 AB14:AC15 AI14:AJ15 V16:V17 N26:S26 U26:AB26">
    <cfRule type="containsText" dxfId="6535" priority="7254" operator="containsText" text="FAT">
      <formula>NOT(ISERROR(SEARCH("FAT",N14)))</formula>
    </cfRule>
    <cfRule type="containsText" dxfId="6534" priority="7255" operator="containsText" text="FIRE">
      <formula>NOT(ISERROR(SEARCH("FIRE",N14)))</formula>
    </cfRule>
    <cfRule type="containsText" dxfId="6533" priority="7256" operator="containsText" text="COSH">
      <formula>NOT(ISERROR(SEARCH("COSH",N14)))</formula>
    </cfRule>
  </conditionalFormatting>
  <conditionalFormatting sqref="AD26:AE26 AD27">
    <cfRule type="containsText" dxfId="6532" priority="7218" operator="containsText" text="FAT">
      <formula>NOT(ISERROR(SEARCH("FAT",AD26)))</formula>
    </cfRule>
    <cfRule type="containsText" dxfId="6531" priority="7219" operator="containsText" text="FIRE">
      <formula>NOT(ISERROR(SEARCH("FIRE",AD26)))</formula>
    </cfRule>
    <cfRule type="containsText" dxfId="6530" priority="7220" operator="containsText" text="COSH">
      <formula>NOT(ISERROR(SEARCH("COSH",AD26)))</formula>
    </cfRule>
  </conditionalFormatting>
  <conditionalFormatting sqref="Z14:Z15">
    <cfRule type="containsText" dxfId="6529" priority="7251" operator="containsText" text="FAT">
      <formula>NOT(ISERROR(SEARCH("FAT",Z14)))</formula>
    </cfRule>
    <cfRule type="containsText" dxfId="6528" priority="7252" operator="containsText" text="FIRE">
      <formula>NOT(ISERROR(SEARCH("FIRE",Z14)))</formula>
    </cfRule>
    <cfRule type="containsText" dxfId="6527" priority="7253" operator="containsText" text="COSH">
      <formula>NOT(ISERROR(SEARCH("COSH",Z14)))</formula>
    </cfRule>
  </conditionalFormatting>
  <conditionalFormatting sqref="AG14:AG15">
    <cfRule type="containsText" dxfId="6526" priority="7248" operator="containsText" text="FAT">
      <formula>NOT(ISERROR(SEARCH("FAT",AG14)))</formula>
    </cfRule>
    <cfRule type="containsText" dxfId="6525" priority="7249" operator="containsText" text="FIRE">
      <formula>NOT(ISERROR(SEARCH("FIRE",AG14)))</formula>
    </cfRule>
    <cfRule type="containsText" dxfId="6524" priority="7250" operator="containsText" text="COSH">
      <formula>NOT(ISERROR(SEARCH("COSH",AG14)))</formula>
    </cfRule>
  </conditionalFormatting>
  <conditionalFormatting sqref="Q32:Q33">
    <cfRule type="containsText" dxfId="6523" priority="7245" operator="containsText" text="FAT">
      <formula>NOT(ISERROR(SEARCH("FAT",Q32)))</formula>
    </cfRule>
    <cfRule type="containsText" dxfId="6522" priority="7246" operator="containsText" text="FIRE">
      <formula>NOT(ISERROR(SEARCH("FIRE",Q32)))</formula>
    </cfRule>
    <cfRule type="containsText" dxfId="6521" priority="7247" operator="containsText" text="COSH">
      <formula>NOT(ISERROR(SEARCH("COSH",Q32)))</formula>
    </cfRule>
  </conditionalFormatting>
  <conditionalFormatting sqref="X19:X21 X24">
    <cfRule type="containsText" dxfId="6520" priority="7242" operator="containsText" text="FAT">
      <formula>NOT(ISERROR(SEARCH("FAT",X19)))</formula>
    </cfRule>
    <cfRule type="containsText" dxfId="6519" priority="7243" operator="containsText" text="FIRE">
      <formula>NOT(ISERROR(SEARCH("FIRE",X19)))</formula>
    </cfRule>
    <cfRule type="containsText" dxfId="6518" priority="7244" operator="containsText" text="COSH">
      <formula>NOT(ISERROR(SEARCH("COSH",X19)))</formula>
    </cfRule>
  </conditionalFormatting>
  <conditionalFormatting sqref="X23">
    <cfRule type="containsText" dxfId="6517" priority="7239" operator="containsText" text="FAT">
      <formula>NOT(ISERROR(SEARCH("FAT",X23)))</formula>
    </cfRule>
    <cfRule type="containsText" dxfId="6516" priority="7240" operator="containsText" text="FIRE">
      <formula>NOT(ISERROR(SEARCH("FIRE",X23)))</formula>
    </cfRule>
    <cfRule type="containsText" dxfId="6515" priority="7241" operator="containsText" text="COSH">
      <formula>NOT(ISERROR(SEARCH("COSH",X23)))</formula>
    </cfRule>
  </conditionalFormatting>
  <conditionalFormatting sqref="X18">
    <cfRule type="containsText" dxfId="6514" priority="7236" operator="containsText" text="FAT">
      <formula>NOT(ISERROR(SEARCH("FAT",X18)))</formula>
    </cfRule>
    <cfRule type="containsText" dxfId="6513" priority="7237" operator="containsText" text="FIRE">
      <formula>NOT(ISERROR(SEARCH("FIRE",X18)))</formula>
    </cfRule>
    <cfRule type="containsText" dxfId="6512" priority="7238" operator="containsText" text="COSH">
      <formula>NOT(ISERROR(SEARCH("COSH",X18)))</formula>
    </cfRule>
  </conditionalFormatting>
  <conditionalFormatting sqref="X27:X31">
    <cfRule type="containsText" dxfId="6511" priority="7233" operator="containsText" text="FAT">
      <formula>NOT(ISERROR(SEARCH("FAT",X27)))</formula>
    </cfRule>
    <cfRule type="containsText" dxfId="6510" priority="7234" operator="containsText" text="FIRE">
      <formula>NOT(ISERROR(SEARCH("FIRE",X27)))</formula>
    </cfRule>
    <cfRule type="containsText" dxfId="6509" priority="7235" operator="containsText" text="COSH">
      <formula>NOT(ISERROR(SEARCH("COSH",X27)))</formula>
    </cfRule>
  </conditionalFormatting>
  <conditionalFormatting sqref="X13:X17">
    <cfRule type="containsText" dxfId="6508" priority="7230" operator="containsText" text="FAT">
      <formula>NOT(ISERROR(SEARCH("FAT",X13)))</formula>
    </cfRule>
    <cfRule type="containsText" dxfId="6507" priority="7231" operator="containsText" text="FIRE">
      <formula>NOT(ISERROR(SEARCH("FIRE",X13)))</formula>
    </cfRule>
    <cfRule type="containsText" dxfId="6506" priority="7232" operator="containsText" text="COSH">
      <formula>NOT(ISERROR(SEARCH("COSH",X13)))</formula>
    </cfRule>
  </conditionalFormatting>
  <conditionalFormatting sqref="AD24:AE25 AD27:AE27 AD29:AE29 AD16:AE17 AD19:AE22 AD31:AE33">
    <cfRule type="containsText" dxfId="6505" priority="7227" operator="containsText" text="FAT">
      <formula>NOT(ISERROR(SEARCH("FAT",AD16)))</formula>
    </cfRule>
    <cfRule type="containsText" dxfId="6504" priority="7228" operator="containsText" text="FIRE">
      <formula>NOT(ISERROR(SEARCH("FIRE",AD16)))</formula>
    </cfRule>
    <cfRule type="containsText" dxfId="6503" priority="7229" operator="containsText" text="COSH">
      <formula>NOT(ISERROR(SEARCH("COSH",AD16)))</formula>
    </cfRule>
  </conditionalFormatting>
  <conditionalFormatting sqref="AD30:AE30 AD23:AE23">
    <cfRule type="containsText" dxfId="6502" priority="7224" operator="containsText" text="FAT">
      <formula>NOT(ISERROR(SEARCH("FAT",AD23)))</formula>
    </cfRule>
    <cfRule type="containsText" dxfId="6501" priority="7225" operator="containsText" text="FIRE">
      <formula>NOT(ISERROR(SEARCH("FIRE",AD23)))</formula>
    </cfRule>
    <cfRule type="containsText" dxfId="6500" priority="7226" operator="containsText" text="COSH">
      <formula>NOT(ISERROR(SEARCH("COSH",AD23)))</formula>
    </cfRule>
  </conditionalFormatting>
  <conditionalFormatting sqref="AD18:AE18">
    <cfRule type="containsText" dxfId="6499" priority="7221" operator="containsText" text="FAT">
      <formula>NOT(ISERROR(SEARCH("FAT",AD18)))</formula>
    </cfRule>
    <cfRule type="containsText" dxfId="6498" priority="7222" operator="containsText" text="FIRE">
      <formula>NOT(ISERROR(SEARCH("FIRE",AD18)))</formula>
    </cfRule>
    <cfRule type="containsText" dxfId="6497" priority="7223" operator="containsText" text="COSH">
      <formula>NOT(ISERROR(SEARCH("COSH",AD18)))</formula>
    </cfRule>
  </conditionalFormatting>
  <conditionalFormatting sqref="AD28:AE28">
    <cfRule type="containsText" dxfId="6496" priority="7215" operator="containsText" text="FAT">
      <formula>NOT(ISERROR(SEARCH("FAT",AD28)))</formula>
    </cfRule>
    <cfRule type="containsText" dxfId="6495" priority="7216" operator="containsText" text="FIRE">
      <formula>NOT(ISERROR(SEARCH("FIRE",AD28)))</formula>
    </cfRule>
    <cfRule type="containsText" dxfId="6494" priority="7217" operator="containsText" text="COSH">
      <formula>NOT(ISERROR(SEARCH("COSH",AD28)))</formula>
    </cfRule>
  </conditionalFormatting>
  <conditionalFormatting sqref="AD13:AE13">
    <cfRule type="containsText" dxfId="6493" priority="7212" operator="containsText" text="FAT">
      <formula>NOT(ISERROR(SEARCH("FAT",AD13)))</formula>
    </cfRule>
    <cfRule type="containsText" dxfId="6492" priority="7213" operator="containsText" text="FIRE">
      <formula>NOT(ISERROR(SEARCH("FIRE",AD13)))</formula>
    </cfRule>
    <cfRule type="containsText" dxfId="6491" priority="7214" operator="containsText" text="COSH">
      <formula>NOT(ISERROR(SEARCH("COSH",AD13)))</formula>
    </cfRule>
  </conditionalFormatting>
  <conditionalFormatting sqref="AD14:AE15">
    <cfRule type="containsText" dxfId="6490" priority="7209" operator="containsText" text="FAT">
      <formula>NOT(ISERROR(SEARCH("FAT",AD14)))</formula>
    </cfRule>
    <cfRule type="containsText" dxfId="6489" priority="7210" operator="containsText" text="FIRE">
      <formula>NOT(ISERROR(SEARCH("FIRE",AD14)))</formula>
    </cfRule>
    <cfRule type="containsText" dxfId="6488" priority="7211" operator="containsText" text="COSH">
      <formula>NOT(ISERROR(SEARCH("COSH",AD14)))</formula>
    </cfRule>
  </conditionalFormatting>
  <conditionalFormatting sqref="AB11:AC12 AI11:AJ12 O11:P11 U11:Z24 M31:M32 M28 M24 G11:L33 M21">
    <cfRule type="containsText" dxfId="6487" priority="7206" operator="containsText" text="FAT">
      <formula>NOT(ISERROR(SEARCH("FAT",G11)))</formula>
    </cfRule>
    <cfRule type="containsText" dxfId="6486" priority="7207" operator="containsText" text="FIRE">
      <formula>NOT(ISERROR(SEARCH("FIRE",G11)))</formula>
    </cfRule>
    <cfRule type="containsText" dxfId="6485" priority="7208" operator="containsText" text="COSH">
      <formula>NOT(ISERROR(SEARCH("COSH",G11)))</formula>
    </cfRule>
  </conditionalFormatting>
  <conditionalFormatting sqref="L11:L33 M31:M32 M28 M24 M21">
    <cfRule type="containsText" dxfId="6484" priority="7203" operator="containsText" text="FAT">
      <formula>NOT(ISERROR(SEARCH("FAT",L11)))</formula>
    </cfRule>
    <cfRule type="containsText" dxfId="6483" priority="7204" operator="containsText" text="FIRE">
      <formula>NOT(ISERROR(SEARCH("FIRE",L11)))</formula>
    </cfRule>
    <cfRule type="containsText" dxfId="6482" priority="7205" operator="containsText" text="COSH">
      <formula>NOT(ISERROR(SEARCH("COSH",L11)))</formula>
    </cfRule>
  </conditionalFormatting>
  <conditionalFormatting sqref="S11">
    <cfRule type="containsText" dxfId="6481" priority="7200" operator="containsText" text="FAT">
      <formula>NOT(ISERROR(SEARCH("FAT",S11)))</formula>
    </cfRule>
    <cfRule type="containsText" dxfId="6480" priority="7201" operator="containsText" text="FIRE">
      <formula>NOT(ISERROR(SEARCH("FIRE",S11)))</formula>
    </cfRule>
    <cfRule type="containsText" dxfId="6479" priority="7202" operator="containsText" text="COSH">
      <formula>NOT(ISERROR(SEARCH("COSH",S11)))</formula>
    </cfRule>
  </conditionalFormatting>
  <conditionalFormatting sqref="Z11:Z24">
    <cfRule type="containsText" dxfId="6478" priority="7197" operator="containsText" text="FAT">
      <formula>NOT(ISERROR(SEARCH("FAT",Z11)))</formula>
    </cfRule>
    <cfRule type="containsText" dxfId="6477" priority="7198" operator="containsText" text="FIRE">
      <formula>NOT(ISERROR(SEARCH("FIRE",Z11)))</formula>
    </cfRule>
    <cfRule type="containsText" dxfId="6476" priority="7199" operator="containsText" text="COSH">
      <formula>NOT(ISERROR(SEARCH("COSH",Z11)))</formula>
    </cfRule>
  </conditionalFormatting>
  <conditionalFormatting sqref="AG11:AG12">
    <cfRule type="containsText" dxfId="6475" priority="7194" operator="containsText" text="FAT">
      <formula>NOT(ISERROR(SEARCH("FAT",AG11)))</formula>
    </cfRule>
    <cfRule type="containsText" dxfId="6474" priority="7195" operator="containsText" text="FIRE">
      <formula>NOT(ISERROR(SEARCH("FIRE",AG11)))</formula>
    </cfRule>
    <cfRule type="containsText" dxfId="6473" priority="7196" operator="containsText" text="COSH">
      <formula>NOT(ISERROR(SEARCH("COSH",AG11)))</formula>
    </cfRule>
  </conditionalFormatting>
  <conditionalFormatting sqref="J11:J33">
    <cfRule type="containsText" dxfId="6472" priority="7191" operator="containsText" text="FAT">
      <formula>NOT(ISERROR(SEARCH("FAT",J11)))</formula>
    </cfRule>
    <cfRule type="containsText" dxfId="6471" priority="7192" operator="containsText" text="FIRE">
      <formula>NOT(ISERROR(SEARCH("FIRE",J11)))</formula>
    </cfRule>
    <cfRule type="containsText" dxfId="6470" priority="7193" operator="containsText" text="COSH">
      <formula>NOT(ISERROR(SEARCH("COSH",J11)))</formula>
    </cfRule>
  </conditionalFormatting>
  <conditionalFormatting sqref="Q11">
    <cfRule type="containsText" dxfId="6469" priority="7188" operator="containsText" text="FAT">
      <formula>NOT(ISERROR(SEARCH("FAT",Q11)))</formula>
    </cfRule>
    <cfRule type="containsText" dxfId="6468" priority="7189" operator="containsText" text="FIRE">
      <formula>NOT(ISERROR(SEARCH("FIRE",Q11)))</formula>
    </cfRule>
    <cfRule type="containsText" dxfId="6467" priority="7190" operator="containsText" text="COSH">
      <formula>NOT(ISERROR(SEARCH("COSH",Q11)))</formula>
    </cfRule>
  </conditionalFormatting>
  <conditionalFormatting sqref="AD11:AE12">
    <cfRule type="containsText" dxfId="6466" priority="7185" operator="containsText" text="FAT">
      <formula>NOT(ISERROR(SEARCH("FAT",AD11)))</formula>
    </cfRule>
    <cfRule type="containsText" dxfId="6465" priority="7186" operator="containsText" text="FIRE">
      <formula>NOT(ISERROR(SEARCH("FIRE",AD11)))</formula>
    </cfRule>
    <cfRule type="containsText" dxfId="6464" priority="7187" operator="containsText" text="COSH">
      <formula>NOT(ISERROR(SEARCH("COSH",AD11)))</formula>
    </cfRule>
  </conditionalFormatting>
  <conditionalFormatting sqref="N22:P22 U22:W22 AB22:AC22 AI22:AJ22">
    <cfRule type="containsText" dxfId="6463" priority="7182" operator="containsText" text="FAT">
      <formula>NOT(ISERROR(SEARCH("FAT",N22)))</formula>
    </cfRule>
    <cfRule type="containsText" dxfId="6462" priority="7183" operator="containsText" text="FIRE">
      <formula>NOT(ISERROR(SEARCH("FIRE",N22)))</formula>
    </cfRule>
    <cfRule type="containsText" dxfId="6461" priority="7184" operator="containsText" text="COSH">
      <formula>NOT(ISERROR(SEARCH("COSH",N22)))</formula>
    </cfRule>
  </conditionalFormatting>
  <conditionalFormatting sqref="Z22">
    <cfRule type="containsText" dxfId="6460" priority="7179" operator="containsText" text="FAT">
      <formula>NOT(ISERROR(SEARCH("FAT",Z22)))</formula>
    </cfRule>
    <cfRule type="containsText" dxfId="6459" priority="7180" operator="containsText" text="FIRE">
      <formula>NOT(ISERROR(SEARCH("FIRE",Z22)))</formula>
    </cfRule>
    <cfRule type="containsText" dxfId="6458" priority="7181" operator="containsText" text="COSH">
      <formula>NOT(ISERROR(SEARCH("COSH",Z22)))</formula>
    </cfRule>
  </conditionalFormatting>
  <conditionalFormatting sqref="AG22">
    <cfRule type="containsText" dxfId="6457" priority="7176" operator="containsText" text="FAT">
      <formula>NOT(ISERROR(SEARCH("FAT",AG22)))</formula>
    </cfRule>
    <cfRule type="containsText" dxfId="6456" priority="7177" operator="containsText" text="FIRE">
      <formula>NOT(ISERROR(SEARCH("FIRE",AG22)))</formula>
    </cfRule>
    <cfRule type="containsText" dxfId="6455" priority="7178" operator="containsText" text="COSH">
      <formula>NOT(ISERROR(SEARCH("COSH",AG22)))</formula>
    </cfRule>
  </conditionalFormatting>
  <conditionalFormatting sqref="X22">
    <cfRule type="containsText" dxfId="6454" priority="7173" operator="containsText" text="FAT">
      <formula>NOT(ISERROR(SEARCH("FAT",X22)))</formula>
    </cfRule>
    <cfRule type="containsText" dxfId="6453" priority="7174" operator="containsText" text="FIRE">
      <formula>NOT(ISERROR(SEARCH("FIRE",X22)))</formula>
    </cfRule>
    <cfRule type="containsText" dxfId="6452" priority="7175" operator="containsText" text="COSH">
      <formula>NOT(ISERROR(SEARCH("COSH",X22)))</formula>
    </cfRule>
  </conditionalFormatting>
  <conditionalFormatting sqref="AD22:AE22">
    <cfRule type="containsText" dxfId="6451" priority="7170" operator="containsText" text="FAT">
      <formula>NOT(ISERROR(SEARCH("FAT",AD22)))</formula>
    </cfRule>
    <cfRule type="containsText" dxfId="6450" priority="7171" operator="containsText" text="FIRE">
      <formula>NOT(ISERROR(SEARCH("FIRE",AD22)))</formula>
    </cfRule>
    <cfRule type="containsText" dxfId="6449" priority="7172" operator="containsText" text="COSH">
      <formula>NOT(ISERROR(SEARCH("COSH",AD22)))</formula>
    </cfRule>
  </conditionalFormatting>
  <conditionalFormatting sqref="M11:M33">
    <cfRule type="containsText" dxfId="6448" priority="7167" operator="containsText" text="FAT">
      <formula>NOT(ISERROR(SEARCH("FAT",M11)))</formula>
    </cfRule>
    <cfRule type="containsText" dxfId="6447" priority="7168" operator="containsText" text="FIRE">
      <formula>NOT(ISERROR(SEARCH("FIRE",M11)))</formula>
    </cfRule>
    <cfRule type="containsText" dxfId="6446" priority="7169" operator="containsText" text="COSH">
      <formula>NOT(ISERROR(SEARCH("COSH",M11)))</formula>
    </cfRule>
  </conditionalFormatting>
  <conditionalFormatting sqref="T11:T24 T26:T31">
    <cfRule type="containsText" dxfId="6445" priority="7164" operator="containsText" text="FAT">
      <formula>NOT(ISERROR(SEARCH("FAT",T11)))</formula>
    </cfRule>
    <cfRule type="containsText" dxfId="6444" priority="7165" operator="containsText" text="FIRE">
      <formula>NOT(ISERROR(SEARCH("FIRE",T11)))</formula>
    </cfRule>
    <cfRule type="containsText" dxfId="6443" priority="7166" operator="containsText" text="COSH">
      <formula>NOT(ISERROR(SEARCH("COSH",T11)))</formula>
    </cfRule>
  </conditionalFormatting>
  <conditionalFormatting sqref="AA13">
    <cfRule type="containsText" dxfId="6442" priority="7149" operator="containsText" text="FAT">
      <formula>NOT(ISERROR(SEARCH("FAT",AA13)))</formula>
    </cfRule>
    <cfRule type="containsText" dxfId="6441" priority="7150" operator="containsText" text="FIRE">
      <formula>NOT(ISERROR(SEARCH("FIRE",AA13)))</formula>
    </cfRule>
    <cfRule type="containsText" dxfId="6440" priority="7151" operator="containsText" text="COSH">
      <formula>NOT(ISERROR(SEARCH("COSH",AA13)))</formula>
    </cfRule>
  </conditionalFormatting>
  <conditionalFormatting sqref="AA19:AA21 AA24 AA16:AA17 AA27:AA33">
    <cfRule type="containsText" dxfId="6439" priority="7161" operator="containsText" text="FAT">
      <formula>NOT(ISERROR(SEARCH("FAT",AA16)))</formula>
    </cfRule>
    <cfRule type="containsText" dxfId="6438" priority="7162" operator="containsText" text="FIRE">
      <formula>NOT(ISERROR(SEARCH("FIRE",AA16)))</formula>
    </cfRule>
    <cfRule type="containsText" dxfId="6437" priority="7163" operator="containsText" text="COSH">
      <formula>NOT(ISERROR(SEARCH("COSH",AA16)))</formula>
    </cfRule>
  </conditionalFormatting>
  <conditionalFormatting sqref="AA30 AA23">
    <cfRule type="containsText" dxfId="6436" priority="7158" operator="containsText" text="FAT">
      <formula>NOT(ISERROR(SEARCH("FAT",AA23)))</formula>
    </cfRule>
    <cfRule type="containsText" dxfId="6435" priority="7159" operator="containsText" text="FIRE">
      <formula>NOT(ISERROR(SEARCH("FIRE",AA23)))</formula>
    </cfRule>
    <cfRule type="containsText" dxfId="6434" priority="7160" operator="containsText" text="COSH">
      <formula>NOT(ISERROR(SEARCH("COSH",AA23)))</formula>
    </cfRule>
  </conditionalFormatting>
  <conditionalFormatting sqref="AA18">
    <cfRule type="containsText" dxfId="6433" priority="7155" operator="containsText" text="FAT">
      <formula>NOT(ISERROR(SEARCH("FAT",AA18)))</formula>
    </cfRule>
    <cfRule type="containsText" dxfId="6432" priority="7156" operator="containsText" text="FIRE">
      <formula>NOT(ISERROR(SEARCH("FIRE",AA18)))</formula>
    </cfRule>
    <cfRule type="containsText" dxfId="6431" priority="7157" operator="containsText" text="COSH">
      <formula>NOT(ISERROR(SEARCH("COSH",AA18)))</formula>
    </cfRule>
  </conditionalFormatting>
  <conditionalFormatting sqref="AA28">
    <cfRule type="containsText" dxfId="6430" priority="7152" operator="containsText" text="FAT">
      <formula>NOT(ISERROR(SEARCH("FAT",AA28)))</formula>
    </cfRule>
    <cfRule type="containsText" dxfId="6429" priority="7153" operator="containsText" text="FIRE">
      <formula>NOT(ISERROR(SEARCH("FIRE",AA28)))</formula>
    </cfRule>
    <cfRule type="containsText" dxfId="6428" priority="7154" operator="containsText" text="COSH">
      <formula>NOT(ISERROR(SEARCH("COSH",AA28)))</formula>
    </cfRule>
  </conditionalFormatting>
  <conditionalFormatting sqref="AA14:AA15">
    <cfRule type="containsText" dxfId="6427" priority="7146" operator="containsText" text="FAT">
      <formula>NOT(ISERROR(SEARCH("FAT",AA14)))</formula>
    </cfRule>
    <cfRule type="containsText" dxfId="6426" priority="7147" operator="containsText" text="FIRE">
      <formula>NOT(ISERROR(SEARCH("FIRE",AA14)))</formula>
    </cfRule>
    <cfRule type="containsText" dxfId="6425" priority="7148" operator="containsText" text="COSH">
      <formula>NOT(ISERROR(SEARCH("COSH",AA14)))</formula>
    </cfRule>
  </conditionalFormatting>
  <conditionalFormatting sqref="AA11:AA24">
    <cfRule type="containsText" dxfId="6424" priority="7143" operator="containsText" text="FAT">
      <formula>NOT(ISERROR(SEARCH("FAT",AA11)))</formula>
    </cfRule>
    <cfRule type="containsText" dxfId="6423" priority="7144" operator="containsText" text="FIRE">
      <formula>NOT(ISERROR(SEARCH("FIRE",AA11)))</formula>
    </cfRule>
    <cfRule type="containsText" dxfId="6422" priority="7145" operator="containsText" text="COSH">
      <formula>NOT(ISERROR(SEARCH("COSH",AA11)))</formula>
    </cfRule>
  </conditionalFormatting>
  <conditionalFormatting sqref="AA22">
    <cfRule type="containsText" dxfId="6421" priority="7140" operator="containsText" text="FAT">
      <formula>NOT(ISERROR(SEARCH("FAT",AA22)))</formula>
    </cfRule>
    <cfRule type="containsText" dxfId="6420" priority="7141" operator="containsText" text="FIRE">
      <formula>NOT(ISERROR(SEARCH("FIRE",AA22)))</formula>
    </cfRule>
    <cfRule type="containsText" dxfId="6419" priority="7142" operator="containsText" text="COSH">
      <formula>NOT(ISERROR(SEARCH("COSH",AA22)))</formula>
    </cfRule>
  </conditionalFormatting>
  <conditionalFormatting sqref="AH13">
    <cfRule type="containsText" dxfId="6418" priority="7122" operator="containsText" text="FAT">
      <formula>NOT(ISERROR(SEARCH("FAT",AH13)))</formula>
    </cfRule>
    <cfRule type="containsText" dxfId="6417" priority="7123" operator="containsText" text="FIRE">
      <formula>NOT(ISERROR(SEARCH("FIRE",AH13)))</formula>
    </cfRule>
    <cfRule type="containsText" dxfId="6416" priority="7124" operator="containsText" text="COSH">
      <formula>NOT(ISERROR(SEARCH("COSH",AH13)))</formula>
    </cfRule>
  </conditionalFormatting>
  <conditionalFormatting sqref="AH24:AH25 AH19:AH21 AH27 AH29 AH16:AH17 AH31:AH33">
    <cfRule type="containsText" dxfId="6415" priority="7137" operator="containsText" text="FAT">
      <formula>NOT(ISERROR(SEARCH("FAT",AH16)))</formula>
    </cfRule>
    <cfRule type="containsText" dxfId="6414" priority="7138" operator="containsText" text="FIRE">
      <formula>NOT(ISERROR(SEARCH("FIRE",AH16)))</formula>
    </cfRule>
    <cfRule type="containsText" dxfId="6413" priority="7139" operator="containsText" text="COSH">
      <formula>NOT(ISERROR(SEARCH("COSH",AH16)))</formula>
    </cfRule>
  </conditionalFormatting>
  <conditionalFormatting sqref="AH30 AH23">
    <cfRule type="containsText" dxfId="6412" priority="7134" operator="containsText" text="FAT">
      <formula>NOT(ISERROR(SEARCH("FAT",AH23)))</formula>
    </cfRule>
    <cfRule type="containsText" dxfId="6411" priority="7135" operator="containsText" text="FIRE">
      <formula>NOT(ISERROR(SEARCH("FIRE",AH23)))</formula>
    </cfRule>
    <cfRule type="containsText" dxfId="6410" priority="7136" operator="containsText" text="COSH">
      <formula>NOT(ISERROR(SEARCH("COSH",AH23)))</formula>
    </cfRule>
  </conditionalFormatting>
  <conditionalFormatting sqref="AH18">
    <cfRule type="containsText" dxfId="6409" priority="7131" operator="containsText" text="FAT">
      <formula>NOT(ISERROR(SEARCH("FAT",AH18)))</formula>
    </cfRule>
    <cfRule type="containsText" dxfId="6408" priority="7132" operator="containsText" text="FIRE">
      <formula>NOT(ISERROR(SEARCH("FIRE",AH18)))</formula>
    </cfRule>
    <cfRule type="containsText" dxfId="6407" priority="7133" operator="containsText" text="COSH">
      <formula>NOT(ISERROR(SEARCH("COSH",AH18)))</formula>
    </cfRule>
  </conditionalFormatting>
  <conditionalFormatting sqref="AH26">
    <cfRule type="containsText" dxfId="6406" priority="7128" operator="containsText" text="FAT">
      <formula>NOT(ISERROR(SEARCH("FAT",AH26)))</formula>
    </cfRule>
    <cfRule type="containsText" dxfId="6405" priority="7129" operator="containsText" text="FIRE">
      <formula>NOT(ISERROR(SEARCH("FIRE",AH26)))</formula>
    </cfRule>
    <cfRule type="containsText" dxfId="6404" priority="7130" operator="containsText" text="COSH">
      <formula>NOT(ISERROR(SEARCH("COSH",AH26)))</formula>
    </cfRule>
  </conditionalFormatting>
  <conditionalFormatting sqref="AH28">
    <cfRule type="containsText" dxfId="6403" priority="7125" operator="containsText" text="FAT">
      <formula>NOT(ISERROR(SEARCH("FAT",AH28)))</formula>
    </cfRule>
    <cfRule type="containsText" dxfId="6402" priority="7126" operator="containsText" text="FIRE">
      <formula>NOT(ISERROR(SEARCH("FIRE",AH28)))</formula>
    </cfRule>
    <cfRule type="containsText" dxfId="6401" priority="7127" operator="containsText" text="COSH">
      <formula>NOT(ISERROR(SEARCH("COSH",AH28)))</formula>
    </cfRule>
  </conditionalFormatting>
  <conditionalFormatting sqref="AH14:AH15">
    <cfRule type="containsText" dxfId="6400" priority="7119" operator="containsText" text="FAT">
      <formula>NOT(ISERROR(SEARCH("FAT",AH14)))</formula>
    </cfRule>
    <cfRule type="containsText" dxfId="6399" priority="7120" operator="containsText" text="FIRE">
      <formula>NOT(ISERROR(SEARCH("FIRE",AH14)))</formula>
    </cfRule>
    <cfRule type="containsText" dxfId="6398" priority="7121" operator="containsText" text="COSH">
      <formula>NOT(ISERROR(SEARCH("COSH",AH14)))</formula>
    </cfRule>
  </conditionalFormatting>
  <conditionalFormatting sqref="AH11:AH12">
    <cfRule type="containsText" dxfId="6397" priority="7116" operator="containsText" text="FAT">
      <formula>NOT(ISERROR(SEARCH("FAT",AH11)))</formula>
    </cfRule>
    <cfRule type="containsText" dxfId="6396" priority="7117" operator="containsText" text="FIRE">
      <formula>NOT(ISERROR(SEARCH("FIRE",AH11)))</formula>
    </cfRule>
    <cfRule type="containsText" dxfId="6395" priority="7118" operator="containsText" text="COSH">
      <formula>NOT(ISERROR(SEARCH("COSH",AH11)))</formula>
    </cfRule>
  </conditionalFormatting>
  <conditionalFormatting sqref="AH22">
    <cfRule type="containsText" dxfId="6394" priority="7113" operator="containsText" text="FAT">
      <formula>NOT(ISERROR(SEARCH("FAT",AH22)))</formula>
    </cfRule>
    <cfRule type="containsText" dxfId="6393" priority="7114" operator="containsText" text="FIRE">
      <formula>NOT(ISERROR(SEARCH("FIRE",AH22)))</formula>
    </cfRule>
    <cfRule type="containsText" dxfId="6392" priority="7115" operator="containsText" text="COSH">
      <formula>NOT(ISERROR(SEARCH("COSH",AH22)))</formula>
    </cfRule>
  </conditionalFormatting>
  <conditionalFormatting sqref="J11:K33">
    <cfRule type="containsText" dxfId="6391" priority="7110" operator="containsText" text="FAT">
      <formula>NOT(ISERROR(SEARCH("FAT",J11)))</formula>
    </cfRule>
    <cfRule type="containsText" dxfId="6390" priority="7111" operator="containsText" text="FIRE">
      <formula>NOT(ISERROR(SEARCH("FIRE",J11)))</formula>
    </cfRule>
    <cfRule type="containsText" dxfId="6389" priority="7112" operator="containsText" text="COSH">
      <formula>NOT(ISERROR(SEARCH("COSH",J11)))</formula>
    </cfRule>
  </conditionalFormatting>
  <conditionalFormatting sqref="U24:Z24 R32:Z33 U27:Z31">
    <cfRule type="containsText" dxfId="6388" priority="7107" operator="containsText" text="FAT">
      <formula>NOT(ISERROR(SEARCH("FAT",R24)))</formula>
    </cfRule>
    <cfRule type="containsText" dxfId="6387" priority="7108" operator="containsText" text="FIRE">
      <formula>NOT(ISERROR(SEARCH("FIRE",R24)))</formula>
    </cfRule>
    <cfRule type="containsText" dxfId="6386" priority="7109" operator="containsText" text="COSH">
      <formula>NOT(ISERROR(SEARCH("COSH",R24)))</formula>
    </cfRule>
  </conditionalFormatting>
  <conditionalFormatting sqref="U30:Z30">
    <cfRule type="containsText" dxfId="6385" priority="7104" operator="containsText" text="FAT">
      <formula>NOT(ISERROR(SEARCH("FAT",U30)))</formula>
    </cfRule>
    <cfRule type="containsText" dxfId="6384" priority="7105" operator="containsText" text="FIRE">
      <formula>NOT(ISERROR(SEARCH("FIRE",U30)))</formula>
    </cfRule>
    <cfRule type="containsText" dxfId="6383" priority="7106" operator="containsText" text="COSH">
      <formula>NOT(ISERROR(SEARCH("COSH",U30)))</formula>
    </cfRule>
  </conditionalFormatting>
  <conditionalFormatting sqref="U28:Z28">
    <cfRule type="containsText" dxfId="6382" priority="7101" operator="containsText" text="FAT">
      <formula>NOT(ISERROR(SEARCH("FAT",U28)))</formula>
    </cfRule>
    <cfRule type="containsText" dxfId="6381" priority="7102" operator="containsText" text="FIRE">
      <formula>NOT(ISERROR(SEARCH("FIRE",U28)))</formula>
    </cfRule>
    <cfRule type="containsText" dxfId="6380" priority="7103" operator="containsText" text="COSH">
      <formula>NOT(ISERROR(SEARCH("COSH",U28)))</formula>
    </cfRule>
  </conditionalFormatting>
  <conditionalFormatting sqref="R11">
    <cfRule type="containsText" dxfId="6379" priority="7098" operator="containsText" text="FAT">
      <formula>NOT(ISERROR(SEARCH("FAT",R11)))</formula>
    </cfRule>
    <cfRule type="containsText" dxfId="6378" priority="7099" operator="containsText" text="FIRE">
      <formula>NOT(ISERROR(SEARCH("FIRE",R11)))</formula>
    </cfRule>
    <cfRule type="containsText" dxfId="6377" priority="7100" operator="containsText" text="COSH">
      <formula>NOT(ISERROR(SEARCH("COSH",R11)))</formula>
    </cfRule>
  </conditionalFormatting>
  <conditionalFormatting sqref="Y13">
    <cfRule type="containsText" dxfId="6376" priority="7086" operator="containsText" text="FAT">
      <formula>NOT(ISERROR(SEARCH("FAT",Y13)))</formula>
    </cfRule>
    <cfRule type="containsText" dxfId="6375" priority="7087" operator="containsText" text="FIRE">
      <formula>NOT(ISERROR(SEARCH("FIRE",Y13)))</formula>
    </cfRule>
    <cfRule type="containsText" dxfId="6374" priority="7088" operator="containsText" text="COSH">
      <formula>NOT(ISERROR(SEARCH("COSH",Y13)))</formula>
    </cfRule>
  </conditionalFormatting>
  <conditionalFormatting sqref="Y19:Y21 Y24 Y16:Y17">
    <cfRule type="containsText" dxfId="6373" priority="7095" operator="containsText" text="FAT">
      <formula>NOT(ISERROR(SEARCH("FAT",Y16)))</formula>
    </cfRule>
    <cfRule type="containsText" dxfId="6372" priority="7096" operator="containsText" text="FIRE">
      <formula>NOT(ISERROR(SEARCH("FIRE",Y16)))</formula>
    </cfRule>
    <cfRule type="containsText" dxfId="6371" priority="7097" operator="containsText" text="COSH">
      <formula>NOT(ISERROR(SEARCH("COSH",Y16)))</formula>
    </cfRule>
  </conditionalFormatting>
  <conditionalFormatting sqref="Y23">
    <cfRule type="containsText" dxfId="6370" priority="7092" operator="containsText" text="FAT">
      <formula>NOT(ISERROR(SEARCH("FAT",Y23)))</formula>
    </cfRule>
    <cfRule type="containsText" dxfId="6369" priority="7093" operator="containsText" text="FIRE">
      <formula>NOT(ISERROR(SEARCH("FIRE",Y23)))</formula>
    </cfRule>
    <cfRule type="containsText" dxfId="6368" priority="7094" operator="containsText" text="COSH">
      <formula>NOT(ISERROR(SEARCH("COSH",Y23)))</formula>
    </cfRule>
  </conditionalFormatting>
  <conditionalFormatting sqref="Y18">
    <cfRule type="containsText" dxfId="6367" priority="7089" operator="containsText" text="FAT">
      <formula>NOT(ISERROR(SEARCH("FAT",Y18)))</formula>
    </cfRule>
    <cfRule type="containsText" dxfId="6366" priority="7090" operator="containsText" text="FIRE">
      <formula>NOT(ISERROR(SEARCH("FIRE",Y18)))</formula>
    </cfRule>
    <cfRule type="containsText" dxfId="6365" priority="7091" operator="containsText" text="COSH">
      <formula>NOT(ISERROR(SEARCH("COSH",Y18)))</formula>
    </cfRule>
  </conditionalFormatting>
  <conditionalFormatting sqref="Y14:Y15">
    <cfRule type="containsText" dxfId="6364" priority="7083" operator="containsText" text="FAT">
      <formula>NOT(ISERROR(SEARCH("FAT",Y14)))</formula>
    </cfRule>
    <cfRule type="containsText" dxfId="6363" priority="7084" operator="containsText" text="FIRE">
      <formula>NOT(ISERROR(SEARCH("FIRE",Y14)))</formula>
    </cfRule>
    <cfRule type="containsText" dxfId="6362" priority="7085" operator="containsText" text="COSH">
      <formula>NOT(ISERROR(SEARCH("COSH",Y14)))</formula>
    </cfRule>
  </conditionalFormatting>
  <conditionalFormatting sqref="Y11:Y24">
    <cfRule type="containsText" dxfId="6361" priority="7080" operator="containsText" text="FAT">
      <formula>NOT(ISERROR(SEARCH("FAT",Y11)))</formula>
    </cfRule>
    <cfRule type="containsText" dxfId="6360" priority="7081" operator="containsText" text="FIRE">
      <formula>NOT(ISERROR(SEARCH("FIRE",Y11)))</formula>
    </cfRule>
    <cfRule type="containsText" dxfId="6359" priority="7082" operator="containsText" text="COSH">
      <formula>NOT(ISERROR(SEARCH("COSH",Y11)))</formula>
    </cfRule>
  </conditionalFormatting>
  <conditionalFormatting sqref="Y22">
    <cfRule type="containsText" dxfId="6358" priority="7077" operator="containsText" text="FAT">
      <formula>NOT(ISERROR(SEARCH("FAT",Y22)))</formula>
    </cfRule>
    <cfRule type="containsText" dxfId="6357" priority="7078" operator="containsText" text="FIRE">
      <formula>NOT(ISERROR(SEARCH("FIRE",Y22)))</formula>
    </cfRule>
    <cfRule type="containsText" dxfId="6356" priority="7079" operator="containsText" text="COSH">
      <formula>NOT(ISERROR(SEARCH("COSH",Y22)))</formula>
    </cfRule>
  </conditionalFormatting>
  <conditionalFormatting sqref="AF13">
    <cfRule type="containsText" dxfId="6355" priority="7059" operator="containsText" text="FAT">
      <formula>NOT(ISERROR(SEARCH("FAT",AF13)))</formula>
    </cfRule>
    <cfRule type="containsText" dxfId="6354" priority="7060" operator="containsText" text="FIRE">
      <formula>NOT(ISERROR(SEARCH("FIRE",AF13)))</formula>
    </cfRule>
    <cfRule type="containsText" dxfId="6353" priority="7061" operator="containsText" text="COSH">
      <formula>NOT(ISERROR(SEARCH("COSH",AF13)))</formula>
    </cfRule>
  </conditionalFormatting>
  <conditionalFormatting sqref="AF24:AF25 AF19:AF21 AF27 AF29 AF16:AF17 AF31:AF33">
    <cfRule type="containsText" dxfId="6352" priority="7074" operator="containsText" text="FAT">
      <formula>NOT(ISERROR(SEARCH("FAT",AF16)))</formula>
    </cfRule>
    <cfRule type="containsText" dxfId="6351" priority="7075" operator="containsText" text="FIRE">
      <formula>NOT(ISERROR(SEARCH("FIRE",AF16)))</formula>
    </cfRule>
    <cfRule type="containsText" dxfId="6350" priority="7076" operator="containsText" text="COSH">
      <formula>NOT(ISERROR(SEARCH("COSH",AF16)))</formula>
    </cfRule>
  </conditionalFormatting>
  <conditionalFormatting sqref="AF30 AF23">
    <cfRule type="containsText" dxfId="6349" priority="7071" operator="containsText" text="FAT">
      <formula>NOT(ISERROR(SEARCH("FAT",AF23)))</formula>
    </cfRule>
    <cfRule type="containsText" dxfId="6348" priority="7072" operator="containsText" text="FIRE">
      <formula>NOT(ISERROR(SEARCH("FIRE",AF23)))</formula>
    </cfRule>
    <cfRule type="containsText" dxfId="6347" priority="7073" operator="containsText" text="COSH">
      <formula>NOT(ISERROR(SEARCH("COSH",AF23)))</formula>
    </cfRule>
  </conditionalFormatting>
  <conditionalFormatting sqref="AF18">
    <cfRule type="containsText" dxfId="6346" priority="7068" operator="containsText" text="FAT">
      <formula>NOT(ISERROR(SEARCH("FAT",AF18)))</formula>
    </cfRule>
    <cfRule type="containsText" dxfId="6345" priority="7069" operator="containsText" text="FIRE">
      <formula>NOT(ISERROR(SEARCH("FIRE",AF18)))</formula>
    </cfRule>
    <cfRule type="containsText" dxfId="6344" priority="7070" operator="containsText" text="COSH">
      <formula>NOT(ISERROR(SEARCH("COSH",AF18)))</formula>
    </cfRule>
  </conditionalFormatting>
  <conditionalFormatting sqref="AF26">
    <cfRule type="containsText" dxfId="6343" priority="7065" operator="containsText" text="FAT">
      <formula>NOT(ISERROR(SEARCH("FAT",AF26)))</formula>
    </cfRule>
    <cfRule type="containsText" dxfId="6342" priority="7066" operator="containsText" text="FIRE">
      <formula>NOT(ISERROR(SEARCH("FIRE",AF26)))</formula>
    </cfRule>
    <cfRule type="containsText" dxfId="6341" priority="7067" operator="containsText" text="COSH">
      <formula>NOT(ISERROR(SEARCH("COSH",AF26)))</formula>
    </cfRule>
  </conditionalFormatting>
  <conditionalFormatting sqref="AF28">
    <cfRule type="containsText" dxfId="6340" priority="7062" operator="containsText" text="FAT">
      <formula>NOT(ISERROR(SEARCH("FAT",AF28)))</formula>
    </cfRule>
    <cfRule type="containsText" dxfId="6339" priority="7063" operator="containsText" text="FIRE">
      <formula>NOT(ISERROR(SEARCH("FIRE",AF28)))</formula>
    </cfRule>
    <cfRule type="containsText" dxfId="6338" priority="7064" operator="containsText" text="COSH">
      <formula>NOT(ISERROR(SEARCH("COSH",AF28)))</formula>
    </cfRule>
  </conditionalFormatting>
  <conditionalFormatting sqref="AF11:AF12">
    <cfRule type="containsText" dxfId="6337" priority="7056" operator="containsText" text="FAT">
      <formula>NOT(ISERROR(SEARCH("FAT",AF11)))</formula>
    </cfRule>
    <cfRule type="containsText" dxfId="6336" priority="7057" operator="containsText" text="FIRE">
      <formula>NOT(ISERROR(SEARCH("FIRE",AF11)))</formula>
    </cfRule>
    <cfRule type="containsText" dxfId="6335" priority="7058" operator="containsText" text="COSH">
      <formula>NOT(ISERROR(SEARCH("COSH",AF11)))</formula>
    </cfRule>
  </conditionalFormatting>
  <conditionalFormatting sqref="AF22">
    <cfRule type="containsText" dxfId="6334" priority="7053" operator="containsText" text="FAT">
      <formula>NOT(ISERROR(SEARCH("FAT",AF22)))</formula>
    </cfRule>
    <cfRule type="containsText" dxfId="6333" priority="7054" operator="containsText" text="FIRE">
      <formula>NOT(ISERROR(SEARCH("FIRE",AF22)))</formula>
    </cfRule>
    <cfRule type="containsText" dxfId="6332" priority="7055" operator="containsText" text="COSH">
      <formula>NOT(ISERROR(SEARCH("COSH",AF22)))</formula>
    </cfRule>
  </conditionalFormatting>
  <conditionalFormatting sqref="AF14:AF15">
    <cfRule type="containsText" dxfId="6331" priority="7050" operator="containsText" text="FAT">
      <formula>NOT(ISERROR(SEARCH("FAT",AF14)))</formula>
    </cfRule>
    <cfRule type="containsText" dxfId="6330" priority="7051" operator="containsText" text="FIRE">
      <formula>NOT(ISERROR(SEARCH("FIRE",AF14)))</formula>
    </cfRule>
    <cfRule type="containsText" dxfId="6329" priority="7052" operator="containsText" text="COSH">
      <formula>NOT(ISERROR(SEARCH("COSH",AF14)))</formula>
    </cfRule>
  </conditionalFormatting>
  <conditionalFormatting sqref="O11 G11:M33">
    <cfRule type="cellIs" dxfId="6328" priority="7048" operator="between">
      <formula>1</formula>
      <formula>3</formula>
    </cfRule>
  </conditionalFormatting>
  <conditionalFormatting sqref="P11:Q11">
    <cfRule type="containsText" dxfId="6327" priority="7045" operator="containsText" text="FAT">
      <formula>NOT(ISERROR(SEARCH("FAT",P11)))</formula>
    </cfRule>
    <cfRule type="containsText" dxfId="6326" priority="7046" operator="containsText" text="FIRE">
      <formula>NOT(ISERROR(SEARCH("FIRE",P11)))</formula>
    </cfRule>
    <cfRule type="containsText" dxfId="6325" priority="7047" operator="containsText" text="COSH">
      <formula>NOT(ISERROR(SEARCH("COSH",P11)))</formula>
    </cfRule>
  </conditionalFormatting>
  <conditionalFormatting sqref="X11:X24">
    <cfRule type="containsText" dxfId="6324" priority="7042" operator="containsText" text="FAT">
      <formula>NOT(ISERROR(SEARCH("FAT",X11)))</formula>
    </cfRule>
    <cfRule type="containsText" dxfId="6323" priority="7043" operator="containsText" text="FIRE">
      <formula>NOT(ISERROR(SEARCH("FIRE",X11)))</formula>
    </cfRule>
    <cfRule type="containsText" dxfId="6322" priority="7044" operator="containsText" text="COSH">
      <formula>NOT(ISERROR(SEARCH("COSH",X11)))</formula>
    </cfRule>
  </conditionalFormatting>
  <conditionalFormatting sqref="AD11:AE12">
    <cfRule type="containsText" dxfId="6321" priority="7039" operator="containsText" text="FAT">
      <formula>NOT(ISERROR(SEARCH("FAT",AD11)))</formula>
    </cfRule>
    <cfRule type="containsText" dxfId="6320" priority="7040" operator="containsText" text="FIRE">
      <formula>NOT(ISERROR(SEARCH("FIRE",AD11)))</formula>
    </cfRule>
    <cfRule type="containsText" dxfId="6319" priority="7041" operator="containsText" text="COSH">
      <formula>NOT(ISERROR(SEARCH("COSH",AD11)))</formula>
    </cfRule>
  </conditionalFormatting>
  <conditionalFormatting sqref="X11:X24">
    <cfRule type="containsText" dxfId="6318" priority="7036" operator="containsText" text="FAT">
      <formula>NOT(ISERROR(SEARCH("FAT",X11)))</formula>
    </cfRule>
    <cfRule type="containsText" dxfId="6317" priority="7037" operator="containsText" text="FIRE">
      <formula>NOT(ISERROR(SEARCH("FIRE",X11)))</formula>
    </cfRule>
    <cfRule type="containsText" dxfId="6316" priority="7038" operator="containsText" text="COSH">
      <formula>NOT(ISERROR(SEARCH("COSH",X11)))</formula>
    </cfRule>
  </conditionalFormatting>
  <conditionalFormatting sqref="AE11:AE12">
    <cfRule type="containsText" dxfId="6315" priority="7033" operator="containsText" text="FAT">
      <formula>NOT(ISERROR(SEARCH("FAT",AE11)))</formula>
    </cfRule>
    <cfRule type="containsText" dxfId="6314" priority="7034" operator="containsText" text="FIRE">
      <formula>NOT(ISERROR(SEARCH("FIRE",AE11)))</formula>
    </cfRule>
    <cfRule type="containsText" dxfId="6313" priority="7035" operator="containsText" text="COSH">
      <formula>NOT(ISERROR(SEARCH("COSH",AE11)))</formula>
    </cfRule>
  </conditionalFormatting>
  <conditionalFormatting sqref="AD11:AD12">
    <cfRule type="containsText" dxfId="6312" priority="7030" operator="containsText" text="FAT">
      <formula>NOT(ISERROR(SEARCH("FAT",AD11)))</formula>
    </cfRule>
    <cfRule type="containsText" dxfId="6311" priority="7031" operator="containsText" text="FIRE">
      <formula>NOT(ISERROR(SEARCH("FIRE",AD11)))</formula>
    </cfRule>
    <cfRule type="containsText" dxfId="6310" priority="7032" operator="containsText" text="COSH">
      <formula>NOT(ISERROR(SEARCH("COSH",AD11)))</formula>
    </cfRule>
  </conditionalFormatting>
  <conditionalFormatting sqref="P11:Q11">
    <cfRule type="containsText" dxfId="6309" priority="7027" operator="containsText" text="FAT">
      <formula>NOT(ISERROR(SEARCH("FAT",P11)))</formula>
    </cfRule>
    <cfRule type="containsText" dxfId="6308" priority="7028" operator="containsText" text="FIRE">
      <formula>NOT(ISERROR(SEARCH("FIRE",P11)))</formula>
    </cfRule>
    <cfRule type="containsText" dxfId="6307" priority="7029" operator="containsText" text="COSH">
      <formula>NOT(ISERROR(SEARCH("COSH",P11)))</formula>
    </cfRule>
  </conditionalFormatting>
  <conditionalFormatting sqref="V13:W15 V16:V17">
    <cfRule type="containsText" dxfId="6306" priority="7024" operator="containsText" text="FAT">
      <formula>NOT(ISERROR(SEARCH("FAT",V13)))</formula>
    </cfRule>
    <cfRule type="containsText" dxfId="6305" priority="7025" operator="containsText" text="FIRE">
      <formula>NOT(ISERROR(SEARCH("FIRE",V13)))</formula>
    </cfRule>
    <cfRule type="containsText" dxfId="6304" priority="7026" operator="containsText" text="COSH">
      <formula>NOT(ISERROR(SEARCH("COSH",V13)))</formula>
    </cfRule>
  </conditionalFormatting>
  <conditionalFormatting sqref="X13:X15">
    <cfRule type="containsText" dxfId="6303" priority="7021" operator="containsText" text="FAT">
      <formula>NOT(ISERROR(SEARCH("FAT",X13)))</formula>
    </cfRule>
    <cfRule type="containsText" dxfId="6302" priority="7022" operator="containsText" text="FIRE">
      <formula>NOT(ISERROR(SEARCH("FIRE",X13)))</formula>
    </cfRule>
    <cfRule type="containsText" dxfId="6301" priority="7023" operator="containsText" text="COSH">
      <formula>NOT(ISERROR(SEARCH("COSH",X13)))</formula>
    </cfRule>
  </conditionalFormatting>
  <conditionalFormatting sqref="V13:W15 V16:V17">
    <cfRule type="containsText" dxfId="6300" priority="7018" operator="containsText" text="FAT">
      <formula>NOT(ISERROR(SEARCH("FAT",V13)))</formula>
    </cfRule>
    <cfRule type="containsText" dxfId="6299" priority="7019" operator="containsText" text="FIRE">
      <formula>NOT(ISERROR(SEARCH("FIRE",V13)))</formula>
    </cfRule>
    <cfRule type="containsText" dxfId="6298" priority="7020" operator="containsText" text="COSH">
      <formula>NOT(ISERROR(SEARCH("COSH",V13)))</formula>
    </cfRule>
  </conditionalFormatting>
  <conditionalFormatting sqref="X13:X15">
    <cfRule type="containsText" dxfId="6297" priority="7015" operator="containsText" text="FAT">
      <formula>NOT(ISERROR(SEARCH("FAT",X13)))</formula>
    </cfRule>
    <cfRule type="containsText" dxfId="6296" priority="7016" operator="containsText" text="FIRE">
      <formula>NOT(ISERROR(SEARCH("FIRE",X13)))</formula>
    </cfRule>
    <cfRule type="containsText" dxfId="6295" priority="7017" operator="containsText" text="COSH">
      <formula>NOT(ISERROR(SEARCH("COSH",X13)))</formula>
    </cfRule>
  </conditionalFormatting>
  <conditionalFormatting sqref="V13:W15 V16:V17">
    <cfRule type="containsText" dxfId="6294" priority="7012" operator="containsText" text="FAT">
      <formula>NOT(ISERROR(SEARCH("FAT",V13)))</formula>
    </cfRule>
    <cfRule type="containsText" dxfId="6293" priority="7013" operator="containsText" text="FIRE">
      <formula>NOT(ISERROR(SEARCH("FIRE",V13)))</formula>
    </cfRule>
    <cfRule type="containsText" dxfId="6292" priority="7014" operator="containsText" text="COSH">
      <formula>NOT(ISERROR(SEARCH("COSH",V13)))</formula>
    </cfRule>
  </conditionalFormatting>
  <conditionalFormatting sqref="X13:X15">
    <cfRule type="containsText" dxfId="6291" priority="7009" operator="containsText" text="FAT">
      <formula>NOT(ISERROR(SEARCH("FAT",X13)))</formula>
    </cfRule>
    <cfRule type="containsText" dxfId="6290" priority="7010" operator="containsText" text="FIRE">
      <formula>NOT(ISERROR(SEARCH("FIRE",X13)))</formula>
    </cfRule>
    <cfRule type="containsText" dxfId="6289" priority="7011" operator="containsText" text="COSH">
      <formula>NOT(ISERROR(SEARCH("COSH",X13)))</formula>
    </cfRule>
  </conditionalFormatting>
  <conditionalFormatting sqref="AD13:AE15">
    <cfRule type="containsText" dxfId="6288" priority="7006" operator="containsText" text="FAT">
      <formula>NOT(ISERROR(SEARCH("FAT",AD13)))</formula>
    </cfRule>
    <cfRule type="containsText" dxfId="6287" priority="7007" operator="containsText" text="FIRE">
      <formula>NOT(ISERROR(SEARCH("FIRE",AD13)))</formula>
    </cfRule>
    <cfRule type="containsText" dxfId="6286" priority="7008" operator="containsText" text="COSH">
      <formula>NOT(ISERROR(SEARCH("COSH",AD13)))</formula>
    </cfRule>
  </conditionalFormatting>
  <conditionalFormatting sqref="AD13:AE15">
    <cfRule type="containsText" dxfId="6285" priority="7003" operator="containsText" text="FAT">
      <formula>NOT(ISERROR(SEARCH("FAT",AD13)))</formula>
    </cfRule>
    <cfRule type="containsText" dxfId="6284" priority="7004" operator="containsText" text="FIRE">
      <formula>NOT(ISERROR(SEARCH("FIRE",AD13)))</formula>
    </cfRule>
    <cfRule type="containsText" dxfId="6283" priority="7005" operator="containsText" text="COSH">
      <formula>NOT(ISERROR(SEARCH("COSH",AD13)))</formula>
    </cfRule>
  </conditionalFormatting>
  <conditionalFormatting sqref="AD13:AE15">
    <cfRule type="containsText" dxfId="6282" priority="7000" operator="containsText" text="FAT">
      <formula>NOT(ISERROR(SEARCH("FAT",AD13)))</formula>
    </cfRule>
    <cfRule type="containsText" dxfId="6281" priority="7001" operator="containsText" text="FIRE">
      <formula>NOT(ISERROR(SEARCH("FIRE",AD13)))</formula>
    </cfRule>
    <cfRule type="containsText" dxfId="6280" priority="7002" operator="containsText" text="COSH">
      <formula>NOT(ISERROR(SEARCH("COSH",AD13)))</formula>
    </cfRule>
  </conditionalFormatting>
  <conditionalFormatting sqref="V16:W19">
    <cfRule type="containsText" dxfId="6279" priority="6997" operator="containsText" text="FAT">
      <formula>NOT(ISERROR(SEARCH("FAT",V16)))</formula>
    </cfRule>
    <cfRule type="containsText" dxfId="6278" priority="6998" operator="containsText" text="FIRE">
      <formula>NOT(ISERROR(SEARCH("FIRE",V16)))</formula>
    </cfRule>
    <cfRule type="containsText" dxfId="6277" priority="6999" operator="containsText" text="COSH">
      <formula>NOT(ISERROR(SEARCH("COSH",V16)))</formula>
    </cfRule>
  </conditionalFormatting>
  <conditionalFormatting sqref="X16:X19">
    <cfRule type="containsText" dxfId="6276" priority="6994" operator="containsText" text="FAT">
      <formula>NOT(ISERROR(SEARCH("FAT",X16)))</formula>
    </cfRule>
    <cfRule type="containsText" dxfId="6275" priority="6995" operator="containsText" text="FIRE">
      <formula>NOT(ISERROR(SEARCH("FIRE",X16)))</formula>
    </cfRule>
    <cfRule type="containsText" dxfId="6274" priority="6996" operator="containsText" text="COSH">
      <formula>NOT(ISERROR(SEARCH("COSH",X16)))</formula>
    </cfRule>
  </conditionalFormatting>
  <conditionalFormatting sqref="V16:W19">
    <cfRule type="containsText" dxfId="6273" priority="6991" operator="containsText" text="FAT">
      <formula>NOT(ISERROR(SEARCH("FAT",V16)))</formula>
    </cfRule>
    <cfRule type="containsText" dxfId="6272" priority="6992" operator="containsText" text="FIRE">
      <formula>NOT(ISERROR(SEARCH("FIRE",V16)))</formula>
    </cfRule>
    <cfRule type="containsText" dxfId="6271" priority="6993" operator="containsText" text="COSH">
      <formula>NOT(ISERROR(SEARCH("COSH",V16)))</formula>
    </cfRule>
  </conditionalFormatting>
  <conditionalFormatting sqref="X16:X19">
    <cfRule type="containsText" dxfId="6270" priority="6988" operator="containsText" text="FAT">
      <formula>NOT(ISERROR(SEARCH("FAT",X16)))</formula>
    </cfRule>
    <cfRule type="containsText" dxfId="6269" priority="6989" operator="containsText" text="FIRE">
      <formula>NOT(ISERROR(SEARCH("FIRE",X16)))</formula>
    </cfRule>
    <cfRule type="containsText" dxfId="6268" priority="6990" operator="containsText" text="COSH">
      <formula>NOT(ISERROR(SEARCH("COSH",X16)))</formula>
    </cfRule>
  </conditionalFormatting>
  <conditionalFormatting sqref="V16:W19">
    <cfRule type="containsText" dxfId="6267" priority="6985" operator="containsText" text="FAT">
      <formula>NOT(ISERROR(SEARCH("FAT",V16)))</formula>
    </cfRule>
    <cfRule type="containsText" dxfId="6266" priority="6986" operator="containsText" text="FIRE">
      <formula>NOT(ISERROR(SEARCH("FIRE",V16)))</formula>
    </cfRule>
    <cfRule type="containsText" dxfId="6265" priority="6987" operator="containsText" text="COSH">
      <formula>NOT(ISERROR(SEARCH("COSH",V16)))</formula>
    </cfRule>
  </conditionalFormatting>
  <conditionalFormatting sqref="X16:X19">
    <cfRule type="containsText" dxfId="6264" priority="6982" operator="containsText" text="FAT">
      <formula>NOT(ISERROR(SEARCH("FAT",X16)))</formula>
    </cfRule>
    <cfRule type="containsText" dxfId="6263" priority="6983" operator="containsText" text="FIRE">
      <formula>NOT(ISERROR(SEARCH("FIRE",X16)))</formula>
    </cfRule>
    <cfRule type="containsText" dxfId="6262" priority="6984" operator="containsText" text="COSH">
      <formula>NOT(ISERROR(SEARCH("COSH",X16)))</formula>
    </cfRule>
  </conditionalFormatting>
  <conditionalFormatting sqref="V16:W19">
    <cfRule type="containsText" dxfId="6261" priority="6979" operator="containsText" text="FAT">
      <formula>NOT(ISERROR(SEARCH("FAT",V16)))</formula>
    </cfRule>
    <cfRule type="containsText" dxfId="6260" priority="6980" operator="containsText" text="FIRE">
      <formula>NOT(ISERROR(SEARCH("FIRE",V16)))</formula>
    </cfRule>
    <cfRule type="containsText" dxfId="6259" priority="6981" operator="containsText" text="COSH">
      <formula>NOT(ISERROR(SEARCH("COSH",V16)))</formula>
    </cfRule>
  </conditionalFormatting>
  <conditionalFormatting sqref="X16:X19">
    <cfRule type="containsText" dxfId="6258" priority="6976" operator="containsText" text="FAT">
      <formula>NOT(ISERROR(SEARCH("FAT",X16)))</formula>
    </cfRule>
    <cfRule type="containsText" dxfId="6257" priority="6977" operator="containsText" text="FIRE">
      <formula>NOT(ISERROR(SEARCH("FIRE",X16)))</formula>
    </cfRule>
    <cfRule type="containsText" dxfId="6256" priority="6978" operator="containsText" text="COSH">
      <formula>NOT(ISERROR(SEARCH("COSH",X16)))</formula>
    </cfRule>
  </conditionalFormatting>
  <conditionalFormatting sqref="AD16:AE19">
    <cfRule type="containsText" dxfId="6255" priority="6973" operator="containsText" text="FAT">
      <formula>NOT(ISERROR(SEARCH("FAT",AD16)))</formula>
    </cfRule>
    <cfRule type="containsText" dxfId="6254" priority="6974" operator="containsText" text="FIRE">
      <formula>NOT(ISERROR(SEARCH("FIRE",AD16)))</formula>
    </cfRule>
    <cfRule type="containsText" dxfId="6253" priority="6975" operator="containsText" text="COSH">
      <formula>NOT(ISERROR(SEARCH("COSH",AD16)))</formula>
    </cfRule>
  </conditionalFormatting>
  <conditionalFormatting sqref="AD16:AE19">
    <cfRule type="containsText" dxfId="6252" priority="6970" operator="containsText" text="FAT">
      <formula>NOT(ISERROR(SEARCH("FAT",AD16)))</formula>
    </cfRule>
    <cfRule type="containsText" dxfId="6251" priority="6971" operator="containsText" text="FIRE">
      <formula>NOT(ISERROR(SEARCH("FIRE",AD16)))</formula>
    </cfRule>
    <cfRule type="containsText" dxfId="6250" priority="6972" operator="containsText" text="COSH">
      <formula>NOT(ISERROR(SEARCH("COSH",AD16)))</formula>
    </cfRule>
  </conditionalFormatting>
  <conditionalFormatting sqref="AD16:AE19">
    <cfRule type="containsText" dxfId="6249" priority="6967" operator="containsText" text="FAT">
      <formula>NOT(ISERROR(SEARCH("FAT",AD16)))</formula>
    </cfRule>
    <cfRule type="containsText" dxfId="6248" priority="6968" operator="containsText" text="FIRE">
      <formula>NOT(ISERROR(SEARCH("FIRE",AD16)))</formula>
    </cfRule>
    <cfRule type="containsText" dxfId="6247" priority="6969" operator="containsText" text="COSH">
      <formula>NOT(ISERROR(SEARCH("COSH",AD16)))</formula>
    </cfRule>
  </conditionalFormatting>
  <conditionalFormatting sqref="AD16:AE19">
    <cfRule type="containsText" dxfId="6246" priority="6964" operator="containsText" text="FAT">
      <formula>NOT(ISERROR(SEARCH("FAT",AD16)))</formula>
    </cfRule>
    <cfRule type="containsText" dxfId="6245" priority="6965" operator="containsText" text="FIRE">
      <formula>NOT(ISERROR(SEARCH("FIRE",AD16)))</formula>
    </cfRule>
    <cfRule type="containsText" dxfId="6244" priority="6966" operator="containsText" text="COSH">
      <formula>NOT(ISERROR(SEARCH("COSH",AD16)))</formula>
    </cfRule>
  </conditionalFormatting>
  <conditionalFormatting sqref="X20:X22">
    <cfRule type="containsText" dxfId="6243" priority="6961" operator="containsText" text="FAT">
      <formula>NOT(ISERROR(SEARCH("FAT",X20)))</formula>
    </cfRule>
    <cfRule type="containsText" dxfId="6242" priority="6962" operator="containsText" text="FIRE">
      <formula>NOT(ISERROR(SEARCH("FIRE",X20)))</formula>
    </cfRule>
    <cfRule type="containsText" dxfId="6241" priority="6963" operator="containsText" text="COSH">
      <formula>NOT(ISERROR(SEARCH("COSH",X20)))</formula>
    </cfRule>
  </conditionalFormatting>
  <conditionalFormatting sqref="V20:W22">
    <cfRule type="containsText" dxfId="6240" priority="6958" operator="containsText" text="FAT">
      <formula>NOT(ISERROR(SEARCH("FAT",V20)))</formula>
    </cfRule>
    <cfRule type="containsText" dxfId="6239" priority="6959" operator="containsText" text="FIRE">
      <formula>NOT(ISERROR(SEARCH("FIRE",V20)))</formula>
    </cfRule>
    <cfRule type="containsText" dxfId="6238" priority="6960" operator="containsText" text="COSH">
      <formula>NOT(ISERROR(SEARCH("COSH",V20)))</formula>
    </cfRule>
  </conditionalFormatting>
  <conditionalFormatting sqref="X20:X22">
    <cfRule type="containsText" dxfId="6237" priority="6955" operator="containsText" text="FAT">
      <formula>NOT(ISERROR(SEARCH("FAT",X20)))</formula>
    </cfRule>
    <cfRule type="containsText" dxfId="6236" priority="6956" operator="containsText" text="FIRE">
      <formula>NOT(ISERROR(SEARCH("FIRE",X20)))</formula>
    </cfRule>
    <cfRule type="containsText" dxfId="6235" priority="6957" operator="containsText" text="COSH">
      <formula>NOT(ISERROR(SEARCH("COSH",X20)))</formula>
    </cfRule>
  </conditionalFormatting>
  <conditionalFormatting sqref="V20:W22">
    <cfRule type="containsText" dxfId="6234" priority="6952" operator="containsText" text="FAT">
      <formula>NOT(ISERROR(SEARCH("FAT",V20)))</formula>
    </cfRule>
    <cfRule type="containsText" dxfId="6233" priority="6953" operator="containsText" text="FIRE">
      <formula>NOT(ISERROR(SEARCH("FIRE",V20)))</formula>
    </cfRule>
    <cfRule type="containsText" dxfId="6232" priority="6954" operator="containsText" text="COSH">
      <formula>NOT(ISERROR(SEARCH("COSH",V20)))</formula>
    </cfRule>
  </conditionalFormatting>
  <conditionalFormatting sqref="X20:X22">
    <cfRule type="containsText" dxfId="6231" priority="6949" operator="containsText" text="FAT">
      <formula>NOT(ISERROR(SEARCH("FAT",X20)))</formula>
    </cfRule>
    <cfRule type="containsText" dxfId="6230" priority="6950" operator="containsText" text="FIRE">
      <formula>NOT(ISERROR(SEARCH("FIRE",X20)))</formula>
    </cfRule>
    <cfRule type="containsText" dxfId="6229" priority="6951" operator="containsText" text="COSH">
      <formula>NOT(ISERROR(SEARCH("COSH",X20)))</formula>
    </cfRule>
  </conditionalFormatting>
  <conditionalFormatting sqref="V20:W22">
    <cfRule type="containsText" dxfId="6228" priority="6946" operator="containsText" text="FAT">
      <formula>NOT(ISERROR(SEARCH("FAT",V20)))</formula>
    </cfRule>
    <cfRule type="containsText" dxfId="6227" priority="6947" operator="containsText" text="FIRE">
      <formula>NOT(ISERROR(SEARCH("FIRE",V20)))</formula>
    </cfRule>
    <cfRule type="containsText" dxfId="6226" priority="6948" operator="containsText" text="COSH">
      <formula>NOT(ISERROR(SEARCH("COSH",V20)))</formula>
    </cfRule>
  </conditionalFormatting>
  <conditionalFormatting sqref="X20:X22">
    <cfRule type="containsText" dxfId="6225" priority="6943" operator="containsText" text="FAT">
      <formula>NOT(ISERROR(SEARCH("FAT",X20)))</formula>
    </cfRule>
    <cfRule type="containsText" dxfId="6224" priority="6944" operator="containsText" text="FIRE">
      <formula>NOT(ISERROR(SEARCH("FIRE",X20)))</formula>
    </cfRule>
    <cfRule type="containsText" dxfId="6223" priority="6945" operator="containsText" text="COSH">
      <formula>NOT(ISERROR(SEARCH("COSH",X20)))</formula>
    </cfRule>
  </conditionalFormatting>
  <conditionalFormatting sqref="V20:W22">
    <cfRule type="containsText" dxfId="6222" priority="6940" operator="containsText" text="FAT">
      <formula>NOT(ISERROR(SEARCH("FAT",V20)))</formula>
    </cfRule>
    <cfRule type="containsText" dxfId="6221" priority="6941" operator="containsText" text="FIRE">
      <formula>NOT(ISERROR(SEARCH("FIRE",V20)))</formula>
    </cfRule>
    <cfRule type="containsText" dxfId="6220" priority="6942" operator="containsText" text="COSH">
      <formula>NOT(ISERROR(SEARCH("COSH",V20)))</formula>
    </cfRule>
  </conditionalFormatting>
  <conditionalFormatting sqref="X20:X22">
    <cfRule type="containsText" dxfId="6219" priority="6937" operator="containsText" text="FAT">
      <formula>NOT(ISERROR(SEARCH("FAT",X20)))</formula>
    </cfRule>
    <cfRule type="containsText" dxfId="6218" priority="6938" operator="containsText" text="FIRE">
      <formula>NOT(ISERROR(SEARCH("FIRE",X20)))</formula>
    </cfRule>
    <cfRule type="containsText" dxfId="6217" priority="6939" operator="containsText" text="COSH">
      <formula>NOT(ISERROR(SEARCH("COSH",X20)))</formula>
    </cfRule>
  </conditionalFormatting>
  <conditionalFormatting sqref="AD20:AE22">
    <cfRule type="containsText" dxfId="6216" priority="6934" operator="containsText" text="FAT">
      <formula>NOT(ISERROR(SEARCH("FAT",AD20)))</formula>
    </cfRule>
    <cfRule type="containsText" dxfId="6215" priority="6935" operator="containsText" text="FIRE">
      <formula>NOT(ISERROR(SEARCH("FIRE",AD20)))</formula>
    </cfRule>
    <cfRule type="containsText" dxfId="6214" priority="6936" operator="containsText" text="COSH">
      <formula>NOT(ISERROR(SEARCH("COSH",AD20)))</formula>
    </cfRule>
  </conditionalFormatting>
  <conditionalFormatting sqref="AD20:AE22">
    <cfRule type="containsText" dxfId="6213" priority="6931" operator="containsText" text="FAT">
      <formula>NOT(ISERROR(SEARCH("FAT",AD20)))</formula>
    </cfRule>
    <cfRule type="containsText" dxfId="6212" priority="6932" operator="containsText" text="FIRE">
      <formula>NOT(ISERROR(SEARCH("FIRE",AD20)))</formula>
    </cfRule>
    <cfRule type="containsText" dxfId="6211" priority="6933" operator="containsText" text="COSH">
      <formula>NOT(ISERROR(SEARCH("COSH",AD20)))</formula>
    </cfRule>
  </conditionalFormatting>
  <conditionalFormatting sqref="AD20:AE22">
    <cfRule type="containsText" dxfId="6210" priority="6928" operator="containsText" text="FAT">
      <formula>NOT(ISERROR(SEARCH("FAT",AD20)))</formula>
    </cfRule>
    <cfRule type="containsText" dxfId="6209" priority="6929" operator="containsText" text="FIRE">
      <formula>NOT(ISERROR(SEARCH("FIRE",AD20)))</formula>
    </cfRule>
    <cfRule type="containsText" dxfId="6208" priority="6930" operator="containsText" text="COSH">
      <formula>NOT(ISERROR(SEARCH("COSH",AD20)))</formula>
    </cfRule>
  </conditionalFormatting>
  <conditionalFormatting sqref="AD20:AE22">
    <cfRule type="containsText" dxfId="6207" priority="6925" operator="containsText" text="FAT">
      <formula>NOT(ISERROR(SEARCH("FAT",AD20)))</formula>
    </cfRule>
    <cfRule type="containsText" dxfId="6206" priority="6926" operator="containsText" text="FIRE">
      <formula>NOT(ISERROR(SEARCH("FIRE",AD20)))</formula>
    </cfRule>
    <cfRule type="containsText" dxfId="6205" priority="6927" operator="containsText" text="COSH">
      <formula>NOT(ISERROR(SEARCH("COSH",AD20)))</formula>
    </cfRule>
  </conditionalFormatting>
  <conditionalFormatting sqref="P13:P26 Q26:S26 U26:AB26 Q25:AA25">
    <cfRule type="containsText" dxfId="6204" priority="6922" operator="containsText" text="FAT">
      <formula>NOT(ISERROR(SEARCH("FAT",P13)))</formula>
    </cfRule>
    <cfRule type="containsText" dxfId="6203" priority="6923" operator="containsText" text="FIRE">
      <formula>NOT(ISERROR(SEARCH("FIRE",P13)))</formula>
    </cfRule>
    <cfRule type="containsText" dxfId="6202" priority="6924" operator="containsText" text="COSH">
      <formula>NOT(ISERROR(SEARCH("COSH",P13)))</formula>
    </cfRule>
  </conditionalFormatting>
  <conditionalFormatting sqref="P13:P26 Q26:S26 U26:AB26 Q25:AA25">
    <cfRule type="containsText" dxfId="6201" priority="6919" operator="containsText" text="FAT">
      <formula>NOT(ISERROR(SEARCH("FAT",P13)))</formula>
    </cfRule>
    <cfRule type="containsText" dxfId="6200" priority="6920" operator="containsText" text="FIRE">
      <formula>NOT(ISERROR(SEARCH("FIRE",P13)))</formula>
    </cfRule>
    <cfRule type="containsText" dxfId="6199" priority="6921" operator="containsText" text="COSH">
      <formula>NOT(ISERROR(SEARCH("COSH",P13)))</formula>
    </cfRule>
  </conditionalFormatting>
  <conditionalFormatting sqref="P13:P26 Q26:S26 U26:AB26 Q25:AA25">
    <cfRule type="containsText" dxfId="6198" priority="6916" operator="containsText" text="FAT">
      <formula>NOT(ISERROR(SEARCH("FAT",P13)))</formula>
    </cfRule>
    <cfRule type="containsText" dxfId="6197" priority="6917" operator="containsText" text="FIRE">
      <formula>NOT(ISERROR(SEARCH("FIRE",P13)))</formula>
    </cfRule>
    <cfRule type="containsText" dxfId="6196" priority="6918" operator="containsText" text="COSH">
      <formula>NOT(ISERROR(SEARCH("COSH",P13)))</formula>
    </cfRule>
  </conditionalFormatting>
  <conditionalFormatting sqref="X24">
    <cfRule type="containsText" dxfId="6195" priority="6913" operator="containsText" text="FAT">
      <formula>NOT(ISERROR(SEARCH("FAT",X24)))</formula>
    </cfRule>
    <cfRule type="containsText" dxfId="6194" priority="6914" operator="containsText" text="FIRE">
      <formula>NOT(ISERROR(SEARCH("FIRE",X24)))</formula>
    </cfRule>
    <cfRule type="containsText" dxfId="6193" priority="6915" operator="containsText" text="COSH">
      <formula>NOT(ISERROR(SEARCH("COSH",X24)))</formula>
    </cfRule>
  </conditionalFormatting>
  <conditionalFormatting sqref="V24:W24">
    <cfRule type="containsText" dxfId="6192" priority="6910" operator="containsText" text="FAT">
      <formula>NOT(ISERROR(SEARCH("FAT",V24)))</formula>
    </cfRule>
    <cfRule type="containsText" dxfId="6191" priority="6911" operator="containsText" text="FIRE">
      <formula>NOT(ISERROR(SEARCH("FIRE",V24)))</formula>
    </cfRule>
    <cfRule type="containsText" dxfId="6190" priority="6912" operator="containsText" text="COSH">
      <formula>NOT(ISERROR(SEARCH("COSH",V24)))</formula>
    </cfRule>
  </conditionalFormatting>
  <conditionalFormatting sqref="X24">
    <cfRule type="containsText" dxfId="6189" priority="6907" operator="containsText" text="FAT">
      <formula>NOT(ISERROR(SEARCH("FAT",X24)))</formula>
    </cfRule>
    <cfRule type="containsText" dxfId="6188" priority="6908" operator="containsText" text="FIRE">
      <formula>NOT(ISERROR(SEARCH("FIRE",X24)))</formula>
    </cfRule>
    <cfRule type="containsText" dxfId="6187" priority="6909" operator="containsText" text="COSH">
      <formula>NOT(ISERROR(SEARCH("COSH",X24)))</formula>
    </cfRule>
  </conditionalFormatting>
  <conditionalFormatting sqref="V24:W24">
    <cfRule type="containsText" dxfId="6186" priority="6904" operator="containsText" text="FAT">
      <formula>NOT(ISERROR(SEARCH("FAT",V24)))</formula>
    </cfRule>
    <cfRule type="containsText" dxfId="6185" priority="6905" operator="containsText" text="FIRE">
      <formula>NOT(ISERROR(SEARCH("FIRE",V24)))</formula>
    </cfRule>
    <cfRule type="containsText" dxfId="6184" priority="6906" operator="containsText" text="COSH">
      <formula>NOT(ISERROR(SEARCH("COSH",V24)))</formula>
    </cfRule>
  </conditionalFormatting>
  <conditionalFormatting sqref="X24">
    <cfRule type="containsText" dxfId="6183" priority="6901" operator="containsText" text="FAT">
      <formula>NOT(ISERROR(SEARCH("FAT",X24)))</formula>
    </cfRule>
    <cfRule type="containsText" dxfId="6182" priority="6902" operator="containsText" text="FIRE">
      <formula>NOT(ISERROR(SEARCH("FIRE",X24)))</formula>
    </cfRule>
    <cfRule type="containsText" dxfId="6181" priority="6903" operator="containsText" text="COSH">
      <formula>NOT(ISERROR(SEARCH("COSH",X24)))</formula>
    </cfRule>
  </conditionalFormatting>
  <conditionalFormatting sqref="V24:W24">
    <cfRule type="containsText" dxfId="6180" priority="6898" operator="containsText" text="FAT">
      <formula>NOT(ISERROR(SEARCH("FAT",V24)))</formula>
    </cfRule>
    <cfRule type="containsText" dxfId="6179" priority="6899" operator="containsText" text="FIRE">
      <formula>NOT(ISERROR(SEARCH("FIRE",V24)))</formula>
    </cfRule>
    <cfRule type="containsText" dxfId="6178" priority="6900" operator="containsText" text="COSH">
      <formula>NOT(ISERROR(SEARCH("COSH",V24)))</formula>
    </cfRule>
  </conditionalFormatting>
  <conditionalFormatting sqref="X24">
    <cfRule type="containsText" dxfId="6177" priority="6895" operator="containsText" text="FAT">
      <formula>NOT(ISERROR(SEARCH("FAT",X24)))</formula>
    </cfRule>
    <cfRule type="containsText" dxfId="6176" priority="6896" operator="containsText" text="FIRE">
      <formula>NOT(ISERROR(SEARCH("FIRE",X24)))</formula>
    </cfRule>
    <cfRule type="containsText" dxfId="6175" priority="6897" operator="containsText" text="COSH">
      <formula>NOT(ISERROR(SEARCH("COSH",X24)))</formula>
    </cfRule>
  </conditionalFormatting>
  <conditionalFormatting sqref="V24:W24">
    <cfRule type="containsText" dxfId="6174" priority="6892" operator="containsText" text="FAT">
      <formula>NOT(ISERROR(SEARCH("FAT",V24)))</formula>
    </cfRule>
    <cfRule type="containsText" dxfId="6173" priority="6893" operator="containsText" text="FIRE">
      <formula>NOT(ISERROR(SEARCH("FIRE",V24)))</formula>
    </cfRule>
    <cfRule type="containsText" dxfId="6172" priority="6894" operator="containsText" text="COSH">
      <formula>NOT(ISERROR(SEARCH("COSH",V24)))</formula>
    </cfRule>
  </conditionalFormatting>
  <conditionalFormatting sqref="X24">
    <cfRule type="containsText" dxfId="6171" priority="6889" operator="containsText" text="FAT">
      <formula>NOT(ISERROR(SEARCH("FAT",X24)))</formula>
    </cfRule>
    <cfRule type="containsText" dxfId="6170" priority="6890" operator="containsText" text="FIRE">
      <formula>NOT(ISERROR(SEARCH("FIRE",X24)))</formula>
    </cfRule>
    <cfRule type="containsText" dxfId="6169" priority="6891" operator="containsText" text="COSH">
      <formula>NOT(ISERROR(SEARCH("COSH",X24)))</formula>
    </cfRule>
  </conditionalFormatting>
  <conditionalFormatting sqref="V24:W24">
    <cfRule type="containsText" dxfId="6168" priority="6886" operator="containsText" text="FAT">
      <formula>NOT(ISERROR(SEARCH("FAT",V24)))</formula>
    </cfRule>
    <cfRule type="containsText" dxfId="6167" priority="6887" operator="containsText" text="FIRE">
      <formula>NOT(ISERROR(SEARCH("FIRE",V24)))</formula>
    </cfRule>
    <cfRule type="containsText" dxfId="6166" priority="6888" operator="containsText" text="COSH">
      <formula>NOT(ISERROR(SEARCH("COSH",V24)))</formula>
    </cfRule>
  </conditionalFormatting>
  <conditionalFormatting sqref="X24">
    <cfRule type="containsText" dxfId="6165" priority="6883" operator="containsText" text="FAT">
      <formula>NOT(ISERROR(SEARCH("FAT",X24)))</formula>
    </cfRule>
    <cfRule type="containsText" dxfId="6164" priority="6884" operator="containsText" text="FIRE">
      <formula>NOT(ISERROR(SEARCH("FIRE",X24)))</formula>
    </cfRule>
    <cfRule type="containsText" dxfId="6163" priority="6885" operator="containsText" text="COSH">
      <formula>NOT(ISERROR(SEARCH("COSH",X24)))</formula>
    </cfRule>
  </conditionalFormatting>
  <conditionalFormatting sqref="X27:X31">
    <cfRule type="containsText" dxfId="6162" priority="6880" operator="containsText" text="FAT">
      <formula>NOT(ISERROR(SEARCH("FAT",X27)))</formula>
    </cfRule>
    <cfRule type="containsText" dxfId="6161" priority="6881" operator="containsText" text="FIRE">
      <formula>NOT(ISERROR(SEARCH("FIRE",X27)))</formula>
    </cfRule>
    <cfRule type="containsText" dxfId="6160" priority="6882" operator="containsText" text="COSH">
      <formula>NOT(ISERROR(SEARCH("COSH",X27)))</formula>
    </cfRule>
  </conditionalFormatting>
  <conditionalFormatting sqref="X27:X31">
    <cfRule type="containsText" dxfId="6159" priority="6877" operator="containsText" text="FAT">
      <formula>NOT(ISERROR(SEARCH("FAT",X27)))</formula>
    </cfRule>
    <cfRule type="containsText" dxfId="6158" priority="6878" operator="containsText" text="FIRE">
      <formula>NOT(ISERROR(SEARCH("FIRE",X27)))</formula>
    </cfRule>
    <cfRule type="containsText" dxfId="6157" priority="6879" operator="containsText" text="COSH">
      <formula>NOT(ISERROR(SEARCH("COSH",X27)))</formula>
    </cfRule>
  </conditionalFormatting>
  <conditionalFormatting sqref="X27:X31">
    <cfRule type="containsText" dxfId="6156" priority="6874" operator="containsText" text="FAT">
      <formula>NOT(ISERROR(SEARCH("FAT",X27)))</formula>
    </cfRule>
    <cfRule type="containsText" dxfId="6155" priority="6875" operator="containsText" text="FIRE">
      <formula>NOT(ISERROR(SEARCH("FIRE",X27)))</formula>
    </cfRule>
    <cfRule type="containsText" dxfId="6154" priority="6876" operator="containsText" text="COSH">
      <formula>NOT(ISERROR(SEARCH("COSH",X27)))</formula>
    </cfRule>
  </conditionalFormatting>
  <conditionalFormatting sqref="X27:X31">
    <cfRule type="containsText" dxfId="6153" priority="6871" operator="containsText" text="FAT">
      <formula>NOT(ISERROR(SEARCH("FAT",X27)))</formula>
    </cfRule>
    <cfRule type="containsText" dxfId="6152" priority="6872" operator="containsText" text="FIRE">
      <formula>NOT(ISERROR(SEARCH("FIRE",X27)))</formula>
    </cfRule>
    <cfRule type="containsText" dxfId="6151" priority="6873" operator="containsText" text="COSH">
      <formula>NOT(ISERROR(SEARCH("COSH",X27)))</formula>
    </cfRule>
  </conditionalFormatting>
  <conditionalFormatting sqref="X27:X31">
    <cfRule type="containsText" dxfId="6150" priority="6868" operator="containsText" text="FAT">
      <formula>NOT(ISERROR(SEARCH("FAT",X27)))</formula>
    </cfRule>
    <cfRule type="containsText" dxfId="6149" priority="6869" operator="containsText" text="FIRE">
      <formula>NOT(ISERROR(SEARCH("FIRE",X27)))</formula>
    </cfRule>
    <cfRule type="containsText" dxfId="6148" priority="6870" operator="containsText" text="COSH">
      <formula>NOT(ISERROR(SEARCH("COSH",X27)))</formula>
    </cfRule>
  </conditionalFormatting>
  <conditionalFormatting sqref="X27:X31">
    <cfRule type="containsText" dxfId="6147" priority="6865" operator="containsText" text="FAT">
      <formula>NOT(ISERROR(SEARCH("FAT",X27)))</formula>
    </cfRule>
    <cfRule type="containsText" dxfId="6146" priority="6866" operator="containsText" text="FIRE">
      <formula>NOT(ISERROR(SEARCH("FIRE",X27)))</formula>
    </cfRule>
    <cfRule type="containsText" dxfId="6145" priority="6867" operator="containsText" text="COSH">
      <formula>NOT(ISERROR(SEARCH("COSH",X27)))</formula>
    </cfRule>
  </conditionalFormatting>
  <conditionalFormatting sqref="P24:P26 Q26:S26 U26:AB26 Q25:AA25">
    <cfRule type="containsText" dxfId="6144" priority="6862" operator="containsText" text="FAT">
      <formula>NOT(ISERROR(SEARCH("FAT",P24)))</formula>
    </cfRule>
    <cfRule type="containsText" dxfId="6143" priority="6863" operator="containsText" text="FIRE">
      <formula>NOT(ISERROR(SEARCH("FIRE",P24)))</formula>
    </cfRule>
    <cfRule type="containsText" dxfId="6142" priority="6864" operator="containsText" text="COSH">
      <formula>NOT(ISERROR(SEARCH("COSH",P24)))</formula>
    </cfRule>
  </conditionalFormatting>
  <conditionalFormatting sqref="P24:P26 Q26:S26 U26:AB26 Q25:AA25">
    <cfRule type="containsText" dxfId="6141" priority="6859" operator="containsText" text="FAT">
      <formula>NOT(ISERROR(SEARCH("FAT",P24)))</formula>
    </cfRule>
    <cfRule type="containsText" dxfId="6140" priority="6860" operator="containsText" text="FIRE">
      <formula>NOT(ISERROR(SEARCH("FIRE",P24)))</formula>
    </cfRule>
    <cfRule type="containsText" dxfId="6139" priority="6861" operator="containsText" text="COSH">
      <formula>NOT(ISERROR(SEARCH("COSH",P24)))</formula>
    </cfRule>
  </conditionalFormatting>
  <conditionalFormatting sqref="P24:P26 Q26:S26 U26:AB26 Q25:AA25">
    <cfRule type="containsText" dxfId="6138" priority="6856" operator="containsText" text="FAT">
      <formula>NOT(ISERROR(SEARCH("FAT",P24)))</formula>
    </cfRule>
    <cfRule type="containsText" dxfId="6137" priority="6857" operator="containsText" text="FIRE">
      <formula>NOT(ISERROR(SEARCH("FIRE",P24)))</formula>
    </cfRule>
    <cfRule type="containsText" dxfId="6136" priority="6858" operator="containsText" text="COSH">
      <formula>NOT(ISERROR(SEARCH("COSH",P24)))</formula>
    </cfRule>
  </conditionalFormatting>
  <conditionalFormatting sqref="P24:P26 Q26:S26 U26:AB26 Q25:AA25">
    <cfRule type="containsText" dxfId="6135" priority="6853" operator="containsText" text="FAT">
      <formula>NOT(ISERROR(SEARCH("FAT",P24)))</formula>
    </cfRule>
    <cfRule type="containsText" dxfId="6134" priority="6854" operator="containsText" text="FIRE">
      <formula>NOT(ISERROR(SEARCH("FIRE",P24)))</formula>
    </cfRule>
    <cfRule type="containsText" dxfId="6133" priority="6855" operator="containsText" text="COSH">
      <formula>NOT(ISERROR(SEARCH("COSH",P24)))</formula>
    </cfRule>
  </conditionalFormatting>
  <conditionalFormatting sqref="AD24:AD27">
    <cfRule type="containsText" dxfId="6132" priority="6850" operator="containsText" text="FAT">
      <formula>NOT(ISERROR(SEARCH("FAT",AD24)))</formula>
    </cfRule>
    <cfRule type="containsText" dxfId="6131" priority="6851" operator="containsText" text="FIRE">
      <formula>NOT(ISERROR(SEARCH("FIRE",AD24)))</formula>
    </cfRule>
    <cfRule type="containsText" dxfId="6130" priority="6852" operator="containsText" text="COSH">
      <formula>NOT(ISERROR(SEARCH("COSH",AD24)))</formula>
    </cfRule>
  </conditionalFormatting>
  <conditionalFormatting sqref="AE24:AE26">
    <cfRule type="containsText" dxfId="6129" priority="6847" operator="containsText" text="FAT">
      <formula>NOT(ISERROR(SEARCH("FAT",AE24)))</formula>
    </cfRule>
    <cfRule type="containsText" dxfId="6128" priority="6848" operator="containsText" text="FIRE">
      <formula>NOT(ISERROR(SEARCH("FIRE",AE24)))</formula>
    </cfRule>
    <cfRule type="containsText" dxfId="6127" priority="6849" operator="containsText" text="COSH">
      <formula>NOT(ISERROR(SEARCH("COSH",AE24)))</formula>
    </cfRule>
  </conditionalFormatting>
  <conditionalFormatting sqref="AD24:AE26 AD27">
    <cfRule type="containsText" dxfId="6126" priority="6844" operator="containsText" text="FAT">
      <formula>NOT(ISERROR(SEARCH("FAT",AD24)))</formula>
    </cfRule>
    <cfRule type="containsText" dxfId="6125" priority="6845" operator="containsText" text="FIRE">
      <formula>NOT(ISERROR(SEARCH("FIRE",AD24)))</formula>
    </cfRule>
    <cfRule type="containsText" dxfId="6124" priority="6846" operator="containsText" text="COSH">
      <formula>NOT(ISERROR(SEARCH("COSH",AD24)))</formula>
    </cfRule>
  </conditionalFormatting>
  <conditionalFormatting sqref="AD24:AE26 AD27">
    <cfRule type="containsText" dxfId="6123" priority="6841" operator="containsText" text="FAT">
      <formula>NOT(ISERROR(SEARCH("FAT",AD24)))</formula>
    </cfRule>
    <cfRule type="containsText" dxfId="6122" priority="6842" operator="containsText" text="FIRE">
      <formula>NOT(ISERROR(SEARCH("FIRE",AD24)))</formula>
    </cfRule>
    <cfRule type="containsText" dxfId="6121" priority="6843" operator="containsText" text="COSH">
      <formula>NOT(ISERROR(SEARCH("COSH",AD24)))</formula>
    </cfRule>
  </conditionalFormatting>
  <conditionalFormatting sqref="AD24:AE26 AD27">
    <cfRule type="containsText" dxfId="6120" priority="6838" operator="containsText" text="FAT">
      <formula>NOT(ISERROR(SEARCH("FAT",AD24)))</formula>
    </cfRule>
    <cfRule type="containsText" dxfId="6119" priority="6839" operator="containsText" text="FIRE">
      <formula>NOT(ISERROR(SEARCH("FIRE",AD24)))</formula>
    </cfRule>
    <cfRule type="containsText" dxfId="6118" priority="6840" operator="containsText" text="COSH">
      <formula>NOT(ISERROR(SEARCH("COSH",AD24)))</formula>
    </cfRule>
  </conditionalFormatting>
  <conditionalFormatting sqref="V27:W31">
    <cfRule type="containsText" dxfId="6117" priority="6835" operator="containsText" text="FAT">
      <formula>NOT(ISERROR(SEARCH("FAT",V27)))</formula>
    </cfRule>
    <cfRule type="containsText" dxfId="6116" priority="6836" operator="containsText" text="FIRE">
      <formula>NOT(ISERROR(SEARCH("FIRE",V27)))</formula>
    </cfRule>
    <cfRule type="containsText" dxfId="6115" priority="6837" operator="containsText" text="COSH">
      <formula>NOT(ISERROR(SEARCH("COSH",V27)))</formula>
    </cfRule>
  </conditionalFormatting>
  <conditionalFormatting sqref="X27:X31">
    <cfRule type="containsText" dxfId="6114" priority="6832" operator="containsText" text="FAT">
      <formula>NOT(ISERROR(SEARCH("FAT",X27)))</formula>
    </cfRule>
    <cfRule type="containsText" dxfId="6113" priority="6833" operator="containsText" text="FIRE">
      <formula>NOT(ISERROR(SEARCH("FIRE",X27)))</formula>
    </cfRule>
    <cfRule type="containsText" dxfId="6112" priority="6834" operator="containsText" text="COSH">
      <formula>NOT(ISERROR(SEARCH("COSH",X27)))</formula>
    </cfRule>
  </conditionalFormatting>
  <conditionalFormatting sqref="X27:X31">
    <cfRule type="containsText" dxfId="6111" priority="6829" operator="containsText" text="FAT">
      <formula>NOT(ISERROR(SEARCH("FAT",X27)))</formula>
    </cfRule>
    <cfRule type="containsText" dxfId="6110" priority="6830" operator="containsText" text="FIRE">
      <formula>NOT(ISERROR(SEARCH("FIRE",X27)))</formula>
    </cfRule>
    <cfRule type="containsText" dxfId="6109" priority="6831" operator="containsText" text="COSH">
      <formula>NOT(ISERROR(SEARCH("COSH",X27)))</formula>
    </cfRule>
  </conditionalFormatting>
  <conditionalFormatting sqref="V27:W31">
    <cfRule type="containsText" dxfId="6108" priority="6826" operator="containsText" text="FAT">
      <formula>NOT(ISERROR(SEARCH("FAT",V27)))</formula>
    </cfRule>
    <cfRule type="containsText" dxfId="6107" priority="6827" operator="containsText" text="FIRE">
      <formula>NOT(ISERROR(SEARCH("FIRE",V27)))</formula>
    </cfRule>
    <cfRule type="containsText" dxfId="6106" priority="6828" operator="containsText" text="COSH">
      <formula>NOT(ISERROR(SEARCH("COSH",V27)))</formula>
    </cfRule>
  </conditionalFormatting>
  <conditionalFormatting sqref="X27:X31">
    <cfRule type="containsText" dxfId="6105" priority="6823" operator="containsText" text="FAT">
      <formula>NOT(ISERROR(SEARCH("FAT",X27)))</formula>
    </cfRule>
    <cfRule type="containsText" dxfId="6104" priority="6824" operator="containsText" text="FIRE">
      <formula>NOT(ISERROR(SEARCH("FIRE",X27)))</formula>
    </cfRule>
    <cfRule type="containsText" dxfId="6103" priority="6825" operator="containsText" text="COSH">
      <formula>NOT(ISERROR(SEARCH("COSH",X27)))</formula>
    </cfRule>
  </conditionalFormatting>
  <conditionalFormatting sqref="V27:W31">
    <cfRule type="containsText" dxfId="6102" priority="6820" operator="containsText" text="FAT">
      <formula>NOT(ISERROR(SEARCH("FAT",V27)))</formula>
    </cfRule>
    <cfRule type="containsText" dxfId="6101" priority="6821" operator="containsText" text="FIRE">
      <formula>NOT(ISERROR(SEARCH("FIRE",V27)))</formula>
    </cfRule>
    <cfRule type="containsText" dxfId="6100" priority="6822" operator="containsText" text="COSH">
      <formula>NOT(ISERROR(SEARCH("COSH",V27)))</formula>
    </cfRule>
  </conditionalFormatting>
  <conditionalFormatting sqref="X27:X31">
    <cfRule type="containsText" dxfId="6099" priority="6817" operator="containsText" text="FAT">
      <formula>NOT(ISERROR(SEARCH("FAT",X27)))</formula>
    </cfRule>
    <cfRule type="containsText" dxfId="6098" priority="6818" operator="containsText" text="FIRE">
      <formula>NOT(ISERROR(SEARCH("FIRE",X27)))</formula>
    </cfRule>
    <cfRule type="containsText" dxfId="6097" priority="6819" operator="containsText" text="COSH">
      <formula>NOT(ISERROR(SEARCH("COSH",X27)))</formula>
    </cfRule>
  </conditionalFormatting>
  <conditionalFormatting sqref="V27:W31">
    <cfRule type="containsText" dxfId="6096" priority="6814" operator="containsText" text="FAT">
      <formula>NOT(ISERROR(SEARCH("FAT",V27)))</formula>
    </cfRule>
    <cfRule type="containsText" dxfId="6095" priority="6815" operator="containsText" text="FIRE">
      <formula>NOT(ISERROR(SEARCH("FIRE",V27)))</formula>
    </cfRule>
    <cfRule type="containsText" dxfId="6094" priority="6816" operator="containsText" text="COSH">
      <formula>NOT(ISERROR(SEARCH("COSH",V27)))</formula>
    </cfRule>
  </conditionalFormatting>
  <conditionalFormatting sqref="X27:X31">
    <cfRule type="containsText" dxfId="6093" priority="6811" operator="containsText" text="FAT">
      <formula>NOT(ISERROR(SEARCH("FAT",X27)))</formula>
    </cfRule>
    <cfRule type="containsText" dxfId="6092" priority="6812" operator="containsText" text="FIRE">
      <formula>NOT(ISERROR(SEARCH("FIRE",X27)))</formula>
    </cfRule>
    <cfRule type="containsText" dxfId="6091" priority="6813" operator="containsText" text="COSH">
      <formula>NOT(ISERROR(SEARCH("COSH",X27)))</formula>
    </cfRule>
  </conditionalFormatting>
  <conditionalFormatting sqref="V27:W31">
    <cfRule type="containsText" dxfId="6090" priority="6808" operator="containsText" text="FAT">
      <formula>NOT(ISERROR(SEARCH("FAT",V27)))</formula>
    </cfRule>
    <cfRule type="containsText" dxfId="6089" priority="6809" operator="containsText" text="FIRE">
      <formula>NOT(ISERROR(SEARCH("FIRE",V27)))</formula>
    </cfRule>
    <cfRule type="containsText" dxfId="6088" priority="6810" operator="containsText" text="COSH">
      <formula>NOT(ISERROR(SEARCH("COSH",V27)))</formula>
    </cfRule>
  </conditionalFormatting>
  <conditionalFormatting sqref="X27:X31">
    <cfRule type="containsText" dxfId="6087" priority="6805" operator="containsText" text="FAT">
      <formula>NOT(ISERROR(SEARCH("FAT",X27)))</formula>
    </cfRule>
    <cfRule type="containsText" dxfId="6086" priority="6806" operator="containsText" text="FIRE">
      <formula>NOT(ISERROR(SEARCH("FIRE",X27)))</formula>
    </cfRule>
    <cfRule type="containsText" dxfId="6085" priority="6807" operator="containsText" text="COSH">
      <formula>NOT(ISERROR(SEARCH("COSH",X27)))</formula>
    </cfRule>
  </conditionalFormatting>
  <conditionalFormatting sqref="V27:W31">
    <cfRule type="containsText" dxfId="6084" priority="6802" operator="containsText" text="FAT">
      <formula>NOT(ISERROR(SEARCH("FAT",V27)))</formula>
    </cfRule>
    <cfRule type="containsText" dxfId="6083" priority="6803" operator="containsText" text="FIRE">
      <formula>NOT(ISERROR(SEARCH("FIRE",V27)))</formula>
    </cfRule>
    <cfRule type="containsText" dxfId="6082" priority="6804" operator="containsText" text="COSH">
      <formula>NOT(ISERROR(SEARCH("COSH",V27)))</formula>
    </cfRule>
  </conditionalFormatting>
  <conditionalFormatting sqref="X27:X31">
    <cfRule type="containsText" dxfId="6081" priority="6799" operator="containsText" text="FAT">
      <formula>NOT(ISERROR(SEARCH("FAT",X27)))</formula>
    </cfRule>
    <cfRule type="containsText" dxfId="6080" priority="6800" operator="containsText" text="FIRE">
      <formula>NOT(ISERROR(SEARCH("FIRE",X27)))</formula>
    </cfRule>
    <cfRule type="containsText" dxfId="6079" priority="6801" operator="containsText" text="COSH">
      <formula>NOT(ISERROR(SEARCH("COSH",X27)))</formula>
    </cfRule>
  </conditionalFormatting>
  <conditionalFormatting sqref="V28:W29">
    <cfRule type="containsText" dxfId="6078" priority="6796" operator="containsText" text="FAT">
      <formula>NOT(ISERROR(SEARCH("FAT",V28)))</formula>
    </cfRule>
    <cfRule type="containsText" dxfId="6077" priority="6797" operator="containsText" text="FIRE">
      <formula>NOT(ISERROR(SEARCH("FIRE",V28)))</formula>
    </cfRule>
    <cfRule type="containsText" dxfId="6076" priority="6798" operator="containsText" text="COSH">
      <formula>NOT(ISERROR(SEARCH("COSH",V28)))</formula>
    </cfRule>
  </conditionalFormatting>
  <conditionalFormatting sqref="X28:X29">
    <cfRule type="containsText" dxfId="6075" priority="6793" operator="containsText" text="FAT">
      <formula>NOT(ISERROR(SEARCH("FAT",X28)))</formula>
    </cfRule>
    <cfRule type="containsText" dxfId="6074" priority="6794" operator="containsText" text="FIRE">
      <formula>NOT(ISERROR(SEARCH("FIRE",X28)))</formula>
    </cfRule>
    <cfRule type="containsText" dxfId="6073" priority="6795" operator="containsText" text="COSH">
      <formula>NOT(ISERROR(SEARCH("COSH",X28)))</formula>
    </cfRule>
  </conditionalFormatting>
  <conditionalFormatting sqref="X28:X29">
    <cfRule type="containsText" dxfId="6072" priority="6790" operator="containsText" text="FAT">
      <formula>NOT(ISERROR(SEARCH("FAT",X28)))</formula>
    </cfRule>
    <cfRule type="containsText" dxfId="6071" priority="6791" operator="containsText" text="FIRE">
      <formula>NOT(ISERROR(SEARCH("FIRE",X28)))</formula>
    </cfRule>
    <cfRule type="containsText" dxfId="6070" priority="6792" operator="containsText" text="COSH">
      <formula>NOT(ISERROR(SEARCH("COSH",X28)))</formula>
    </cfRule>
  </conditionalFormatting>
  <conditionalFormatting sqref="V28:W29">
    <cfRule type="containsText" dxfId="6069" priority="6787" operator="containsText" text="FAT">
      <formula>NOT(ISERROR(SEARCH("FAT",V28)))</formula>
    </cfRule>
    <cfRule type="containsText" dxfId="6068" priority="6788" operator="containsText" text="FIRE">
      <formula>NOT(ISERROR(SEARCH("FIRE",V28)))</formula>
    </cfRule>
    <cfRule type="containsText" dxfId="6067" priority="6789" operator="containsText" text="COSH">
      <formula>NOT(ISERROR(SEARCH("COSH",V28)))</formula>
    </cfRule>
  </conditionalFormatting>
  <conditionalFormatting sqref="X28:X29">
    <cfRule type="containsText" dxfId="6066" priority="6784" operator="containsText" text="FAT">
      <formula>NOT(ISERROR(SEARCH("FAT",X28)))</formula>
    </cfRule>
    <cfRule type="containsText" dxfId="6065" priority="6785" operator="containsText" text="FIRE">
      <formula>NOT(ISERROR(SEARCH("FIRE",X28)))</formula>
    </cfRule>
    <cfRule type="containsText" dxfId="6064" priority="6786" operator="containsText" text="COSH">
      <formula>NOT(ISERROR(SEARCH("COSH",X28)))</formula>
    </cfRule>
  </conditionalFormatting>
  <conditionalFormatting sqref="V28:W29">
    <cfRule type="containsText" dxfId="6063" priority="6781" operator="containsText" text="FAT">
      <formula>NOT(ISERROR(SEARCH("FAT",V28)))</formula>
    </cfRule>
    <cfRule type="containsText" dxfId="6062" priority="6782" operator="containsText" text="FIRE">
      <formula>NOT(ISERROR(SEARCH("FIRE",V28)))</formula>
    </cfRule>
    <cfRule type="containsText" dxfId="6061" priority="6783" operator="containsText" text="COSH">
      <formula>NOT(ISERROR(SEARCH("COSH",V28)))</formula>
    </cfRule>
  </conditionalFormatting>
  <conditionalFormatting sqref="X28:X29">
    <cfRule type="containsText" dxfId="6060" priority="6778" operator="containsText" text="FAT">
      <formula>NOT(ISERROR(SEARCH("FAT",X28)))</formula>
    </cfRule>
    <cfRule type="containsText" dxfId="6059" priority="6779" operator="containsText" text="FIRE">
      <formula>NOT(ISERROR(SEARCH("FIRE",X28)))</formula>
    </cfRule>
    <cfRule type="containsText" dxfId="6058" priority="6780" operator="containsText" text="COSH">
      <formula>NOT(ISERROR(SEARCH("COSH",X28)))</formula>
    </cfRule>
  </conditionalFormatting>
  <conditionalFormatting sqref="V28:W29">
    <cfRule type="containsText" dxfId="6057" priority="6775" operator="containsText" text="FAT">
      <formula>NOT(ISERROR(SEARCH("FAT",V28)))</formula>
    </cfRule>
    <cfRule type="containsText" dxfId="6056" priority="6776" operator="containsText" text="FIRE">
      <formula>NOT(ISERROR(SEARCH("FIRE",V28)))</formula>
    </cfRule>
    <cfRule type="containsText" dxfId="6055" priority="6777" operator="containsText" text="COSH">
      <formula>NOT(ISERROR(SEARCH("COSH",V28)))</formula>
    </cfRule>
  </conditionalFormatting>
  <conditionalFormatting sqref="X28:X29">
    <cfRule type="containsText" dxfId="6054" priority="6772" operator="containsText" text="FAT">
      <formula>NOT(ISERROR(SEARCH("FAT",X28)))</formula>
    </cfRule>
    <cfRule type="containsText" dxfId="6053" priority="6773" operator="containsText" text="FIRE">
      <formula>NOT(ISERROR(SEARCH("FIRE",X28)))</formula>
    </cfRule>
    <cfRule type="containsText" dxfId="6052" priority="6774" operator="containsText" text="COSH">
      <formula>NOT(ISERROR(SEARCH("COSH",X28)))</formula>
    </cfRule>
  </conditionalFormatting>
  <conditionalFormatting sqref="V28:W29">
    <cfRule type="containsText" dxfId="6051" priority="6769" operator="containsText" text="FAT">
      <formula>NOT(ISERROR(SEARCH("FAT",V28)))</formula>
    </cfRule>
    <cfRule type="containsText" dxfId="6050" priority="6770" operator="containsText" text="FIRE">
      <formula>NOT(ISERROR(SEARCH("FIRE",V28)))</formula>
    </cfRule>
    <cfRule type="containsText" dxfId="6049" priority="6771" operator="containsText" text="COSH">
      <formula>NOT(ISERROR(SEARCH("COSH",V28)))</formula>
    </cfRule>
  </conditionalFormatting>
  <conditionalFormatting sqref="X28:X29">
    <cfRule type="containsText" dxfId="6048" priority="6766" operator="containsText" text="FAT">
      <formula>NOT(ISERROR(SEARCH("FAT",X28)))</formula>
    </cfRule>
    <cfRule type="containsText" dxfId="6047" priority="6767" operator="containsText" text="FIRE">
      <formula>NOT(ISERROR(SEARCH("FIRE",X28)))</formula>
    </cfRule>
    <cfRule type="containsText" dxfId="6046" priority="6768" operator="containsText" text="COSH">
      <formula>NOT(ISERROR(SEARCH("COSH",X28)))</formula>
    </cfRule>
  </conditionalFormatting>
  <conditionalFormatting sqref="V28:W29">
    <cfRule type="containsText" dxfId="6045" priority="6763" operator="containsText" text="FAT">
      <formula>NOT(ISERROR(SEARCH("FAT",V28)))</formula>
    </cfRule>
    <cfRule type="containsText" dxfId="6044" priority="6764" operator="containsText" text="FIRE">
      <formula>NOT(ISERROR(SEARCH("FIRE",V28)))</formula>
    </cfRule>
    <cfRule type="containsText" dxfId="6043" priority="6765" operator="containsText" text="COSH">
      <formula>NOT(ISERROR(SEARCH("COSH",V28)))</formula>
    </cfRule>
  </conditionalFormatting>
  <conditionalFormatting sqref="X28:X29">
    <cfRule type="containsText" dxfId="6042" priority="6760" operator="containsText" text="FAT">
      <formula>NOT(ISERROR(SEARCH("FAT",X28)))</formula>
    </cfRule>
    <cfRule type="containsText" dxfId="6041" priority="6761" operator="containsText" text="FIRE">
      <formula>NOT(ISERROR(SEARCH("FIRE",X28)))</formula>
    </cfRule>
    <cfRule type="containsText" dxfId="6040" priority="6762" operator="containsText" text="COSH">
      <formula>NOT(ISERROR(SEARCH("COSH",X28)))</formula>
    </cfRule>
  </conditionalFormatting>
  <conditionalFormatting sqref="P27:P33">
    <cfRule type="containsText" dxfId="6039" priority="6757" operator="containsText" text="FAT">
      <formula>NOT(ISERROR(SEARCH("FAT",P27)))</formula>
    </cfRule>
    <cfRule type="containsText" dxfId="6038" priority="6758" operator="containsText" text="FIRE">
      <formula>NOT(ISERROR(SEARCH("FIRE",P27)))</formula>
    </cfRule>
    <cfRule type="containsText" dxfId="6037" priority="6759" operator="containsText" text="COSH">
      <formula>NOT(ISERROR(SEARCH("COSH",P27)))</formula>
    </cfRule>
  </conditionalFormatting>
  <conditionalFormatting sqref="P27:P33">
    <cfRule type="containsText" dxfId="6036" priority="6754" operator="containsText" text="FAT">
      <formula>NOT(ISERROR(SEARCH("FAT",P27)))</formula>
    </cfRule>
    <cfRule type="containsText" dxfId="6035" priority="6755" operator="containsText" text="FIRE">
      <formula>NOT(ISERROR(SEARCH("FIRE",P27)))</formula>
    </cfRule>
    <cfRule type="containsText" dxfId="6034" priority="6756" operator="containsText" text="COSH">
      <formula>NOT(ISERROR(SEARCH("COSH",P27)))</formula>
    </cfRule>
  </conditionalFormatting>
  <conditionalFormatting sqref="P27:P33">
    <cfRule type="containsText" dxfId="6033" priority="6751" operator="containsText" text="FAT">
      <formula>NOT(ISERROR(SEARCH("FAT",P27)))</formula>
    </cfRule>
    <cfRule type="containsText" dxfId="6032" priority="6752" operator="containsText" text="FIRE">
      <formula>NOT(ISERROR(SEARCH("FIRE",P27)))</formula>
    </cfRule>
    <cfRule type="containsText" dxfId="6031" priority="6753" operator="containsText" text="COSH">
      <formula>NOT(ISERROR(SEARCH("COSH",P27)))</formula>
    </cfRule>
  </conditionalFormatting>
  <conditionalFormatting sqref="P27:P33">
    <cfRule type="containsText" dxfId="6030" priority="6748" operator="containsText" text="FAT">
      <formula>NOT(ISERROR(SEARCH("FAT",P27)))</formula>
    </cfRule>
    <cfRule type="containsText" dxfId="6029" priority="6749" operator="containsText" text="FIRE">
      <formula>NOT(ISERROR(SEARCH("FIRE",P27)))</formula>
    </cfRule>
    <cfRule type="containsText" dxfId="6028" priority="6750" operator="containsText" text="COSH">
      <formula>NOT(ISERROR(SEARCH("COSH",P27)))</formula>
    </cfRule>
  </conditionalFormatting>
  <conditionalFormatting sqref="AD27:AD29">
    <cfRule type="containsText" dxfId="6027" priority="6745" operator="containsText" text="FAT">
      <formula>NOT(ISERROR(SEARCH("FAT",AD27)))</formula>
    </cfRule>
    <cfRule type="containsText" dxfId="6026" priority="6746" operator="containsText" text="FIRE">
      <formula>NOT(ISERROR(SEARCH("FIRE",AD27)))</formula>
    </cfRule>
    <cfRule type="containsText" dxfId="6025" priority="6747" operator="containsText" text="COSH">
      <formula>NOT(ISERROR(SEARCH("COSH",AD27)))</formula>
    </cfRule>
  </conditionalFormatting>
  <conditionalFormatting sqref="AE27:AE29">
    <cfRule type="containsText" dxfId="6024" priority="6742" operator="containsText" text="FAT">
      <formula>NOT(ISERROR(SEARCH("FAT",AE27)))</formula>
    </cfRule>
    <cfRule type="containsText" dxfId="6023" priority="6743" operator="containsText" text="FIRE">
      <formula>NOT(ISERROR(SEARCH("FIRE",AE27)))</formula>
    </cfRule>
    <cfRule type="containsText" dxfId="6022" priority="6744" operator="containsText" text="COSH">
      <formula>NOT(ISERROR(SEARCH("COSH",AE27)))</formula>
    </cfRule>
  </conditionalFormatting>
  <conditionalFormatting sqref="AD27:AD29">
    <cfRule type="containsText" dxfId="6021" priority="6739" operator="containsText" text="FAT">
      <formula>NOT(ISERROR(SEARCH("FAT",AD27)))</formula>
    </cfRule>
    <cfRule type="containsText" dxfId="6020" priority="6740" operator="containsText" text="FIRE">
      <formula>NOT(ISERROR(SEARCH("FIRE",AD27)))</formula>
    </cfRule>
    <cfRule type="containsText" dxfId="6019" priority="6741" operator="containsText" text="COSH">
      <formula>NOT(ISERROR(SEARCH("COSH",AD27)))</formula>
    </cfRule>
  </conditionalFormatting>
  <conditionalFormatting sqref="AE27:AE29">
    <cfRule type="containsText" dxfId="6018" priority="6736" operator="containsText" text="FAT">
      <formula>NOT(ISERROR(SEARCH("FAT",AE27)))</formula>
    </cfRule>
    <cfRule type="containsText" dxfId="6017" priority="6737" operator="containsText" text="FIRE">
      <formula>NOT(ISERROR(SEARCH("FIRE",AE27)))</formula>
    </cfRule>
    <cfRule type="containsText" dxfId="6016" priority="6738" operator="containsText" text="COSH">
      <formula>NOT(ISERROR(SEARCH("COSH",AE27)))</formula>
    </cfRule>
  </conditionalFormatting>
  <conditionalFormatting sqref="AD27:AE29">
    <cfRule type="containsText" dxfId="6015" priority="6733" operator="containsText" text="FAT">
      <formula>NOT(ISERROR(SEARCH("FAT",AD27)))</formula>
    </cfRule>
    <cfRule type="containsText" dxfId="6014" priority="6734" operator="containsText" text="FIRE">
      <formula>NOT(ISERROR(SEARCH("FIRE",AD27)))</formula>
    </cfRule>
    <cfRule type="containsText" dxfId="6013" priority="6735" operator="containsText" text="COSH">
      <formula>NOT(ISERROR(SEARCH("COSH",AD27)))</formula>
    </cfRule>
  </conditionalFormatting>
  <conditionalFormatting sqref="AD27:AE29">
    <cfRule type="containsText" dxfId="6012" priority="6730" operator="containsText" text="FAT">
      <formula>NOT(ISERROR(SEARCH("FAT",AD27)))</formula>
    </cfRule>
    <cfRule type="containsText" dxfId="6011" priority="6731" operator="containsText" text="FIRE">
      <formula>NOT(ISERROR(SEARCH("FIRE",AD27)))</formula>
    </cfRule>
    <cfRule type="containsText" dxfId="6010" priority="6732" operator="containsText" text="COSH">
      <formula>NOT(ISERROR(SEARCH("COSH",AD27)))</formula>
    </cfRule>
  </conditionalFormatting>
  <conditionalFormatting sqref="AD27:AE29">
    <cfRule type="containsText" dxfId="6009" priority="6727" operator="containsText" text="FAT">
      <formula>NOT(ISERROR(SEARCH("FAT",AD27)))</formula>
    </cfRule>
    <cfRule type="containsText" dxfId="6008" priority="6728" operator="containsText" text="FIRE">
      <formula>NOT(ISERROR(SEARCH("FIRE",AD27)))</formula>
    </cfRule>
    <cfRule type="containsText" dxfId="6007" priority="6729" operator="containsText" text="COSH">
      <formula>NOT(ISERROR(SEARCH("COSH",AD27)))</formula>
    </cfRule>
  </conditionalFormatting>
  <conditionalFormatting sqref="P30">
    <cfRule type="containsText" dxfId="6006" priority="6724" operator="containsText" text="FAT">
      <formula>NOT(ISERROR(SEARCH("FAT",P30)))</formula>
    </cfRule>
    <cfRule type="containsText" dxfId="6005" priority="6725" operator="containsText" text="FIRE">
      <formula>NOT(ISERROR(SEARCH("FIRE",P30)))</formula>
    </cfRule>
    <cfRule type="containsText" dxfId="6004" priority="6726" operator="containsText" text="COSH">
      <formula>NOT(ISERROR(SEARCH("COSH",P30)))</formula>
    </cfRule>
  </conditionalFormatting>
  <conditionalFormatting sqref="P30">
    <cfRule type="containsText" dxfId="6003" priority="6721" operator="containsText" text="FAT">
      <formula>NOT(ISERROR(SEARCH("FAT",P30)))</formula>
    </cfRule>
    <cfRule type="containsText" dxfId="6002" priority="6722" operator="containsText" text="FIRE">
      <formula>NOT(ISERROR(SEARCH("FIRE",P30)))</formula>
    </cfRule>
    <cfRule type="containsText" dxfId="6001" priority="6723" operator="containsText" text="COSH">
      <formula>NOT(ISERROR(SEARCH("COSH",P30)))</formula>
    </cfRule>
  </conditionalFormatting>
  <conditionalFormatting sqref="P30">
    <cfRule type="containsText" dxfId="6000" priority="6718" operator="containsText" text="FAT">
      <formula>NOT(ISERROR(SEARCH("FAT",P30)))</formula>
    </cfRule>
    <cfRule type="containsText" dxfId="5999" priority="6719" operator="containsText" text="FIRE">
      <formula>NOT(ISERROR(SEARCH("FIRE",P30)))</formula>
    </cfRule>
    <cfRule type="containsText" dxfId="5998" priority="6720" operator="containsText" text="COSH">
      <formula>NOT(ISERROR(SEARCH("COSH",P30)))</formula>
    </cfRule>
  </conditionalFormatting>
  <conditionalFormatting sqref="P30">
    <cfRule type="containsText" dxfId="5997" priority="6715" operator="containsText" text="FAT">
      <formula>NOT(ISERROR(SEARCH("FAT",P30)))</formula>
    </cfRule>
    <cfRule type="containsText" dxfId="5996" priority="6716" operator="containsText" text="FIRE">
      <formula>NOT(ISERROR(SEARCH("FIRE",P30)))</formula>
    </cfRule>
    <cfRule type="containsText" dxfId="5995" priority="6717" operator="containsText" text="COSH">
      <formula>NOT(ISERROR(SEARCH("COSH",P30)))</formula>
    </cfRule>
  </conditionalFormatting>
  <conditionalFormatting sqref="P30">
    <cfRule type="containsText" dxfId="5994" priority="6712" operator="containsText" text="FAT">
      <formula>NOT(ISERROR(SEARCH("FAT",P30)))</formula>
    </cfRule>
    <cfRule type="containsText" dxfId="5993" priority="6713" operator="containsText" text="FIRE">
      <formula>NOT(ISERROR(SEARCH("FIRE",P30)))</formula>
    </cfRule>
    <cfRule type="containsText" dxfId="5992" priority="6714" operator="containsText" text="COSH">
      <formula>NOT(ISERROR(SEARCH("COSH",P30)))</formula>
    </cfRule>
  </conditionalFormatting>
  <conditionalFormatting sqref="W30:X30">
    <cfRule type="containsText" dxfId="5991" priority="6709" operator="containsText" text="FAT">
      <formula>NOT(ISERROR(SEARCH("FAT",W30)))</formula>
    </cfRule>
    <cfRule type="containsText" dxfId="5990" priority="6710" operator="containsText" text="FIRE">
      <formula>NOT(ISERROR(SEARCH("FIRE",W30)))</formula>
    </cfRule>
    <cfRule type="containsText" dxfId="5989" priority="6711" operator="containsText" text="COSH">
      <formula>NOT(ISERROR(SEARCH("COSH",W30)))</formula>
    </cfRule>
  </conditionalFormatting>
  <conditionalFormatting sqref="W30:X30">
    <cfRule type="containsText" dxfId="5988" priority="6706" operator="containsText" text="FAT">
      <formula>NOT(ISERROR(SEARCH("FAT",W30)))</formula>
    </cfRule>
    <cfRule type="containsText" dxfId="5987" priority="6707" operator="containsText" text="FIRE">
      <formula>NOT(ISERROR(SEARCH("FIRE",W30)))</formula>
    </cfRule>
    <cfRule type="containsText" dxfId="5986" priority="6708" operator="containsText" text="COSH">
      <formula>NOT(ISERROR(SEARCH("COSH",W30)))</formula>
    </cfRule>
  </conditionalFormatting>
  <conditionalFormatting sqref="W30:X30">
    <cfRule type="containsText" dxfId="5985" priority="6703" operator="containsText" text="FAT">
      <formula>NOT(ISERROR(SEARCH("FAT",W30)))</formula>
    </cfRule>
    <cfRule type="containsText" dxfId="5984" priority="6704" operator="containsText" text="FIRE">
      <formula>NOT(ISERROR(SEARCH("FIRE",W30)))</formula>
    </cfRule>
    <cfRule type="containsText" dxfId="5983" priority="6705" operator="containsText" text="COSH">
      <formula>NOT(ISERROR(SEARCH("COSH",W30)))</formula>
    </cfRule>
  </conditionalFormatting>
  <conditionalFormatting sqref="W30:X30">
    <cfRule type="containsText" dxfId="5982" priority="6700" operator="containsText" text="FAT">
      <formula>NOT(ISERROR(SEARCH("FAT",W30)))</formula>
    </cfRule>
    <cfRule type="containsText" dxfId="5981" priority="6701" operator="containsText" text="FIRE">
      <formula>NOT(ISERROR(SEARCH("FIRE",W30)))</formula>
    </cfRule>
    <cfRule type="containsText" dxfId="5980" priority="6702" operator="containsText" text="COSH">
      <formula>NOT(ISERROR(SEARCH("COSH",W30)))</formula>
    </cfRule>
  </conditionalFormatting>
  <conditionalFormatting sqref="W30:X30">
    <cfRule type="containsText" dxfId="5979" priority="6697" operator="containsText" text="FAT">
      <formula>NOT(ISERROR(SEARCH("FAT",W30)))</formula>
    </cfRule>
    <cfRule type="containsText" dxfId="5978" priority="6698" operator="containsText" text="FIRE">
      <formula>NOT(ISERROR(SEARCH("FIRE",W30)))</formula>
    </cfRule>
    <cfRule type="containsText" dxfId="5977" priority="6699" operator="containsText" text="COSH">
      <formula>NOT(ISERROR(SEARCH("COSH",W30)))</formula>
    </cfRule>
  </conditionalFormatting>
  <conditionalFormatting sqref="AD30:AE30">
    <cfRule type="containsText" dxfId="5976" priority="6694" operator="containsText" text="FAT">
      <formula>NOT(ISERROR(SEARCH("FAT",AD30)))</formula>
    </cfRule>
    <cfRule type="containsText" dxfId="5975" priority="6695" operator="containsText" text="FIRE">
      <formula>NOT(ISERROR(SEARCH("FIRE",AD30)))</formula>
    </cfRule>
    <cfRule type="containsText" dxfId="5974" priority="6696" operator="containsText" text="COSH">
      <formula>NOT(ISERROR(SEARCH("COSH",AD30)))</formula>
    </cfRule>
  </conditionalFormatting>
  <conditionalFormatting sqref="AD30:AE30">
    <cfRule type="containsText" dxfId="5973" priority="6691" operator="containsText" text="FAT">
      <formula>NOT(ISERROR(SEARCH("FAT",AD30)))</formula>
    </cfRule>
    <cfRule type="containsText" dxfId="5972" priority="6692" operator="containsText" text="FIRE">
      <formula>NOT(ISERROR(SEARCH("FIRE",AD30)))</formula>
    </cfRule>
    <cfRule type="containsText" dxfId="5971" priority="6693" operator="containsText" text="COSH">
      <formula>NOT(ISERROR(SEARCH("COSH",AD30)))</formula>
    </cfRule>
  </conditionalFormatting>
  <conditionalFormatting sqref="AD30:AE30">
    <cfRule type="containsText" dxfId="5970" priority="6688" operator="containsText" text="FAT">
      <formula>NOT(ISERROR(SEARCH("FAT",AD30)))</formula>
    </cfRule>
    <cfRule type="containsText" dxfId="5969" priority="6689" operator="containsText" text="FIRE">
      <formula>NOT(ISERROR(SEARCH("FIRE",AD30)))</formula>
    </cfRule>
    <cfRule type="containsText" dxfId="5968" priority="6690" operator="containsText" text="COSH">
      <formula>NOT(ISERROR(SEARCH("COSH",AD30)))</formula>
    </cfRule>
  </conditionalFormatting>
  <conditionalFormatting sqref="AD30:AE30">
    <cfRule type="containsText" dxfId="5967" priority="6685" operator="containsText" text="FAT">
      <formula>NOT(ISERROR(SEARCH("FAT",AD30)))</formula>
    </cfRule>
    <cfRule type="containsText" dxfId="5966" priority="6686" operator="containsText" text="FIRE">
      <formula>NOT(ISERROR(SEARCH("FIRE",AD30)))</formula>
    </cfRule>
    <cfRule type="containsText" dxfId="5965" priority="6687" operator="containsText" text="COSH">
      <formula>NOT(ISERROR(SEARCH("COSH",AD30)))</formula>
    </cfRule>
  </conditionalFormatting>
  <conditionalFormatting sqref="AD30:AE30">
    <cfRule type="containsText" dxfId="5964" priority="6682" operator="containsText" text="FAT">
      <formula>NOT(ISERROR(SEARCH("FAT",AD30)))</formula>
    </cfRule>
    <cfRule type="containsText" dxfId="5963" priority="6683" operator="containsText" text="FIRE">
      <formula>NOT(ISERROR(SEARCH("FIRE",AD30)))</formula>
    </cfRule>
    <cfRule type="containsText" dxfId="5962" priority="6684" operator="containsText" text="COSH">
      <formula>NOT(ISERROR(SEARCH("COSH",AD30)))</formula>
    </cfRule>
  </conditionalFormatting>
  <conditionalFormatting sqref="AD31:AE33">
    <cfRule type="containsText" dxfId="5961" priority="6679" operator="containsText" text="FAT">
      <formula>NOT(ISERROR(SEARCH("FAT",AD31)))</formula>
    </cfRule>
    <cfRule type="containsText" dxfId="5960" priority="6680" operator="containsText" text="FIRE">
      <formula>NOT(ISERROR(SEARCH("FIRE",AD31)))</formula>
    </cfRule>
    <cfRule type="containsText" dxfId="5959" priority="6681" operator="containsText" text="COSH">
      <formula>NOT(ISERROR(SEARCH("COSH",AD31)))</formula>
    </cfRule>
  </conditionalFormatting>
  <conditionalFormatting sqref="AD31:AE33">
    <cfRule type="containsText" dxfId="5958" priority="6676" operator="containsText" text="FAT">
      <formula>NOT(ISERROR(SEARCH("FAT",AD31)))</formula>
    </cfRule>
    <cfRule type="containsText" dxfId="5957" priority="6677" operator="containsText" text="FIRE">
      <formula>NOT(ISERROR(SEARCH("FIRE",AD31)))</formula>
    </cfRule>
    <cfRule type="containsText" dxfId="5956" priority="6678" operator="containsText" text="COSH">
      <formula>NOT(ISERROR(SEARCH("COSH",AD31)))</formula>
    </cfRule>
  </conditionalFormatting>
  <conditionalFormatting sqref="AD31:AE33">
    <cfRule type="containsText" dxfId="5955" priority="6673" operator="containsText" text="FAT">
      <formula>NOT(ISERROR(SEARCH("FAT",AD31)))</formula>
    </cfRule>
    <cfRule type="containsText" dxfId="5954" priority="6674" operator="containsText" text="FIRE">
      <formula>NOT(ISERROR(SEARCH("FIRE",AD31)))</formula>
    </cfRule>
    <cfRule type="containsText" dxfId="5953" priority="6675" operator="containsText" text="COSH">
      <formula>NOT(ISERROR(SEARCH("COSH",AD31)))</formula>
    </cfRule>
  </conditionalFormatting>
  <conditionalFormatting sqref="AD31:AE33">
    <cfRule type="containsText" dxfId="5952" priority="6670" operator="containsText" text="FAT">
      <formula>NOT(ISERROR(SEARCH("FAT",AD31)))</formula>
    </cfRule>
    <cfRule type="containsText" dxfId="5951" priority="6671" operator="containsText" text="FIRE">
      <formula>NOT(ISERROR(SEARCH("FIRE",AD31)))</formula>
    </cfRule>
    <cfRule type="containsText" dxfId="5950" priority="6672" operator="containsText" text="COSH">
      <formula>NOT(ISERROR(SEARCH("COSH",AD31)))</formula>
    </cfRule>
  </conditionalFormatting>
  <conditionalFormatting sqref="AD31:AE33">
    <cfRule type="containsText" dxfId="5949" priority="6667" operator="containsText" text="FAT">
      <formula>NOT(ISERROR(SEARCH("FAT",AD31)))</formula>
    </cfRule>
    <cfRule type="containsText" dxfId="5948" priority="6668" operator="containsText" text="FIRE">
      <formula>NOT(ISERROR(SEARCH("FIRE",AD31)))</formula>
    </cfRule>
    <cfRule type="containsText" dxfId="5947" priority="6669" operator="containsText" text="COSH">
      <formula>NOT(ISERROR(SEARCH("COSH",AD31)))</formula>
    </cfRule>
  </conditionalFormatting>
  <conditionalFormatting sqref="P32:Q33 P31">
    <cfRule type="containsText" dxfId="5946" priority="6664" operator="containsText" text="FAT">
      <formula>NOT(ISERROR(SEARCH("FAT",P31)))</formula>
    </cfRule>
    <cfRule type="containsText" dxfId="5945" priority="6665" operator="containsText" text="FIRE">
      <formula>NOT(ISERROR(SEARCH("FIRE",P31)))</formula>
    </cfRule>
    <cfRule type="containsText" dxfId="5944" priority="6666" operator="containsText" text="COSH">
      <formula>NOT(ISERROR(SEARCH("COSH",P31)))</formula>
    </cfRule>
  </conditionalFormatting>
  <conditionalFormatting sqref="P32:Q33 P31">
    <cfRule type="containsText" dxfId="5943" priority="6661" operator="containsText" text="FAT">
      <formula>NOT(ISERROR(SEARCH("FAT",P31)))</formula>
    </cfRule>
    <cfRule type="containsText" dxfId="5942" priority="6662" operator="containsText" text="FIRE">
      <formula>NOT(ISERROR(SEARCH("FIRE",P31)))</formula>
    </cfRule>
    <cfRule type="containsText" dxfId="5941" priority="6663" operator="containsText" text="COSH">
      <formula>NOT(ISERROR(SEARCH("COSH",P31)))</formula>
    </cfRule>
  </conditionalFormatting>
  <conditionalFormatting sqref="P32:Q33 P31">
    <cfRule type="containsText" dxfId="5940" priority="6658" operator="containsText" text="FAT">
      <formula>NOT(ISERROR(SEARCH("FAT",P31)))</formula>
    </cfRule>
    <cfRule type="containsText" dxfId="5939" priority="6659" operator="containsText" text="FIRE">
      <formula>NOT(ISERROR(SEARCH("FIRE",P31)))</formula>
    </cfRule>
    <cfRule type="containsText" dxfId="5938" priority="6660" operator="containsText" text="COSH">
      <formula>NOT(ISERROR(SEARCH("COSH",P31)))</formula>
    </cfRule>
  </conditionalFormatting>
  <conditionalFormatting sqref="P32:Q33 P31">
    <cfRule type="containsText" dxfId="5937" priority="6655" operator="containsText" text="FAT">
      <formula>NOT(ISERROR(SEARCH("FAT",P31)))</formula>
    </cfRule>
    <cfRule type="containsText" dxfId="5936" priority="6656" operator="containsText" text="FIRE">
      <formula>NOT(ISERROR(SEARCH("FIRE",P31)))</formula>
    </cfRule>
    <cfRule type="containsText" dxfId="5935" priority="6657" operator="containsText" text="COSH">
      <formula>NOT(ISERROR(SEARCH("COSH",P31)))</formula>
    </cfRule>
  </conditionalFormatting>
  <conditionalFormatting sqref="V31:W31">
    <cfRule type="containsText" dxfId="5934" priority="6652" operator="containsText" text="FAT">
      <formula>NOT(ISERROR(SEARCH("FAT",V31)))</formula>
    </cfRule>
    <cfRule type="containsText" dxfId="5933" priority="6653" operator="containsText" text="FIRE">
      <formula>NOT(ISERROR(SEARCH("FIRE",V31)))</formula>
    </cfRule>
    <cfRule type="containsText" dxfId="5932" priority="6654" operator="containsText" text="COSH">
      <formula>NOT(ISERROR(SEARCH("COSH",V31)))</formula>
    </cfRule>
  </conditionalFormatting>
  <conditionalFormatting sqref="X31">
    <cfRule type="containsText" dxfId="5931" priority="6649" operator="containsText" text="FAT">
      <formula>NOT(ISERROR(SEARCH("FAT",X31)))</formula>
    </cfRule>
    <cfRule type="containsText" dxfId="5930" priority="6650" operator="containsText" text="FIRE">
      <formula>NOT(ISERROR(SEARCH("FIRE",X31)))</formula>
    </cfRule>
    <cfRule type="containsText" dxfId="5929" priority="6651" operator="containsText" text="COSH">
      <formula>NOT(ISERROR(SEARCH("COSH",X31)))</formula>
    </cfRule>
  </conditionalFormatting>
  <conditionalFormatting sqref="X31">
    <cfRule type="containsText" dxfId="5928" priority="6646" operator="containsText" text="FAT">
      <formula>NOT(ISERROR(SEARCH("FAT",X31)))</formula>
    </cfRule>
    <cfRule type="containsText" dxfId="5927" priority="6647" operator="containsText" text="FIRE">
      <formula>NOT(ISERROR(SEARCH("FIRE",X31)))</formula>
    </cfRule>
    <cfRule type="containsText" dxfId="5926" priority="6648" operator="containsText" text="COSH">
      <formula>NOT(ISERROR(SEARCH("COSH",X31)))</formula>
    </cfRule>
  </conditionalFormatting>
  <conditionalFormatting sqref="V31:W31">
    <cfRule type="containsText" dxfId="5925" priority="6643" operator="containsText" text="FAT">
      <formula>NOT(ISERROR(SEARCH("FAT",V31)))</formula>
    </cfRule>
    <cfRule type="containsText" dxfId="5924" priority="6644" operator="containsText" text="FIRE">
      <formula>NOT(ISERROR(SEARCH("FIRE",V31)))</formula>
    </cfRule>
    <cfRule type="containsText" dxfId="5923" priority="6645" operator="containsText" text="COSH">
      <formula>NOT(ISERROR(SEARCH("COSH",V31)))</formula>
    </cfRule>
  </conditionalFormatting>
  <conditionalFormatting sqref="X31">
    <cfRule type="containsText" dxfId="5922" priority="6640" operator="containsText" text="FAT">
      <formula>NOT(ISERROR(SEARCH("FAT",X31)))</formula>
    </cfRule>
    <cfRule type="containsText" dxfId="5921" priority="6641" operator="containsText" text="FIRE">
      <formula>NOT(ISERROR(SEARCH("FIRE",X31)))</formula>
    </cfRule>
    <cfRule type="containsText" dxfId="5920" priority="6642" operator="containsText" text="COSH">
      <formula>NOT(ISERROR(SEARCH("COSH",X31)))</formula>
    </cfRule>
  </conditionalFormatting>
  <conditionalFormatting sqref="V31:W31">
    <cfRule type="containsText" dxfId="5919" priority="6637" operator="containsText" text="FAT">
      <formula>NOT(ISERROR(SEARCH("FAT",V31)))</formula>
    </cfRule>
    <cfRule type="containsText" dxfId="5918" priority="6638" operator="containsText" text="FIRE">
      <formula>NOT(ISERROR(SEARCH("FIRE",V31)))</formula>
    </cfRule>
    <cfRule type="containsText" dxfId="5917" priority="6639" operator="containsText" text="COSH">
      <formula>NOT(ISERROR(SEARCH("COSH",V31)))</formula>
    </cfRule>
  </conditionalFormatting>
  <conditionalFormatting sqref="X31">
    <cfRule type="containsText" dxfId="5916" priority="6634" operator="containsText" text="FAT">
      <formula>NOT(ISERROR(SEARCH("FAT",X31)))</formula>
    </cfRule>
    <cfRule type="containsText" dxfId="5915" priority="6635" operator="containsText" text="FIRE">
      <formula>NOT(ISERROR(SEARCH("FIRE",X31)))</formula>
    </cfRule>
    <cfRule type="containsText" dxfId="5914" priority="6636" operator="containsText" text="COSH">
      <formula>NOT(ISERROR(SEARCH("COSH",X31)))</formula>
    </cfRule>
  </conditionalFormatting>
  <conditionalFormatting sqref="V31:W31">
    <cfRule type="containsText" dxfId="5913" priority="6631" operator="containsText" text="FAT">
      <formula>NOT(ISERROR(SEARCH("FAT",V31)))</formula>
    </cfRule>
    <cfRule type="containsText" dxfId="5912" priority="6632" operator="containsText" text="FIRE">
      <formula>NOT(ISERROR(SEARCH("FIRE",V31)))</formula>
    </cfRule>
    <cfRule type="containsText" dxfId="5911" priority="6633" operator="containsText" text="COSH">
      <formula>NOT(ISERROR(SEARCH("COSH",V31)))</formula>
    </cfRule>
  </conditionalFormatting>
  <conditionalFormatting sqref="X31">
    <cfRule type="containsText" dxfId="5910" priority="6628" operator="containsText" text="FAT">
      <formula>NOT(ISERROR(SEARCH("FAT",X31)))</formula>
    </cfRule>
    <cfRule type="containsText" dxfId="5909" priority="6629" operator="containsText" text="FIRE">
      <formula>NOT(ISERROR(SEARCH("FIRE",X31)))</formula>
    </cfRule>
    <cfRule type="containsText" dxfId="5908" priority="6630" operator="containsText" text="COSH">
      <formula>NOT(ISERROR(SEARCH("COSH",X31)))</formula>
    </cfRule>
  </conditionalFormatting>
  <conditionalFormatting sqref="V31:W31">
    <cfRule type="containsText" dxfId="5907" priority="6625" operator="containsText" text="FAT">
      <formula>NOT(ISERROR(SEARCH("FAT",V31)))</formula>
    </cfRule>
    <cfRule type="containsText" dxfId="5906" priority="6626" operator="containsText" text="FIRE">
      <formula>NOT(ISERROR(SEARCH("FIRE",V31)))</formula>
    </cfRule>
    <cfRule type="containsText" dxfId="5905" priority="6627" operator="containsText" text="COSH">
      <formula>NOT(ISERROR(SEARCH("COSH",V31)))</formula>
    </cfRule>
  </conditionalFormatting>
  <conditionalFormatting sqref="X31">
    <cfRule type="containsText" dxfId="5904" priority="6622" operator="containsText" text="FAT">
      <formula>NOT(ISERROR(SEARCH("FAT",X31)))</formula>
    </cfRule>
    <cfRule type="containsText" dxfId="5903" priority="6623" operator="containsText" text="FIRE">
      <formula>NOT(ISERROR(SEARCH("FIRE",X31)))</formula>
    </cfRule>
    <cfRule type="containsText" dxfId="5902" priority="6624" operator="containsText" text="COSH">
      <formula>NOT(ISERROR(SEARCH("COSH",X31)))</formula>
    </cfRule>
  </conditionalFormatting>
  <conditionalFormatting sqref="V31:W31">
    <cfRule type="containsText" dxfId="5901" priority="6619" operator="containsText" text="FAT">
      <formula>NOT(ISERROR(SEARCH("FAT",V31)))</formula>
    </cfRule>
    <cfRule type="containsText" dxfId="5900" priority="6620" operator="containsText" text="FIRE">
      <formula>NOT(ISERROR(SEARCH("FIRE",V31)))</formula>
    </cfRule>
    <cfRule type="containsText" dxfId="5899" priority="6621" operator="containsText" text="COSH">
      <formula>NOT(ISERROR(SEARCH("COSH",V31)))</formula>
    </cfRule>
  </conditionalFormatting>
  <conditionalFormatting sqref="X31">
    <cfRule type="containsText" dxfId="5898" priority="6616" operator="containsText" text="FAT">
      <formula>NOT(ISERROR(SEARCH("FAT",X31)))</formula>
    </cfRule>
    <cfRule type="containsText" dxfId="5897" priority="6617" operator="containsText" text="FIRE">
      <formula>NOT(ISERROR(SEARCH("FIRE",X31)))</formula>
    </cfRule>
    <cfRule type="containsText" dxfId="5896" priority="6618" operator="containsText" text="COSH">
      <formula>NOT(ISERROR(SEARCH("COSH",X31)))</formula>
    </cfRule>
  </conditionalFormatting>
  <conditionalFormatting sqref="V32:W33">
    <cfRule type="containsText" dxfId="5895" priority="6613" operator="containsText" text="FAT">
      <formula>NOT(ISERROR(SEARCH("FAT",V32)))</formula>
    </cfRule>
    <cfRule type="containsText" dxfId="5894" priority="6614" operator="containsText" text="FIRE">
      <formula>NOT(ISERROR(SEARCH("FIRE",V32)))</formula>
    </cfRule>
    <cfRule type="containsText" dxfId="5893" priority="6615" operator="containsText" text="COSH">
      <formula>NOT(ISERROR(SEARCH("COSH",V32)))</formula>
    </cfRule>
  </conditionalFormatting>
  <conditionalFormatting sqref="X32:X33">
    <cfRule type="containsText" dxfId="5892" priority="6610" operator="containsText" text="FAT">
      <formula>NOT(ISERROR(SEARCH("FAT",X32)))</formula>
    </cfRule>
    <cfRule type="containsText" dxfId="5891" priority="6611" operator="containsText" text="FIRE">
      <formula>NOT(ISERROR(SEARCH("FIRE",X32)))</formula>
    </cfRule>
    <cfRule type="containsText" dxfId="5890" priority="6612" operator="containsText" text="COSH">
      <formula>NOT(ISERROR(SEARCH("COSH",X32)))</formula>
    </cfRule>
  </conditionalFormatting>
  <conditionalFormatting sqref="X32:X33">
    <cfRule type="containsText" dxfId="5889" priority="6607" operator="containsText" text="FAT">
      <formula>NOT(ISERROR(SEARCH("FAT",X32)))</formula>
    </cfRule>
    <cfRule type="containsText" dxfId="5888" priority="6608" operator="containsText" text="FIRE">
      <formula>NOT(ISERROR(SEARCH("FIRE",X32)))</formula>
    </cfRule>
    <cfRule type="containsText" dxfId="5887" priority="6609" operator="containsText" text="COSH">
      <formula>NOT(ISERROR(SEARCH("COSH",X32)))</formula>
    </cfRule>
  </conditionalFormatting>
  <conditionalFormatting sqref="V32:W33">
    <cfRule type="containsText" dxfId="5886" priority="6604" operator="containsText" text="FAT">
      <formula>NOT(ISERROR(SEARCH("FAT",V32)))</formula>
    </cfRule>
    <cfRule type="containsText" dxfId="5885" priority="6605" operator="containsText" text="FIRE">
      <formula>NOT(ISERROR(SEARCH("FIRE",V32)))</formula>
    </cfRule>
    <cfRule type="containsText" dxfId="5884" priority="6606" operator="containsText" text="COSH">
      <formula>NOT(ISERROR(SEARCH("COSH",V32)))</formula>
    </cfRule>
  </conditionalFormatting>
  <conditionalFormatting sqref="X32:X33">
    <cfRule type="containsText" dxfId="5883" priority="6601" operator="containsText" text="FAT">
      <formula>NOT(ISERROR(SEARCH("FAT",X32)))</formula>
    </cfRule>
    <cfRule type="containsText" dxfId="5882" priority="6602" operator="containsText" text="FIRE">
      <formula>NOT(ISERROR(SEARCH("FIRE",X32)))</formula>
    </cfRule>
    <cfRule type="containsText" dxfId="5881" priority="6603" operator="containsText" text="COSH">
      <formula>NOT(ISERROR(SEARCH("COSH",X32)))</formula>
    </cfRule>
  </conditionalFormatting>
  <conditionalFormatting sqref="V32:W33">
    <cfRule type="containsText" dxfId="5880" priority="6598" operator="containsText" text="FAT">
      <formula>NOT(ISERROR(SEARCH("FAT",V32)))</formula>
    </cfRule>
    <cfRule type="containsText" dxfId="5879" priority="6599" operator="containsText" text="FIRE">
      <formula>NOT(ISERROR(SEARCH("FIRE",V32)))</formula>
    </cfRule>
    <cfRule type="containsText" dxfId="5878" priority="6600" operator="containsText" text="COSH">
      <formula>NOT(ISERROR(SEARCH("COSH",V32)))</formula>
    </cfRule>
  </conditionalFormatting>
  <conditionalFormatting sqref="X32:X33">
    <cfRule type="containsText" dxfId="5877" priority="6595" operator="containsText" text="FAT">
      <formula>NOT(ISERROR(SEARCH("FAT",X32)))</formula>
    </cfRule>
    <cfRule type="containsText" dxfId="5876" priority="6596" operator="containsText" text="FIRE">
      <formula>NOT(ISERROR(SEARCH("FIRE",X32)))</formula>
    </cfRule>
    <cfRule type="containsText" dxfId="5875" priority="6597" operator="containsText" text="COSH">
      <formula>NOT(ISERROR(SEARCH("COSH",X32)))</formula>
    </cfRule>
  </conditionalFormatting>
  <conditionalFormatting sqref="V32:W33">
    <cfRule type="containsText" dxfId="5874" priority="6592" operator="containsText" text="FAT">
      <formula>NOT(ISERROR(SEARCH("FAT",V32)))</formula>
    </cfRule>
    <cfRule type="containsText" dxfId="5873" priority="6593" operator="containsText" text="FIRE">
      <formula>NOT(ISERROR(SEARCH("FIRE",V32)))</formula>
    </cfRule>
    <cfRule type="containsText" dxfId="5872" priority="6594" operator="containsText" text="COSH">
      <formula>NOT(ISERROR(SEARCH("COSH",V32)))</formula>
    </cfRule>
  </conditionalFormatting>
  <conditionalFormatting sqref="X32:X33">
    <cfRule type="containsText" dxfId="5871" priority="6589" operator="containsText" text="FAT">
      <formula>NOT(ISERROR(SEARCH("FAT",X32)))</formula>
    </cfRule>
    <cfRule type="containsText" dxfId="5870" priority="6590" operator="containsText" text="FIRE">
      <formula>NOT(ISERROR(SEARCH("FIRE",X32)))</formula>
    </cfRule>
    <cfRule type="containsText" dxfId="5869" priority="6591" operator="containsText" text="COSH">
      <formula>NOT(ISERROR(SEARCH("COSH",X32)))</formula>
    </cfRule>
  </conditionalFormatting>
  <conditionalFormatting sqref="V32:W33">
    <cfRule type="containsText" dxfId="5868" priority="6586" operator="containsText" text="FAT">
      <formula>NOT(ISERROR(SEARCH("FAT",V32)))</formula>
    </cfRule>
    <cfRule type="containsText" dxfId="5867" priority="6587" operator="containsText" text="FIRE">
      <formula>NOT(ISERROR(SEARCH("FIRE",V32)))</formula>
    </cfRule>
    <cfRule type="containsText" dxfId="5866" priority="6588" operator="containsText" text="COSH">
      <formula>NOT(ISERROR(SEARCH("COSH",V32)))</formula>
    </cfRule>
  </conditionalFormatting>
  <conditionalFormatting sqref="X32:X33">
    <cfRule type="containsText" dxfId="5865" priority="6583" operator="containsText" text="FAT">
      <formula>NOT(ISERROR(SEARCH("FAT",X32)))</formula>
    </cfRule>
    <cfRule type="containsText" dxfId="5864" priority="6584" operator="containsText" text="FIRE">
      <formula>NOT(ISERROR(SEARCH("FIRE",X32)))</formula>
    </cfRule>
    <cfRule type="containsText" dxfId="5863" priority="6585" operator="containsText" text="COSH">
      <formula>NOT(ISERROR(SEARCH("COSH",X32)))</formula>
    </cfRule>
  </conditionalFormatting>
  <conditionalFormatting sqref="V32:W33">
    <cfRule type="containsText" dxfId="5862" priority="6580" operator="containsText" text="FAT">
      <formula>NOT(ISERROR(SEARCH("FAT",V32)))</formula>
    </cfRule>
    <cfRule type="containsText" dxfId="5861" priority="6581" operator="containsText" text="FIRE">
      <formula>NOT(ISERROR(SEARCH("FIRE",V32)))</formula>
    </cfRule>
    <cfRule type="containsText" dxfId="5860" priority="6582" operator="containsText" text="COSH">
      <formula>NOT(ISERROR(SEARCH("COSH",V32)))</formula>
    </cfRule>
  </conditionalFormatting>
  <conditionalFormatting sqref="X32:X33">
    <cfRule type="containsText" dxfId="5859" priority="6577" operator="containsText" text="FAT">
      <formula>NOT(ISERROR(SEARCH("FAT",X32)))</formula>
    </cfRule>
    <cfRule type="containsText" dxfId="5858" priority="6578" operator="containsText" text="FIRE">
      <formula>NOT(ISERROR(SEARCH("FIRE",X32)))</formula>
    </cfRule>
    <cfRule type="containsText" dxfId="5857" priority="6579" operator="containsText" text="COSH">
      <formula>NOT(ISERROR(SEARCH("COSH",X32)))</formula>
    </cfRule>
  </conditionalFormatting>
  <conditionalFormatting sqref="N32:AJ33 N13:P31 Q26:S26 P11:AJ11 Q25:AJ25 T12:AJ24 T26:AJ31">
    <cfRule type="cellIs" dxfId="5856" priority="7049" operator="between">
      <formula>1</formula>
      <formula>3</formula>
    </cfRule>
  </conditionalFormatting>
  <conditionalFormatting sqref="V30">
    <cfRule type="containsText" dxfId="5855" priority="6574" operator="containsText" text="FAT">
      <formula>NOT(ISERROR(SEARCH("FAT",V30)))</formula>
    </cfRule>
    <cfRule type="containsText" dxfId="5854" priority="6575" operator="containsText" text="FIRE">
      <formula>NOT(ISERROR(SEARCH("FIRE",V30)))</formula>
    </cfRule>
    <cfRule type="containsText" dxfId="5853" priority="6576" operator="containsText" text="COSH">
      <formula>NOT(ISERROR(SEARCH("COSH",V30)))</formula>
    </cfRule>
  </conditionalFormatting>
  <conditionalFormatting sqref="V30">
    <cfRule type="containsText" dxfId="5852" priority="6571" operator="containsText" text="FAT">
      <formula>NOT(ISERROR(SEARCH("FAT",V30)))</formula>
    </cfRule>
    <cfRule type="containsText" dxfId="5851" priority="6572" operator="containsText" text="FIRE">
      <formula>NOT(ISERROR(SEARCH("FIRE",V30)))</formula>
    </cfRule>
    <cfRule type="containsText" dxfId="5850" priority="6573" operator="containsText" text="COSH">
      <formula>NOT(ISERROR(SEARCH("COSH",V30)))</formula>
    </cfRule>
  </conditionalFormatting>
  <conditionalFormatting sqref="V30">
    <cfRule type="containsText" dxfId="5849" priority="6568" operator="containsText" text="FAT">
      <formula>NOT(ISERROR(SEARCH("FAT",V30)))</formula>
    </cfRule>
    <cfRule type="containsText" dxfId="5848" priority="6569" operator="containsText" text="FIRE">
      <formula>NOT(ISERROR(SEARCH("FIRE",V30)))</formula>
    </cfRule>
    <cfRule type="containsText" dxfId="5847" priority="6570" operator="containsText" text="COSH">
      <formula>NOT(ISERROR(SEARCH("COSH",V30)))</formula>
    </cfRule>
  </conditionalFormatting>
  <conditionalFormatting sqref="V30">
    <cfRule type="containsText" dxfId="5846" priority="6565" operator="containsText" text="FAT">
      <formula>NOT(ISERROR(SEARCH("FAT",V30)))</formula>
    </cfRule>
    <cfRule type="containsText" dxfId="5845" priority="6566" operator="containsText" text="FIRE">
      <formula>NOT(ISERROR(SEARCH("FIRE",V30)))</formula>
    </cfRule>
    <cfRule type="containsText" dxfId="5844" priority="6567" operator="containsText" text="COSH">
      <formula>NOT(ISERROR(SEARCH("COSH",V30)))</formula>
    </cfRule>
  </conditionalFormatting>
  <conditionalFormatting sqref="V30">
    <cfRule type="containsText" dxfId="5843" priority="6562" operator="containsText" text="FAT">
      <formula>NOT(ISERROR(SEARCH("FAT",V30)))</formula>
    </cfRule>
    <cfRule type="containsText" dxfId="5842" priority="6563" operator="containsText" text="FIRE">
      <formula>NOT(ISERROR(SEARCH("FIRE",V30)))</formula>
    </cfRule>
    <cfRule type="containsText" dxfId="5841" priority="6564" operator="containsText" text="COSH">
      <formula>NOT(ISERROR(SEARCH("COSH",V30)))</formula>
    </cfRule>
  </conditionalFormatting>
  <conditionalFormatting sqref="V30">
    <cfRule type="containsText" dxfId="5840" priority="6559" operator="containsText" text="FAT">
      <formula>NOT(ISERROR(SEARCH("FAT",V30)))</formula>
    </cfRule>
    <cfRule type="containsText" dxfId="5839" priority="6560" operator="containsText" text="FIRE">
      <formula>NOT(ISERROR(SEARCH("FIRE",V30)))</formula>
    </cfRule>
    <cfRule type="containsText" dxfId="5838" priority="6561" operator="containsText" text="COSH">
      <formula>NOT(ISERROR(SEARCH("COSH",V30)))</formula>
    </cfRule>
  </conditionalFormatting>
  <conditionalFormatting sqref="V30">
    <cfRule type="containsText" dxfId="5837" priority="6556" operator="containsText" text="FAT">
      <formula>NOT(ISERROR(SEARCH("FAT",V30)))</formula>
    </cfRule>
    <cfRule type="containsText" dxfId="5836" priority="6557" operator="containsText" text="FIRE">
      <formula>NOT(ISERROR(SEARCH("FIRE",V30)))</formula>
    </cfRule>
    <cfRule type="containsText" dxfId="5835" priority="6558" operator="containsText" text="COSH">
      <formula>NOT(ISERROR(SEARCH("COSH",V30)))</formula>
    </cfRule>
  </conditionalFormatting>
  <conditionalFormatting sqref="V21:V22">
    <cfRule type="containsText" dxfId="5834" priority="6553" operator="containsText" text="FAT">
      <formula>NOT(ISERROR(SEARCH("FAT",V21)))</formula>
    </cfRule>
    <cfRule type="containsText" dxfId="5833" priority="6554" operator="containsText" text="FIRE">
      <formula>NOT(ISERROR(SEARCH("FIRE",V21)))</formula>
    </cfRule>
    <cfRule type="containsText" dxfId="5832" priority="6555" operator="containsText" text="COSH">
      <formula>NOT(ISERROR(SEARCH("COSH",V21)))</formula>
    </cfRule>
  </conditionalFormatting>
  <conditionalFormatting sqref="V19:V22">
    <cfRule type="containsText" dxfId="5831" priority="6550" operator="containsText" text="FAT">
      <formula>NOT(ISERROR(SEARCH("FAT",V19)))</formula>
    </cfRule>
    <cfRule type="containsText" dxfId="5830" priority="6551" operator="containsText" text="FIRE">
      <formula>NOT(ISERROR(SEARCH("FIRE",V19)))</formula>
    </cfRule>
    <cfRule type="containsText" dxfId="5829" priority="6552" operator="containsText" text="COSH">
      <formula>NOT(ISERROR(SEARCH("COSH",V19)))</formula>
    </cfRule>
  </conditionalFormatting>
  <conditionalFormatting sqref="V20:V22">
    <cfRule type="containsText" dxfId="5828" priority="6547" operator="containsText" text="FAT">
      <formula>NOT(ISERROR(SEARCH("FAT",V20)))</formula>
    </cfRule>
    <cfRule type="containsText" dxfId="5827" priority="6548" operator="containsText" text="FIRE">
      <formula>NOT(ISERROR(SEARCH("FIRE",V20)))</formula>
    </cfRule>
    <cfRule type="containsText" dxfId="5826" priority="6549" operator="containsText" text="COSH">
      <formula>NOT(ISERROR(SEARCH("COSH",V20)))</formula>
    </cfRule>
  </conditionalFormatting>
  <conditionalFormatting sqref="V18">
    <cfRule type="containsText" dxfId="5825" priority="6544" operator="containsText" text="FAT">
      <formula>NOT(ISERROR(SEARCH("FAT",V18)))</formula>
    </cfRule>
    <cfRule type="containsText" dxfId="5824" priority="6545" operator="containsText" text="FIRE">
      <formula>NOT(ISERROR(SEARCH("FIRE",V18)))</formula>
    </cfRule>
    <cfRule type="containsText" dxfId="5823" priority="6546" operator="containsText" text="COSH">
      <formula>NOT(ISERROR(SEARCH("COSH",V18)))</formula>
    </cfRule>
  </conditionalFormatting>
  <conditionalFormatting sqref="V18">
    <cfRule type="containsText" dxfId="5822" priority="6541" operator="containsText" text="FAT">
      <formula>NOT(ISERROR(SEARCH("FAT",V18)))</formula>
    </cfRule>
    <cfRule type="containsText" dxfId="5821" priority="6542" operator="containsText" text="FIRE">
      <formula>NOT(ISERROR(SEARCH("FIRE",V18)))</formula>
    </cfRule>
    <cfRule type="containsText" dxfId="5820" priority="6543" operator="containsText" text="COSH">
      <formula>NOT(ISERROR(SEARCH("COSH",V18)))</formula>
    </cfRule>
  </conditionalFormatting>
  <conditionalFormatting sqref="V19:V22">
    <cfRule type="containsText" dxfId="5819" priority="6538" operator="containsText" text="FAT">
      <formula>NOT(ISERROR(SEARCH("FAT",V19)))</formula>
    </cfRule>
    <cfRule type="containsText" dxfId="5818" priority="6539" operator="containsText" text="FIRE">
      <formula>NOT(ISERROR(SEARCH("FIRE",V19)))</formula>
    </cfRule>
    <cfRule type="containsText" dxfId="5817" priority="6540" operator="containsText" text="COSH">
      <formula>NOT(ISERROR(SEARCH("COSH",V19)))</formula>
    </cfRule>
  </conditionalFormatting>
  <conditionalFormatting sqref="V19:V22">
    <cfRule type="containsText" dxfId="5816" priority="6535" operator="containsText" text="FAT">
      <formula>NOT(ISERROR(SEARCH("FAT",V19)))</formula>
    </cfRule>
    <cfRule type="containsText" dxfId="5815" priority="6536" operator="containsText" text="FIRE">
      <formula>NOT(ISERROR(SEARCH("FIRE",V19)))</formula>
    </cfRule>
    <cfRule type="containsText" dxfId="5814" priority="6537" operator="containsText" text="COSH">
      <formula>NOT(ISERROR(SEARCH("COSH",V19)))</formula>
    </cfRule>
  </conditionalFormatting>
  <conditionalFormatting sqref="V19:V22">
    <cfRule type="containsText" dxfId="5813" priority="6532" operator="containsText" text="FAT">
      <formula>NOT(ISERROR(SEARCH("FAT",V19)))</formula>
    </cfRule>
    <cfRule type="containsText" dxfId="5812" priority="6533" operator="containsText" text="FIRE">
      <formula>NOT(ISERROR(SEARCH("FIRE",V19)))</formula>
    </cfRule>
    <cfRule type="containsText" dxfId="5811" priority="6534" operator="containsText" text="COSH">
      <formula>NOT(ISERROR(SEARCH("COSH",V19)))</formula>
    </cfRule>
  </conditionalFormatting>
  <conditionalFormatting sqref="V21:V22">
    <cfRule type="containsText" dxfId="5810" priority="6529" operator="containsText" text="FAT">
      <formula>NOT(ISERROR(SEARCH("FAT",V21)))</formula>
    </cfRule>
    <cfRule type="containsText" dxfId="5809" priority="6530" operator="containsText" text="FIRE">
      <formula>NOT(ISERROR(SEARCH("FIRE",V21)))</formula>
    </cfRule>
    <cfRule type="containsText" dxfId="5808" priority="6531" operator="containsText" text="COSH">
      <formula>NOT(ISERROR(SEARCH("COSH",V21)))</formula>
    </cfRule>
  </conditionalFormatting>
  <conditionalFormatting sqref="V21:V22">
    <cfRule type="containsText" dxfId="5807" priority="6526" operator="containsText" text="FAT">
      <formula>NOT(ISERROR(SEARCH("FAT",V21)))</formula>
    </cfRule>
    <cfRule type="containsText" dxfId="5806" priority="6527" operator="containsText" text="FIRE">
      <formula>NOT(ISERROR(SEARCH("FIRE",V21)))</formula>
    </cfRule>
    <cfRule type="containsText" dxfId="5805" priority="6528" operator="containsText" text="COSH">
      <formula>NOT(ISERROR(SEARCH("COSH",V21)))</formula>
    </cfRule>
  </conditionalFormatting>
  <conditionalFormatting sqref="V21:V22">
    <cfRule type="containsText" dxfId="5804" priority="6523" operator="containsText" text="FAT">
      <formula>NOT(ISERROR(SEARCH("FAT",V21)))</formula>
    </cfRule>
    <cfRule type="containsText" dxfId="5803" priority="6524" operator="containsText" text="FIRE">
      <formula>NOT(ISERROR(SEARCH("FIRE",V21)))</formula>
    </cfRule>
    <cfRule type="containsText" dxfId="5802" priority="6525" operator="containsText" text="COSH">
      <formula>NOT(ISERROR(SEARCH("COSH",V21)))</formula>
    </cfRule>
  </conditionalFormatting>
  <conditionalFormatting sqref="V21:V22">
    <cfRule type="containsText" dxfId="5801" priority="6520" operator="containsText" text="FAT">
      <formula>NOT(ISERROR(SEARCH("FAT",V21)))</formula>
    </cfRule>
    <cfRule type="containsText" dxfId="5800" priority="6521" operator="containsText" text="FIRE">
      <formula>NOT(ISERROR(SEARCH("FIRE",V21)))</formula>
    </cfRule>
    <cfRule type="containsText" dxfId="5799" priority="6522" operator="containsText" text="COSH">
      <formula>NOT(ISERROR(SEARCH("COSH",V21)))</formula>
    </cfRule>
  </conditionalFormatting>
  <conditionalFormatting sqref="V23 V27:V31">
    <cfRule type="containsText" dxfId="5798" priority="6517" operator="containsText" text="FAT">
      <formula>NOT(ISERROR(SEARCH("FAT",V23)))</formula>
    </cfRule>
    <cfRule type="containsText" dxfId="5797" priority="6518" operator="containsText" text="FIRE">
      <formula>NOT(ISERROR(SEARCH("FIRE",V23)))</formula>
    </cfRule>
    <cfRule type="containsText" dxfId="5796" priority="6519" operator="containsText" text="COSH">
      <formula>NOT(ISERROR(SEARCH("COSH",V23)))</formula>
    </cfRule>
  </conditionalFormatting>
  <conditionalFormatting sqref="V27:V31">
    <cfRule type="containsText" dxfId="5795" priority="6514" operator="containsText" text="FAT">
      <formula>NOT(ISERROR(SEARCH("FAT",V27)))</formula>
    </cfRule>
    <cfRule type="containsText" dxfId="5794" priority="6515" operator="containsText" text="FIRE">
      <formula>NOT(ISERROR(SEARCH("FIRE",V27)))</formula>
    </cfRule>
    <cfRule type="containsText" dxfId="5793" priority="6516" operator="containsText" text="COSH">
      <formula>NOT(ISERROR(SEARCH("COSH",V27)))</formula>
    </cfRule>
  </conditionalFormatting>
  <conditionalFormatting sqref="V24 V27:V31">
    <cfRule type="containsText" dxfId="5792" priority="6511" operator="containsText" text="FAT">
      <formula>NOT(ISERROR(SEARCH("FAT",V24)))</formula>
    </cfRule>
    <cfRule type="containsText" dxfId="5791" priority="6512" operator="containsText" text="FIRE">
      <formula>NOT(ISERROR(SEARCH("FIRE",V24)))</formula>
    </cfRule>
    <cfRule type="containsText" dxfId="5790" priority="6513" operator="containsText" text="COSH">
      <formula>NOT(ISERROR(SEARCH("COSH",V24)))</formula>
    </cfRule>
  </conditionalFormatting>
  <conditionalFormatting sqref="V27:V31">
    <cfRule type="containsText" dxfId="5789" priority="6508" operator="containsText" text="FAT">
      <formula>NOT(ISERROR(SEARCH("FAT",V27)))</formula>
    </cfRule>
    <cfRule type="containsText" dxfId="5788" priority="6509" operator="containsText" text="FIRE">
      <formula>NOT(ISERROR(SEARCH("FIRE",V27)))</formula>
    </cfRule>
    <cfRule type="containsText" dxfId="5787" priority="6510" operator="containsText" text="COSH">
      <formula>NOT(ISERROR(SEARCH("COSH",V27)))</formula>
    </cfRule>
  </conditionalFormatting>
  <conditionalFormatting sqref="V23">
    <cfRule type="containsText" dxfId="5786" priority="6505" operator="containsText" text="FAT">
      <formula>NOT(ISERROR(SEARCH("FAT",V23)))</formula>
    </cfRule>
    <cfRule type="containsText" dxfId="5785" priority="6506" operator="containsText" text="FIRE">
      <formula>NOT(ISERROR(SEARCH("FIRE",V23)))</formula>
    </cfRule>
    <cfRule type="containsText" dxfId="5784" priority="6507" operator="containsText" text="COSH">
      <formula>NOT(ISERROR(SEARCH("COSH",V23)))</formula>
    </cfRule>
  </conditionalFormatting>
  <conditionalFormatting sqref="V23">
    <cfRule type="containsText" dxfId="5783" priority="6502" operator="containsText" text="FAT">
      <formula>NOT(ISERROR(SEARCH("FAT",V23)))</formula>
    </cfRule>
    <cfRule type="containsText" dxfId="5782" priority="6503" operator="containsText" text="FIRE">
      <formula>NOT(ISERROR(SEARCH("FIRE",V23)))</formula>
    </cfRule>
    <cfRule type="containsText" dxfId="5781" priority="6504" operator="containsText" text="COSH">
      <formula>NOT(ISERROR(SEARCH("COSH",V23)))</formula>
    </cfRule>
  </conditionalFormatting>
  <conditionalFormatting sqref="V24 V27:V31">
    <cfRule type="containsText" dxfId="5780" priority="6499" operator="containsText" text="FAT">
      <formula>NOT(ISERROR(SEARCH("FAT",V24)))</formula>
    </cfRule>
    <cfRule type="containsText" dxfId="5779" priority="6500" operator="containsText" text="FIRE">
      <formula>NOT(ISERROR(SEARCH("FIRE",V24)))</formula>
    </cfRule>
    <cfRule type="containsText" dxfId="5778" priority="6501" operator="containsText" text="COSH">
      <formula>NOT(ISERROR(SEARCH("COSH",V24)))</formula>
    </cfRule>
  </conditionalFormatting>
  <conditionalFormatting sqref="V24 V27:V31">
    <cfRule type="containsText" dxfId="5777" priority="6496" operator="containsText" text="FAT">
      <formula>NOT(ISERROR(SEARCH("FAT",V24)))</formula>
    </cfRule>
    <cfRule type="containsText" dxfId="5776" priority="6497" operator="containsText" text="FIRE">
      <formula>NOT(ISERROR(SEARCH("FIRE",V24)))</formula>
    </cfRule>
    <cfRule type="containsText" dxfId="5775" priority="6498" operator="containsText" text="COSH">
      <formula>NOT(ISERROR(SEARCH("COSH",V24)))</formula>
    </cfRule>
  </conditionalFormatting>
  <conditionalFormatting sqref="V24 V27:V31">
    <cfRule type="containsText" dxfId="5774" priority="6493" operator="containsText" text="FAT">
      <formula>NOT(ISERROR(SEARCH("FAT",V24)))</formula>
    </cfRule>
    <cfRule type="containsText" dxfId="5773" priority="6494" operator="containsText" text="FIRE">
      <formula>NOT(ISERROR(SEARCH("FIRE",V24)))</formula>
    </cfRule>
    <cfRule type="containsText" dxfId="5772" priority="6495" operator="containsText" text="COSH">
      <formula>NOT(ISERROR(SEARCH("COSH",V24)))</formula>
    </cfRule>
  </conditionalFormatting>
  <conditionalFormatting sqref="V27:V31">
    <cfRule type="containsText" dxfId="5771" priority="6490" operator="containsText" text="FAT">
      <formula>NOT(ISERROR(SEARCH("FAT",V27)))</formula>
    </cfRule>
    <cfRule type="containsText" dxfId="5770" priority="6491" operator="containsText" text="FIRE">
      <formula>NOT(ISERROR(SEARCH("FIRE",V27)))</formula>
    </cfRule>
    <cfRule type="containsText" dxfId="5769" priority="6492" operator="containsText" text="COSH">
      <formula>NOT(ISERROR(SEARCH("COSH",V27)))</formula>
    </cfRule>
  </conditionalFormatting>
  <conditionalFormatting sqref="V27:V31">
    <cfRule type="containsText" dxfId="5768" priority="6487" operator="containsText" text="FAT">
      <formula>NOT(ISERROR(SEARCH("FAT",V27)))</formula>
    </cfRule>
    <cfRule type="containsText" dxfId="5767" priority="6488" operator="containsText" text="FIRE">
      <formula>NOT(ISERROR(SEARCH("FIRE",V27)))</formula>
    </cfRule>
    <cfRule type="containsText" dxfId="5766" priority="6489" operator="containsText" text="COSH">
      <formula>NOT(ISERROR(SEARCH("COSH",V27)))</formula>
    </cfRule>
  </conditionalFormatting>
  <conditionalFormatting sqref="V27:V31">
    <cfRule type="containsText" dxfId="5765" priority="6484" operator="containsText" text="FAT">
      <formula>NOT(ISERROR(SEARCH("FAT",V27)))</formula>
    </cfRule>
    <cfRule type="containsText" dxfId="5764" priority="6485" operator="containsText" text="FIRE">
      <formula>NOT(ISERROR(SEARCH("FIRE",V27)))</formula>
    </cfRule>
    <cfRule type="containsText" dxfId="5763" priority="6486" operator="containsText" text="COSH">
      <formula>NOT(ISERROR(SEARCH("COSH",V27)))</formula>
    </cfRule>
  </conditionalFormatting>
  <conditionalFormatting sqref="V27:V31">
    <cfRule type="containsText" dxfId="5762" priority="6481" operator="containsText" text="FAT">
      <formula>NOT(ISERROR(SEARCH("FAT",V27)))</formula>
    </cfRule>
    <cfRule type="containsText" dxfId="5761" priority="6482" operator="containsText" text="FIRE">
      <formula>NOT(ISERROR(SEARCH("FIRE",V27)))</formula>
    </cfRule>
    <cfRule type="containsText" dxfId="5760" priority="6483" operator="containsText" text="COSH">
      <formula>NOT(ISERROR(SEARCH("COSH",V27)))</formula>
    </cfRule>
  </conditionalFormatting>
  <conditionalFormatting sqref="V28 V32:V33">
    <cfRule type="containsText" dxfId="5759" priority="6478" operator="containsText" text="FAT">
      <formula>NOT(ISERROR(SEARCH("FAT",V28)))</formula>
    </cfRule>
    <cfRule type="containsText" dxfId="5758" priority="6479" operator="containsText" text="FIRE">
      <formula>NOT(ISERROR(SEARCH("FIRE",V28)))</formula>
    </cfRule>
    <cfRule type="containsText" dxfId="5757" priority="6480" operator="containsText" text="COSH">
      <formula>NOT(ISERROR(SEARCH("COSH",V28)))</formula>
    </cfRule>
  </conditionalFormatting>
  <conditionalFormatting sqref="V31:V33">
    <cfRule type="containsText" dxfId="5756" priority="6475" operator="containsText" text="FAT">
      <formula>NOT(ISERROR(SEARCH("FAT",V31)))</formula>
    </cfRule>
    <cfRule type="containsText" dxfId="5755" priority="6476" operator="containsText" text="FIRE">
      <formula>NOT(ISERROR(SEARCH("FIRE",V31)))</formula>
    </cfRule>
    <cfRule type="containsText" dxfId="5754" priority="6477" operator="containsText" text="COSH">
      <formula>NOT(ISERROR(SEARCH("COSH",V31)))</formula>
    </cfRule>
  </conditionalFormatting>
  <conditionalFormatting sqref="V29:V33">
    <cfRule type="containsText" dxfId="5753" priority="6472" operator="containsText" text="FAT">
      <formula>NOT(ISERROR(SEARCH("FAT",V29)))</formula>
    </cfRule>
    <cfRule type="containsText" dxfId="5752" priority="6473" operator="containsText" text="FIRE">
      <formula>NOT(ISERROR(SEARCH("FIRE",V29)))</formula>
    </cfRule>
    <cfRule type="containsText" dxfId="5751" priority="6474" operator="containsText" text="COSH">
      <formula>NOT(ISERROR(SEARCH("COSH",V29)))</formula>
    </cfRule>
  </conditionalFormatting>
  <conditionalFormatting sqref="V30:V33">
    <cfRule type="containsText" dxfId="5750" priority="6469" operator="containsText" text="FAT">
      <formula>NOT(ISERROR(SEARCH("FAT",V30)))</formula>
    </cfRule>
    <cfRule type="containsText" dxfId="5749" priority="6470" operator="containsText" text="FIRE">
      <formula>NOT(ISERROR(SEARCH("FIRE",V30)))</formula>
    </cfRule>
    <cfRule type="containsText" dxfId="5748" priority="6471" operator="containsText" text="COSH">
      <formula>NOT(ISERROR(SEARCH("COSH",V30)))</formula>
    </cfRule>
  </conditionalFormatting>
  <conditionalFormatting sqref="V28">
    <cfRule type="containsText" dxfId="5747" priority="6466" operator="containsText" text="FAT">
      <formula>NOT(ISERROR(SEARCH("FAT",V28)))</formula>
    </cfRule>
    <cfRule type="containsText" dxfId="5746" priority="6467" operator="containsText" text="FIRE">
      <formula>NOT(ISERROR(SEARCH("FIRE",V28)))</formula>
    </cfRule>
    <cfRule type="containsText" dxfId="5745" priority="6468" operator="containsText" text="COSH">
      <formula>NOT(ISERROR(SEARCH("COSH",V28)))</formula>
    </cfRule>
  </conditionalFormatting>
  <conditionalFormatting sqref="V28">
    <cfRule type="containsText" dxfId="5744" priority="6463" operator="containsText" text="FAT">
      <formula>NOT(ISERROR(SEARCH("FAT",V28)))</formula>
    </cfRule>
    <cfRule type="containsText" dxfId="5743" priority="6464" operator="containsText" text="FIRE">
      <formula>NOT(ISERROR(SEARCH("FIRE",V28)))</formula>
    </cfRule>
    <cfRule type="containsText" dxfId="5742" priority="6465" operator="containsText" text="COSH">
      <formula>NOT(ISERROR(SEARCH("COSH",V28)))</formula>
    </cfRule>
  </conditionalFormatting>
  <conditionalFormatting sqref="V29:V33">
    <cfRule type="containsText" dxfId="5741" priority="6460" operator="containsText" text="FAT">
      <formula>NOT(ISERROR(SEARCH("FAT",V29)))</formula>
    </cfRule>
    <cfRule type="containsText" dxfId="5740" priority="6461" operator="containsText" text="FIRE">
      <formula>NOT(ISERROR(SEARCH("FIRE",V29)))</formula>
    </cfRule>
    <cfRule type="containsText" dxfId="5739" priority="6462" operator="containsText" text="COSH">
      <formula>NOT(ISERROR(SEARCH("COSH",V29)))</formula>
    </cfRule>
  </conditionalFormatting>
  <conditionalFormatting sqref="V29:V33">
    <cfRule type="containsText" dxfId="5738" priority="6457" operator="containsText" text="FAT">
      <formula>NOT(ISERROR(SEARCH("FAT",V29)))</formula>
    </cfRule>
    <cfRule type="containsText" dxfId="5737" priority="6458" operator="containsText" text="FIRE">
      <formula>NOT(ISERROR(SEARCH("FIRE",V29)))</formula>
    </cfRule>
    <cfRule type="containsText" dxfId="5736" priority="6459" operator="containsText" text="COSH">
      <formula>NOT(ISERROR(SEARCH("COSH",V29)))</formula>
    </cfRule>
  </conditionalFormatting>
  <conditionalFormatting sqref="V29:V33">
    <cfRule type="containsText" dxfId="5735" priority="6454" operator="containsText" text="FAT">
      <formula>NOT(ISERROR(SEARCH("FAT",V29)))</formula>
    </cfRule>
    <cfRule type="containsText" dxfId="5734" priority="6455" operator="containsText" text="FIRE">
      <formula>NOT(ISERROR(SEARCH("FIRE",V29)))</formula>
    </cfRule>
    <cfRule type="containsText" dxfId="5733" priority="6456" operator="containsText" text="COSH">
      <formula>NOT(ISERROR(SEARCH("COSH",V29)))</formula>
    </cfRule>
  </conditionalFormatting>
  <conditionalFormatting sqref="V31:V33">
    <cfRule type="containsText" dxfId="5732" priority="6451" operator="containsText" text="FAT">
      <formula>NOT(ISERROR(SEARCH("FAT",V31)))</formula>
    </cfRule>
    <cfRule type="containsText" dxfId="5731" priority="6452" operator="containsText" text="FIRE">
      <formula>NOT(ISERROR(SEARCH("FIRE",V31)))</formula>
    </cfRule>
    <cfRule type="containsText" dxfId="5730" priority="6453" operator="containsText" text="COSH">
      <formula>NOT(ISERROR(SEARCH("COSH",V31)))</formula>
    </cfRule>
  </conditionalFormatting>
  <conditionalFormatting sqref="V31:V33">
    <cfRule type="containsText" dxfId="5729" priority="6448" operator="containsText" text="FAT">
      <formula>NOT(ISERROR(SEARCH("FAT",V31)))</formula>
    </cfRule>
    <cfRule type="containsText" dxfId="5728" priority="6449" operator="containsText" text="FIRE">
      <formula>NOT(ISERROR(SEARCH("FIRE",V31)))</formula>
    </cfRule>
    <cfRule type="containsText" dxfId="5727" priority="6450" operator="containsText" text="COSH">
      <formula>NOT(ISERROR(SEARCH("COSH",V31)))</formula>
    </cfRule>
  </conditionalFormatting>
  <conditionalFormatting sqref="V31:V33">
    <cfRule type="containsText" dxfId="5726" priority="6445" operator="containsText" text="FAT">
      <formula>NOT(ISERROR(SEARCH("FAT",V31)))</formula>
    </cfRule>
    <cfRule type="containsText" dxfId="5725" priority="6446" operator="containsText" text="FIRE">
      <formula>NOT(ISERROR(SEARCH("FIRE",V31)))</formula>
    </cfRule>
    <cfRule type="containsText" dxfId="5724" priority="6447" operator="containsText" text="COSH">
      <formula>NOT(ISERROR(SEARCH("COSH",V31)))</formula>
    </cfRule>
  </conditionalFormatting>
  <conditionalFormatting sqref="V31:V33">
    <cfRule type="containsText" dxfId="5723" priority="6442" operator="containsText" text="FAT">
      <formula>NOT(ISERROR(SEARCH("FAT",V31)))</formula>
    </cfRule>
    <cfRule type="containsText" dxfId="5722" priority="6443" operator="containsText" text="FIRE">
      <formula>NOT(ISERROR(SEARCH("FIRE",V31)))</formula>
    </cfRule>
    <cfRule type="containsText" dxfId="5721" priority="6444" operator="containsText" text="COSH">
      <formula>NOT(ISERROR(SEARCH("COSH",V31)))</formula>
    </cfRule>
  </conditionalFormatting>
  <conditionalFormatting sqref="AA29">
    <cfRule type="containsText" dxfId="5720" priority="6439" operator="containsText" text="FAT">
      <formula>NOT(ISERROR(SEARCH("FAT",AA29)))</formula>
    </cfRule>
    <cfRule type="containsText" dxfId="5719" priority="6440" operator="containsText" text="FIRE">
      <formula>NOT(ISERROR(SEARCH("FIRE",AA29)))</formula>
    </cfRule>
    <cfRule type="containsText" dxfId="5718" priority="6441" operator="containsText" text="COSH">
      <formula>NOT(ISERROR(SEARCH("COSH",AA29)))</formula>
    </cfRule>
  </conditionalFormatting>
  <conditionalFormatting sqref="U29:Z29">
    <cfRule type="containsText" dxfId="5717" priority="6436" operator="containsText" text="FAT">
      <formula>NOT(ISERROR(SEARCH("FAT",U29)))</formula>
    </cfRule>
    <cfRule type="containsText" dxfId="5716" priority="6437" operator="containsText" text="FIRE">
      <formula>NOT(ISERROR(SEARCH("FIRE",U29)))</formula>
    </cfRule>
    <cfRule type="containsText" dxfId="5715" priority="6438" operator="containsText" text="COSH">
      <formula>NOT(ISERROR(SEARCH("COSH",U29)))</formula>
    </cfRule>
  </conditionalFormatting>
  <conditionalFormatting sqref="P29">
    <cfRule type="containsText" dxfId="5714" priority="6433" operator="containsText" text="FAT">
      <formula>NOT(ISERROR(SEARCH("FAT",P29)))</formula>
    </cfRule>
    <cfRule type="containsText" dxfId="5713" priority="6434" operator="containsText" text="FIRE">
      <formula>NOT(ISERROR(SEARCH("FIRE",P29)))</formula>
    </cfRule>
    <cfRule type="containsText" dxfId="5712" priority="6435" operator="containsText" text="COSH">
      <formula>NOT(ISERROR(SEARCH("COSH",P29)))</formula>
    </cfRule>
  </conditionalFormatting>
  <conditionalFormatting sqref="P29">
    <cfRule type="containsText" dxfId="5711" priority="6430" operator="containsText" text="FAT">
      <formula>NOT(ISERROR(SEARCH("FAT",P29)))</formula>
    </cfRule>
    <cfRule type="containsText" dxfId="5710" priority="6431" operator="containsText" text="FIRE">
      <formula>NOT(ISERROR(SEARCH("FIRE",P29)))</formula>
    </cfRule>
    <cfRule type="containsText" dxfId="5709" priority="6432" operator="containsText" text="COSH">
      <formula>NOT(ISERROR(SEARCH("COSH",P29)))</formula>
    </cfRule>
  </conditionalFormatting>
  <conditionalFormatting sqref="P29">
    <cfRule type="containsText" dxfId="5708" priority="6427" operator="containsText" text="FAT">
      <formula>NOT(ISERROR(SEARCH("FAT",P29)))</formula>
    </cfRule>
    <cfRule type="containsText" dxfId="5707" priority="6428" operator="containsText" text="FIRE">
      <formula>NOT(ISERROR(SEARCH("FIRE",P29)))</formula>
    </cfRule>
    <cfRule type="containsText" dxfId="5706" priority="6429" operator="containsText" text="COSH">
      <formula>NOT(ISERROR(SEARCH("COSH",P29)))</formula>
    </cfRule>
  </conditionalFormatting>
  <conditionalFormatting sqref="P29">
    <cfRule type="containsText" dxfId="5705" priority="6424" operator="containsText" text="FAT">
      <formula>NOT(ISERROR(SEARCH("FAT",P29)))</formula>
    </cfRule>
    <cfRule type="containsText" dxfId="5704" priority="6425" operator="containsText" text="FIRE">
      <formula>NOT(ISERROR(SEARCH("FIRE",P29)))</formula>
    </cfRule>
    <cfRule type="containsText" dxfId="5703" priority="6426" operator="containsText" text="COSH">
      <formula>NOT(ISERROR(SEARCH("COSH",P29)))</formula>
    </cfRule>
  </conditionalFormatting>
  <conditionalFormatting sqref="V29:W29">
    <cfRule type="containsText" dxfId="5702" priority="6421" operator="containsText" text="FAT">
      <formula>NOT(ISERROR(SEARCH("FAT",V29)))</formula>
    </cfRule>
    <cfRule type="containsText" dxfId="5701" priority="6422" operator="containsText" text="FIRE">
      <formula>NOT(ISERROR(SEARCH("FIRE",V29)))</formula>
    </cfRule>
    <cfRule type="containsText" dxfId="5700" priority="6423" operator="containsText" text="COSH">
      <formula>NOT(ISERROR(SEARCH("COSH",V29)))</formula>
    </cfRule>
  </conditionalFormatting>
  <conditionalFormatting sqref="X29">
    <cfRule type="containsText" dxfId="5699" priority="6418" operator="containsText" text="FAT">
      <formula>NOT(ISERROR(SEARCH("FAT",X29)))</formula>
    </cfRule>
    <cfRule type="containsText" dxfId="5698" priority="6419" operator="containsText" text="FIRE">
      <formula>NOT(ISERROR(SEARCH("FIRE",X29)))</formula>
    </cfRule>
    <cfRule type="containsText" dxfId="5697" priority="6420" operator="containsText" text="COSH">
      <formula>NOT(ISERROR(SEARCH("COSH",X29)))</formula>
    </cfRule>
  </conditionalFormatting>
  <conditionalFormatting sqref="X29">
    <cfRule type="containsText" dxfId="5696" priority="6415" operator="containsText" text="FAT">
      <formula>NOT(ISERROR(SEARCH("FAT",X29)))</formula>
    </cfRule>
    <cfRule type="containsText" dxfId="5695" priority="6416" operator="containsText" text="FIRE">
      <formula>NOT(ISERROR(SEARCH("FIRE",X29)))</formula>
    </cfRule>
    <cfRule type="containsText" dxfId="5694" priority="6417" operator="containsText" text="COSH">
      <formula>NOT(ISERROR(SEARCH("COSH",X29)))</formula>
    </cfRule>
  </conditionalFormatting>
  <conditionalFormatting sqref="V29:W29">
    <cfRule type="containsText" dxfId="5693" priority="6412" operator="containsText" text="FAT">
      <formula>NOT(ISERROR(SEARCH("FAT",V29)))</formula>
    </cfRule>
    <cfRule type="containsText" dxfId="5692" priority="6413" operator="containsText" text="FIRE">
      <formula>NOT(ISERROR(SEARCH("FIRE",V29)))</formula>
    </cfRule>
    <cfRule type="containsText" dxfId="5691" priority="6414" operator="containsText" text="COSH">
      <formula>NOT(ISERROR(SEARCH("COSH",V29)))</formula>
    </cfRule>
  </conditionalFormatting>
  <conditionalFormatting sqref="X29">
    <cfRule type="containsText" dxfId="5690" priority="6409" operator="containsText" text="FAT">
      <formula>NOT(ISERROR(SEARCH("FAT",X29)))</formula>
    </cfRule>
    <cfRule type="containsText" dxfId="5689" priority="6410" operator="containsText" text="FIRE">
      <formula>NOT(ISERROR(SEARCH("FIRE",X29)))</formula>
    </cfRule>
    <cfRule type="containsText" dxfId="5688" priority="6411" operator="containsText" text="COSH">
      <formula>NOT(ISERROR(SEARCH("COSH",X29)))</formula>
    </cfRule>
  </conditionalFormatting>
  <conditionalFormatting sqref="V29:W29">
    <cfRule type="containsText" dxfId="5687" priority="6406" operator="containsText" text="FAT">
      <formula>NOT(ISERROR(SEARCH("FAT",V29)))</formula>
    </cfRule>
    <cfRule type="containsText" dxfId="5686" priority="6407" operator="containsText" text="FIRE">
      <formula>NOT(ISERROR(SEARCH("FIRE",V29)))</formula>
    </cfRule>
    <cfRule type="containsText" dxfId="5685" priority="6408" operator="containsText" text="COSH">
      <formula>NOT(ISERROR(SEARCH("COSH",V29)))</formula>
    </cfRule>
  </conditionalFormatting>
  <conditionalFormatting sqref="X29">
    <cfRule type="containsText" dxfId="5684" priority="6403" operator="containsText" text="FAT">
      <formula>NOT(ISERROR(SEARCH("FAT",X29)))</formula>
    </cfRule>
    <cfRule type="containsText" dxfId="5683" priority="6404" operator="containsText" text="FIRE">
      <formula>NOT(ISERROR(SEARCH("FIRE",X29)))</formula>
    </cfRule>
    <cfRule type="containsText" dxfId="5682" priority="6405" operator="containsText" text="COSH">
      <formula>NOT(ISERROR(SEARCH("COSH",X29)))</formula>
    </cfRule>
  </conditionalFormatting>
  <conditionalFormatting sqref="V29:W29">
    <cfRule type="containsText" dxfId="5681" priority="6400" operator="containsText" text="FAT">
      <formula>NOT(ISERROR(SEARCH("FAT",V29)))</formula>
    </cfRule>
    <cfRule type="containsText" dxfId="5680" priority="6401" operator="containsText" text="FIRE">
      <formula>NOT(ISERROR(SEARCH("FIRE",V29)))</formula>
    </cfRule>
    <cfRule type="containsText" dxfId="5679" priority="6402" operator="containsText" text="COSH">
      <formula>NOT(ISERROR(SEARCH("COSH",V29)))</formula>
    </cfRule>
  </conditionalFormatting>
  <conditionalFormatting sqref="X29">
    <cfRule type="containsText" dxfId="5678" priority="6397" operator="containsText" text="FAT">
      <formula>NOT(ISERROR(SEARCH("FAT",X29)))</formula>
    </cfRule>
    <cfRule type="containsText" dxfId="5677" priority="6398" operator="containsText" text="FIRE">
      <formula>NOT(ISERROR(SEARCH("FIRE",X29)))</formula>
    </cfRule>
    <cfRule type="containsText" dxfId="5676" priority="6399" operator="containsText" text="COSH">
      <formula>NOT(ISERROR(SEARCH("COSH",X29)))</formula>
    </cfRule>
  </conditionalFormatting>
  <conditionalFormatting sqref="V29:W29">
    <cfRule type="containsText" dxfId="5675" priority="6394" operator="containsText" text="FAT">
      <formula>NOT(ISERROR(SEARCH("FAT",V29)))</formula>
    </cfRule>
    <cfRule type="containsText" dxfId="5674" priority="6395" operator="containsText" text="FIRE">
      <formula>NOT(ISERROR(SEARCH("FIRE",V29)))</formula>
    </cfRule>
    <cfRule type="containsText" dxfId="5673" priority="6396" operator="containsText" text="COSH">
      <formula>NOT(ISERROR(SEARCH("COSH",V29)))</formula>
    </cfRule>
  </conditionalFormatting>
  <conditionalFormatting sqref="X29">
    <cfRule type="containsText" dxfId="5672" priority="6391" operator="containsText" text="FAT">
      <formula>NOT(ISERROR(SEARCH("FAT",X29)))</formula>
    </cfRule>
    <cfRule type="containsText" dxfId="5671" priority="6392" operator="containsText" text="FIRE">
      <formula>NOT(ISERROR(SEARCH("FIRE",X29)))</formula>
    </cfRule>
    <cfRule type="containsText" dxfId="5670" priority="6393" operator="containsText" text="COSH">
      <formula>NOT(ISERROR(SEARCH("COSH",X29)))</formula>
    </cfRule>
  </conditionalFormatting>
  <conditionalFormatting sqref="V29:W29">
    <cfRule type="containsText" dxfId="5669" priority="6388" operator="containsText" text="FAT">
      <formula>NOT(ISERROR(SEARCH("FAT",V29)))</formula>
    </cfRule>
    <cfRule type="containsText" dxfId="5668" priority="6389" operator="containsText" text="FIRE">
      <formula>NOT(ISERROR(SEARCH("FIRE",V29)))</formula>
    </cfRule>
    <cfRule type="containsText" dxfId="5667" priority="6390" operator="containsText" text="COSH">
      <formula>NOT(ISERROR(SEARCH("COSH",V29)))</formula>
    </cfRule>
  </conditionalFormatting>
  <conditionalFormatting sqref="X29">
    <cfRule type="containsText" dxfId="5666" priority="6385" operator="containsText" text="FAT">
      <formula>NOT(ISERROR(SEARCH("FAT",X29)))</formula>
    </cfRule>
    <cfRule type="containsText" dxfId="5665" priority="6386" operator="containsText" text="FIRE">
      <formula>NOT(ISERROR(SEARCH("FIRE",X29)))</formula>
    </cfRule>
    <cfRule type="containsText" dxfId="5664" priority="6387" operator="containsText" text="COSH">
      <formula>NOT(ISERROR(SEARCH("COSH",X29)))</formula>
    </cfRule>
  </conditionalFormatting>
  <conditionalFormatting sqref="Z29">
    <cfRule type="containsText" dxfId="5663" priority="6382" operator="containsText" text="FAT">
      <formula>NOT(ISERROR(SEARCH("FAT",Z29)))</formula>
    </cfRule>
    <cfRule type="containsText" dxfId="5662" priority="6383" operator="containsText" text="FIRE">
      <formula>NOT(ISERROR(SEARCH("FIRE",Z29)))</formula>
    </cfRule>
    <cfRule type="containsText" dxfId="5661" priority="6384" operator="containsText" text="COSH">
      <formula>NOT(ISERROR(SEARCH("COSH",Z29)))</formula>
    </cfRule>
  </conditionalFormatting>
  <conditionalFormatting sqref="X29">
    <cfRule type="containsText" dxfId="5660" priority="6379" operator="containsText" text="FAT">
      <formula>NOT(ISERROR(SEARCH("FAT",X29)))</formula>
    </cfRule>
    <cfRule type="containsText" dxfId="5659" priority="6380" operator="containsText" text="FIRE">
      <formula>NOT(ISERROR(SEARCH("FIRE",X29)))</formula>
    </cfRule>
    <cfRule type="containsText" dxfId="5658" priority="6381" operator="containsText" text="COSH">
      <formula>NOT(ISERROR(SEARCH("COSH",X29)))</formula>
    </cfRule>
  </conditionalFormatting>
  <conditionalFormatting sqref="AA29">
    <cfRule type="containsText" dxfId="5657" priority="6376" operator="containsText" text="FAT">
      <formula>NOT(ISERROR(SEARCH("FAT",AA29)))</formula>
    </cfRule>
    <cfRule type="containsText" dxfId="5656" priority="6377" operator="containsText" text="FIRE">
      <formula>NOT(ISERROR(SEARCH("FIRE",AA29)))</formula>
    </cfRule>
    <cfRule type="containsText" dxfId="5655" priority="6378" operator="containsText" text="COSH">
      <formula>NOT(ISERROR(SEARCH("COSH",AA29)))</formula>
    </cfRule>
  </conditionalFormatting>
  <conditionalFormatting sqref="Y29">
    <cfRule type="containsText" dxfId="5654" priority="6373" operator="containsText" text="FAT">
      <formula>NOT(ISERROR(SEARCH("FAT",Y29)))</formula>
    </cfRule>
    <cfRule type="containsText" dxfId="5653" priority="6374" operator="containsText" text="FIRE">
      <formula>NOT(ISERROR(SEARCH("FIRE",Y29)))</formula>
    </cfRule>
    <cfRule type="containsText" dxfId="5652" priority="6375" operator="containsText" text="COSH">
      <formula>NOT(ISERROR(SEARCH("COSH",Y29)))</formula>
    </cfRule>
  </conditionalFormatting>
  <conditionalFormatting sqref="X29">
    <cfRule type="containsText" dxfId="5651" priority="6370" operator="containsText" text="FAT">
      <formula>NOT(ISERROR(SEARCH("FAT",X29)))</formula>
    </cfRule>
    <cfRule type="containsText" dxfId="5650" priority="6371" operator="containsText" text="FIRE">
      <formula>NOT(ISERROR(SEARCH("FIRE",X29)))</formula>
    </cfRule>
    <cfRule type="containsText" dxfId="5649" priority="6372" operator="containsText" text="COSH">
      <formula>NOT(ISERROR(SEARCH("COSH",X29)))</formula>
    </cfRule>
  </conditionalFormatting>
  <conditionalFormatting sqref="V29:W29">
    <cfRule type="containsText" dxfId="5648" priority="6367" operator="containsText" text="FAT">
      <formula>NOT(ISERROR(SEARCH("FAT",V29)))</formula>
    </cfRule>
    <cfRule type="containsText" dxfId="5647" priority="6368" operator="containsText" text="FIRE">
      <formula>NOT(ISERROR(SEARCH("FIRE",V29)))</formula>
    </cfRule>
    <cfRule type="containsText" dxfId="5646" priority="6369" operator="containsText" text="COSH">
      <formula>NOT(ISERROR(SEARCH("COSH",V29)))</formula>
    </cfRule>
  </conditionalFormatting>
  <conditionalFormatting sqref="X29">
    <cfRule type="containsText" dxfId="5645" priority="6364" operator="containsText" text="FAT">
      <formula>NOT(ISERROR(SEARCH("FAT",X29)))</formula>
    </cfRule>
    <cfRule type="containsText" dxfId="5644" priority="6365" operator="containsText" text="FIRE">
      <formula>NOT(ISERROR(SEARCH("FIRE",X29)))</formula>
    </cfRule>
    <cfRule type="containsText" dxfId="5643" priority="6366" operator="containsText" text="COSH">
      <formula>NOT(ISERROR(SEARCH("COSH",X29)))</formula>
    </cfRule>
  </conditionalFormatting>
  <conditionalFormatting sqref="V29:W29">
    <cfRule type="containsText" dxfId="5642" priority="6361" operator="containsText" text="FAT">
      <formula>NOT(ISERROR(SEARCH("FAT",V29)))</formula>
    </cfRule>
    <cfRule type="containsText" dxfId="5641" priority="6362" operator="containsText" text="FIRE">
      <formula>NOT(ISERROR(SEARCH("FIRE",V29)))</formula>
    </cfRule>
    <cfRule type="containsText" dxfId="5640" priority="6363" operator="containsText" text="COSH">
      <formula>NOT(ISERROR(SEARCH("COSH",V29)))</formula>
    </cfRule>
  </conditionalFormatting>
  <conditionalFormatting sqref="X29">
    <cfRule type="containsText" dxfId="5639" priority="6358" operator="containsText" text="FAT">
      <formula>NOT(ISERROR(SEARCH("FAT",X29)))</formula>
    </cfRule>
    <cfRule type="containsText" dxfId="5638" priority="6359" operator="containsText" text="FIRE">
      <formula>NOT(ISERROR(SEARCH("FIRE",X29)))</formula>
    </cfRule>
    <cfRule type="containsText" dxfId="5637" priority="6360" operator="containsText" text="COSH">
      <formula>NOT(ISERROR(SEARCH("COSH",X29)))</formula>
    </cfRule>
  </conditionalFormatting>
  <conditionalFormatting sqref="V29:W29">
    <cfRule type="containsText" dxfId="5636" priority="6355" operator="containsText" text="FAT">
      <formula>NOT(ISERROR(SEARCH("FAT",V29)))</formula>
    </cfRule>
    <cfRule type="containsText" dxfId="5635" priority="6356" operator="containsText" text="FIRE">
      <formula>NOT(ISERROR(SEARCH("FIRE",V29)))</formula>
    </cfRule>
    <cfRule type="containsText" dxfId="5634" priority="6357" operator="containsText" text="COSH">
      <formula>NOT(ISERROR(SEARCH("COSH",V29)))</formula>
    </cfRule>
  </conditionalFormatting>
  <conditionalFormatting sqref="X29">
    <cfRule type="containsText" dxfId="5633" priority="6352" operator="containsText" text="FAT">
      <formula>NOT(ISERROR(SEARCH("FAT",X29)))</formula>
    </cfRule>
    <cfRule type="containsText" dxfId="5632" priority="6353" operator="containsText" text="FIRE">
      <formula>NOT(ISERROR(SEARCH("FIRE",X29)))</formula>
    </cfRule>
    <cfRule type="containsText" dxfId="5631" priority="6354" operator="containsText" text="COSH">
      <formula>NOT(ISERROR(SEARCH("COSH",X29)))</formula>
    </cfRule>
  </conditionalFormatting>
  <conditionalFormatting sqref="V29:W29">
    <cfRule type="containsText" dxfId="5630" priority="6349" operator="containsText" text="FAT">
      <formula>NOT(ISERROR(SEARCH("FAT",V29)))</formula>
    </cfRule>
    <cfRule type="containsText" dxfId="5629" priority="6350" operator="containsText" text="FIRE">
      <formula>NOT(ISERROR(SEARCH("FIRE",V29)))</formula>
    </cfRule>
    <cfRule type="containsText" dxfId="5628" priority="6351" operator="containsText" text="COSH">
      <formula>NOT(ISERROR(SEARCH("COSH",V29)))</formula>
    </cfRule>
  </conditionalFormatting>
  <conditionalFormatting sqref="X29">
    <cfRule type="containsText" dxfId="5627" priority="6346" operator="containsText" text="FAT">
      <formula>NOT(ISERROR(SEARCH("FAT",X29)))</formula>
    </cfRule>
    <cfRule type="containsText" dxfId="5626" priority="6347" operator="containsText" text="FIRE">
      <formula>NOT(ISERROR(SEARCH("FIRE",X29)))</formula>
    </cfRule>
    <cfRule type="containsText" dxfId="5625" priority="6348" operator="containsText" text="COSH">
      <formula>NOT(ISERROR(SEARCH("COSH",X29)))</formula>
    </cfRule>
  </conditionalFormatting>
  <conditionalFormatting sqref="P29">
    <cfRule type="containsText" dxfId="5624" priority="6343" operator="containsText" text="FAT">
      <formula>NOT(ISERROR(SEARCH("FAT",P29)))</formula>
    </cfRule>
    <cfRule type="containsText" dxfId="5623" priority="6344" operator="containsText" text="FIRE">
      <formula>NOT(ISERROR(SEARCH("FIRE",P29)))</formula>
    </cfRule>
    <cfRule type="containsText" dxfId="5622" priority="6345" operator="containsText" text="COSH">
      <formula>NOT(ISERROR(SEARCH("COSH",P29)))</formula>
    </cfRule>
  </conditionalFormatting>
  <conditionalFormatting sqref="P29">
    <cfRule type="containsText" dxfId="5621" priority="6340" operator="containsText" text="FAT">
      <formula>NOT(ISERROR(SEARCH("FAT",P29)))</formula>
    </cfRule>
    <cfRule type="containsText" dxfId="5620" priority="6341" operator="containsText" text="FIRE">
      <formula>NOT(ISERROR(SEARCH("FIRE",P29)))</formula>
    </cfRule>
    <cfRule type="containsText" dxfId="5619" priority="6342" operator="containsText" text="COSH">
      <formula>NOT(ISERROR(SEARCH("COSH",P29)))</formula>
    </cfRule>
  </conditionalFormatting>
  <conditionalFormatting sqref="P29">
    <cfRule type="containsText" dxfId="5618" priority="6337" operator="containsText" text="FAT">
      <formula>NOT(ISERROR(SEARCH("FAT",P29)))</formula>
    </cfRule>
    <cfRule type="containsText" dxfId="5617" priority="6338" operator="containsText" text="FIRE">
      <formula>NOT(ISERROR(SEARCH("FIRE",P29)))</formula>
    </cfRule>
    <cfRule type="containsText" dxfId="5616" priority="6339" operator="containsText" text="COSH">
      <formula>NOT(ISERROR(SEARCH("COSH",P29)))</formula>
    </cfRule>
  </conditionalFormatting>
  <conditionalFormatting sqref="V29">
    <cfRule type="containsText" dxfId="5615" priority="6334" operator="containsText" text="FAT">
      <formula>NOT(ISERROR(SEARCH("FAT",V29)))</formula>
    </cfRule>
    <cfRule type="containsText" dxfId="5614" priority="6335" operator="containsText" text="FIRE">
      <formula>NOT(ISERROR(SEARCH("FIRE",V29)))</formula>
    </cfRule>
    <cfRule type="containsText" dxfId="5613" priority="6336" operator="containsText" text="COSH">
      <formula>NOT(ISERROR(SEARCH("COSH",V29)))</formula>
    </cfRule>
  </conditionalFormatting>
  <conditionalFormatting sqref="V29">
    <cfRule type="containsText" dxfId="5612" priority="6331" operator="containsText" text="FAT">
      <formula>NOT(ISERROR(SEARCH("FAT",V29)))</formula>
    </cfRule>
    <cfRule type="containsText" dxfId="5611" priority="6332" operator="containsText" text="FIRE">
      <formula>NOT(ISERROR(SEARCH("FIRE",V29)))</formula>
    </cfRule>
    <cfRule type="containsText" dxfId="5610" priority="6333" operator="containsText" text="COSH">
      <formula>NOT(ISERROR(SEARCH("COSH",V29)))</formula>
    </cfRule>
  </conditionalFormatting>
  <conditionalFormatting sqref="V29">
    <cfRule type="containsText" dxfId="5609" priority="6328" operator="containsText" text="FAT">
      <formula>NOT(ISERROR(SEARCH("FAT",V29)))</formula>
    </cfRule>
    <cfRule type="containsText" dxfId="5608" priority="6329" operator="containsText" text="FIRE">
      <formula>NOT(ISERROR(SEARCH("FIRE",V29)))</formula>
    </cfRule>
    <cfRule type="containsText" dxfId="5607" priority="6330" operator="containsText" text="COSH">
      <formula>NOT(ISERROR(SEARCH("COSH",V29)))</formula>
    </cfRule>
  </conditionalFormatting>
  <conditionalFormatting sqref="V29">
    <cfRule type="containsText" dxfId="5606" priority="6325" operator="containsText" text="FAT">
      <formula>NOT(ISERROR(SEARCH("FAT",V29)))</formula>
    </cfRule>
    <cfRule type="containsText" dxfId="5605" priority="6326" operator="containsText" text="FIRE">
      <formula>NOT(ISERROR(SEARCH("FIRE",V29)))</formula>
    </cfRule>
    <cfRule type="containsText" dxfId="5604" priority="6327" operator="containsText" text="COSH">
      <formula>NOT(ISERROR(SEARCH("COSH",V29)))</formula>
    </cfRule>
  </conditionalFormatting>
  <conditionalFormatting sqref="V29">
    <cfRule type="containsText" dxfId="5603" priority="6322" operator="containsText" text="FAT">
      <formula>NOT(ISERROR(SEARCH("FAT",V29)))</formula>
    </cfRule>
    <cfRule type="containsText" dxfId="5602" priority="6323" operator="containsText" text="FIRE">
      <formula>NOT(ISERROR(SEARCH("FIRE",V29)))</formula>
    </cfRule>
    <cfRule type="containsText" dxfId="5601" priority="6324" operator="containsText" text="COSH">
      <formula>NOT(ISERROR(SEARCH("COSH",V29)))</formula>
    </cfRule>
  </conditionalFormatting>
  <conditionalFormatting sqref="V29">
    <cfRule type="containsText" dxfId="5600" priority="6319" operator="containsText" text="FAT">
      <formula>NOT(ISERROR(SEARCH("FAT",V29)))</formula>
    </cfRule>
    <cfRule type="containsText" dxfId="5599" priority="6320" operator="containsText" text="FIRE">
      <formula>NOT(ISERROR(SEARCH("FIRE",V29)))</formula>
    </cfRule>
    <cfRule type="containsText" dxfId="5598" priority="6321" operator="containsText" text="COSH">
      <formula>NOT(ISERROR(SEARCH("COSH",V29)))</formula>
    </cfRule>
  </conditionalFormatting>
  <conditionalFormatting sqref="V29">
    <cfRule type="containsText" dxfId="5597" priority="6316" operator="containsText" text="FAT">
      <formula>NOT(ISERROR(SEARCH("FAT",V29)))</formula>
    </cfRule>
    <cfRule type="containsText" dxfId="5596" priority="6317" operator="containsText" text="FIRE">
      <formula>NOT(ISERROR(SEARCH("FIRE",V29)))</formula>
    </cfRule>
    <cfRule type="containsText" dxfId="5595" priority="6318" operator="containsText" text="COSH">
      <formula>NOT(ISERROR(SEARCH("COSH",V29)))</formula>
    </cfRule>
  </conditionalFormatting>
  <conditionalFormatting sqref="V29">
    <cfRule type="containsText" dxfId="5594" priority="6313" operator="containsText" text="FAT">
      <formula>NOT(ISERROR(SEARCH("FAT",V29)))</formula>
    </cfRule>
    <cfRule type="containsText" dxfId="5593" priority="6314" operator="containsText" text="FIRE">
      <formula>NOT(ISERROR(SEARCH("FIRE",V29)))</formula>
    </cfRule>
    <cfRule type="containsText" dxfId="5592" priority="6315" operator="containsText" text="COSH">
      <formula>NOT(ISERROR(SEARCH("COSH",V29)))</formula>
    </cfRule>
  </conditionalFormatting>
  <conditionalFormatting sqref="V29">
    <cfRule type="containsText" dxfId="5591" priority="6310" operator="containsText" text="FAT">
      <formula>NOT(ISERROR(SEARCH("FAT",V29)))</formula>
    </cfRule>
    <cfRule type="containsText" dxfId="5590" priority="6311" operator="containsText" text="FIRE">
      <formula>NOT(ISERROR(SEARCH("FIRE",V29)))</formula>
    </cfRule>
    <cfRule type="containsText" dxfId="5589" priority="6312" operator="containsText" text="COSH">
      <formula>NOT(ISERROR(SEARCH("COSH",V29)))</formula>
    </cfRule>
  </conditionalFormatting>
  <conditionalFormatting sqref="V29">
    <cfRule type="containsText" dxfId="5588" priority="6307" operator="containsText" text="FAT">
      <formula>NOT(ISERROR(SEARCH("FAT",V29)))</formula>
    </cfRule>
    <cfRule type="containsText" dxfId="5587" priority="6308" operator="containsText" text="FIRE">
      <formula>NOT(ISERROR(SEARCH("FIRE",V29)))</formula>
    </cfRule>
    <cfRule type="containsText" dxfId="5586" priority="6309" operator="containsText" text="COSH">
      <formula>NOT(ISERROR(SEARCH("COSH",V29)))</formula>
    </cfRule>
  </conditionalFormatting>
  <conditionalFormatting sqref="X24">
    <cfRule type="containsText" dxfId="5585" priority="6304" operator="containsText" text="FAT">
      <formula>NOT(ISERROR(SEARCH("FAT",X24)))</formula>
    </cfRule>
    <cfRule type="containsText" dxfId="5584" priority="6305" operator="containsText" text="FIRE">
      <formula>NOT(ISERROR(SEARCH("FIRE",X24)))</formula>
    </cfRule>
    <cfRule type="containsText" dxfId="5583" priority="6306" operator="containsText" text="COSH">
      <formula>NOT(ISERROR(SEARCH("COSH",X24)))</formula>
    </cfRule>
  </conditionalFormatting>
  <conditionalFormatting sqref="V24:W24">
    <cfRule type="containsText" dxfId="5582" priority="6301" operator="containsText" text="FAT">
      <formula>NOT(ISERROR(SEARCH("FAT",V24)))</formula>
    </cfRule>
    <cfRule type="containsText" dxfId="5581" priority="6302" operator="containsText" text="FIRE">
      <formula>NOT(ISERROR(SEARCH("FIRE",V24)))</formula>
    </cfRule>
    <cfRule type="containsText" dxfId="5580" priority="6303" operator="containsText" text="COSH">
      <formula>NOT(ISERROR(SEARCH("COSH",V24)))</formula>
    </cfRule>
  </conditionalFormatting>
  <conditionalFormatting sqref="V24:W24">
    <cfRule type="containsText" dxfId="5579" priority="6298" operator="containsText" text="FAT">
      <formula>NOT(ISERROR(SEARCH("FAT",V24)))</formula>
    </cfRule>
    <cfRule type="containsText" dxfId="5578" priority="6299" operator="containsText" text="FIRE">
      <formula>NOT(ISERROR(SEARCH("FIRE",V24)))</formula>
    </cfRule>
    <cfRule type="containsText" dxfId="5577" priority="6300" operator="containsText" text="COSH">
      <formula>NOT(ISERROR(SEARCH("COSH",V24)))</formula>
    </cfRule>
  </conditionalFormatting>
  <conditionalFormatting sqref="V24:W24">
    <cfRule type="containsText" dxfId="5576" priority="6295" operator="containsText" text="FAT">
      <formula>NOT(ISERROR(SEARCH("FAT",V24)))</formula>
    </cfRule>
    <cfRule type="containsText" dxfId="5575" priority="6296" operator="containsText" text="FIRE">
      <formula>NOT(ISERROR(SEARCH("FIRE",V24)))</formula>
    </cfRule>
    <cfRule type="containsText" dxfId="5574" priority="6297" operator="containsText" text="COSH">
      <formula>NOT(ISERROR(SEARCH("COSH",V24)))</formula>
    </cfRule>
  </conditionalFormatting>
  <conditionalFormatting sqref="X24">
    <cfRule type="containsText" dxfId="5573" priority="6292" operator="containsText" text="FAT">
      <formula>NOT(ISERROR(SEARCH("FAT",X24)))</formula>
    </cfRule>
    <cfRule type="containsText" dxfId="5572" priority="6293" operator="containsText" text="FIRE">
      <formula>NOT(ISERROR(SEARCH("FIRE",X24)))</formula>
    </cfRule>
    <cfRule type="containsText" dxfId="5571" priority="6294" operator="containsText" text="COSH">
      <formula>NOT(ISERROR(SEARCH("COSH",X24)))</formula>
    </cfRule>
  </conditionalFormatting>
  <conditionalFormatting sqref="X24">
    <cfRule type="containsText" dxfId="5570" priority="6289" operator="containsText" text="FAT">
      <formula>NOT(ISERROR(SEARCH("FAT",X24)))</formula>
    </cfRule>
    <cfRule type="containsText" dxfId="5569" priority="6290" operator="containsText" text="FIRE">
      <formula>NOT(ISERROR(SEARCH("FIRE",X24)))</formula>
    </cfRule>
    <cfRule type="containsText" dxfId="5568" priority="6291" operator="containsText" text="COSH">
      <formula>NOT(ISERROR(SEARCH("COSH",X24)))</formula>
    </cfRule>
  </conditionalFormatting>
  <conditionalFormatting sqref="V24:W24">
    <cfRule type="containsText" dxfId="5567" priority="6286" operator="containsText" text="FAT">
      <formula>NOT(ISERROR(SEARCH("FAT",V24)))</formula>
    </cfRule>
    <cfRule type="containsText" dxfId="5566" priority="6287" operator="containsText" text="FIRE">
      <formula>NOT(ISERROR(SEARCH("FIRE",V24)))</formula>
    </cfRule>
    <cfRule type="containsText" dxfId="5565" priority="6288" operator="containsText" text="COSH">
      <formula>NOT(ISERROR(SEARCH("COSH",V24)))</formula>
    </cfRule>
  </conditionalFormatting>
  <conditionalFormatting sqref="X24">
    <cfRule type="containsText" dxfId="5564" priority="6283" operator="containsText" text="FAT">
      <formula>NOT(ISERROR(SEARCH("FAT",X24)))</formula>
    </cfRule>
    <cfRule type="containsText" dxfId="5563" priority="6284" operator="containsText" text="FIRE">
      <formula>NOT(ISERROR(SEARCH("FIRE",X24)))</formula>
    </cfRule>
    <cfRule type="containsText" dxfId="5562" priority="6285" operator="containsText" text="COSH">
      <formula>NOT(ISERROR(SEARCH("COSH",X24)))</formula>
    </cfRule>
  </conditionalFormatting>
  <conditionalFormatting sqref="V24:W24">
    <cfRule type="containsText" dxfId="5561" priority="6280" operator="containsText" text="FAT">
      <formula>NOT(ISERROR(SEARCH("FAT",V24)))</formula>
    </cfRule>
    <cfRule type="containsText" dxfId="5560" priority="6281" operator="containsText" text="FIRE">
      <formula>NOT(ISERROR(SEARCH("FIRE",V24)))</formula>
    </cfRule>
    <cfRule type="containsText" dxfId="5559" priority="6282" operator="containsText" text="COSH">
      <formula>NOT(ISERROR(SEARCH("COSH",V24)))</formula>
    </cfRule>
  </conditionalFormatting>
  <conditionalFormatting sqref="X24">
    <cfRule type="containsText" dxfId="5558" priority="6277" operator="containsText" text="FAT">
      <formula>NOT(ISERROR(SEARCH("FAT",X24)))</formula>
    </cfRule>
    <cfRule type="containsText" dxfId="5557" priority="6278" operator="containsText" text="FIRE">
      <formula>NOT(ISERROR(SEARCH("FIRE",X24)))</formula>
    </cfRule>
    <cfRule type="containsText" dxfId="5556" priority="6279" operator="containsText" text="COSH">
      <formula>NOT(ISERROR(SEARCH("COSH",X24)))</formula>
    </cfRule>
  </conditionalFormatting>
  <conditionalFormatting sqref="V24:W24">
    <cfRule type="containsText" dxfId="5555" priority="6274" operator="containsText" text="FAT">
      <formula>NOT(ISERROR(SEARCH("FAT",V24)))</formula>
    </cfRule>
    <cfRule type="containsText" dxfId="5554" priority="6275" operator="containsText" text="FIRE">
      <formula>NOT(ISERROR(SEARCH("FIRE",V24)))</formula>
    </cfRule>
    <cfRule type="containsText" dxfId="5553" priority="6276" operator="containsText" text="COSH">
      <formula>NOT(ISERROR(SEARCH("COSH",V24)))</formula>
    </cfRule>
  </conditionalFormatting>
  <conditionalFormatting sqref="X24">
    <cfRule type="containsText" dxfId="5552" priority="6271" operator="containsText" text="FAT">
      <formula>NOT(ISERROR(SEARCH("FAT",X24)))</formula>
    </cfRule>
    <cfRule type="containsText" dxfId="5551" priority="6272" operator="containsText" text="FIRE">
      <formula>NOT(ISERROR(SEARCH("FIRE",X24)))</formula>
    </cfRule>
    <cfRule type="containsText" dxfId="5550" priority="6273" operator="containsText" text="COSH">
      <formula>NOT(ISERROR(SEARCH("COSH",X24)))</formula>
    </cfRule>
  </conditionalFormatting>
  <conditionalFormatting sqref="V24:W24">
    <cfRule type="containsText" dxfId="5549" priority="6268" operator="containsText" text="FAT">
      <formula>NOT(ISERROR(SEARCH("FAT",V24)))</formula>
    </cfRule>
    <cfRule type="containsText" dxfId="5548" priority="6269" operator="containsText" text="FIRE">
      <formula>NOT(ISERROR(SEARCH("FIRE",V24)))</formula>
    </cfRule>
    <cfRule type="containsText" dxfId="5547" priority="6270" operator="containsText" text="COSH">
      <formula>NOT(ISERROR(SEARCH("COSH",V24)))</formula>
    </cfRule>
  </conditionalFormatting>
  <conditionalFormatting sqref="X24">
    <cfRule type="containsText" dxfId="5546" priority="6265" operator="containsText" text="FAT">
      <formula>NOT(ISERROR(SEARCH("FAT",X24)))</formula>
    </cfRule>
    <cfRule type="containsText" dxfId="5545" priority="6266" operator="containsText" text="FIRE">
      <formula>NOT(ISERROR(SEARCH("FIRE",X24)))</formula>
    </cfRule>
    <cfRule type="containsText" dxfId="5544" priority="6267" operator="containsText" text="COSH">
      <formula>NOT(ISERROR(SEARCH("COSH",X24)))</formula>
    </cfRule>
  </conditionalFormatting>
  <conditionalFormatting sqref="V24:W24">
    <cfRule type="containsText" dxfId="5543" priority="6262" operator="containsText" text="FAT">
      <formula>NOT(ISERROR(SEARCH("FAT",V24)))</formula>
    </cfRule>
    <cfRule type="containsText" dxfId="5542" priority="6263" operator="containsText" text="FIRE">
      <formula>NOT(ISERROR(SEARCH("FIRE",V24)))</formula>
    </cfRule>
    <cfRule type="containsText" dxfId="5541" priority="6264" operator="containsText" text="COSH">
      <formula>NOT(ISERROR(SEARCH("COSH",V24)))</formula>
    </cfRule>
  </conditionalFormatting>
  <conditionalFormatting sqref="X24">
    <cfRule type="containsText" dxfId="5540" priority="6259" operator="containsText" text="FAT">
      <formula>NOT(ISERROR(SEARCH("FAT",X24)))</formula>
    </cfRule>
    <cfRule type="containsText" dxfId="5539" priority="6260" operator="containsText" text="FIRE">
      <formula>NOT(ISERROR(SEARCH("FIRE",X24)))</formula>
    </cfRule>
    <cfRule type="containsText" dxfId="5538" priority="6261" operator="containsText" text="COSH">
      <formula>NOT(ISERROR(SEARCH("COSH",X24)))</formula>
    </cfRule>
  </conditionalFormatting>
  <conditionalFormatting sqref="P24">
    <cfRule type="containsText" dxfId="5537" priority="6256" operator="containsText" text="FAT">
      <formula>NOT(ISERROR(SEARCH("FAT",P24)))</formula>
    </cfRule>
    <cfRule type="containsText" dxfId="5536" priority="6257" operator="containsText" text="FIRE">
      <formula>NOT(ISERROR(SEARCH("FIRE",P24)))</formula>
    </cfRule>
    <cfRule type="containsText" dxfId="5535" priority="6258" operator="containsText" text="COSH">
      <formula>NOT(ISERROR(SEARCH("COSH",P24)))</formula>
    </cfRule>
  </conditionalFormatting>
  <conditionalFormatting sqref="P24">
    <cfRule type="containsText" dxfId="5534" priority="6253" operator="containsText" text="FAT">
      <formula>NOT(ISERROR(SEARCH("FAT",P24)))</formula>
    </cfRule>
    <cfRule type="containsText" dxfId="5533" priority="6254" operator="containsText" text="FIRE">
      <formula>NOT(ISERROR(SEARCH("FIRE",P24)))</formula>
    </cfRule>
    <cfRule type="containsText" dxfId="5532" priority="6255" operator="containsText" text="COSH">
      <formula>NOT(ISERROR(SEARCH("COSH",P24)))</formula>
    </cfRule>
  </conditionalFormatting>
  <conditionalFormatting sqref="P24">
    <cfRule type="containsText" dxfId="5531" priority="6250" operator="containsText" text="FAT">
      <formula>NOT(ISERROR(SEARCH("FAT",P24)))</formula>
    </cfRule>
    <cfRule type="containsText" dxfId="5530" priority="6251" operator="containsText" text="FIRE">
      <formula>NOT(ISERROR(SEARCH("FIRE",P24)))</formula>
    </cfRule>
    <cfRule type="containsText" dxfId="5529" priority="6252" operator="containsText" text="COSH">
      <formula>NOT(ISERROR(SEARCH("COSH",P24)))</formula>
    </cfRule>
  </conditionalFormatting>
  <conditionalFormatting sqref="P24">
    <cfRule type="containsText" dxfId="5528" priority="6247" operator="containsText" text="FAT">
      <formula>NOT(ISERROR(SEARCH("FAT",P24)))</formula>
    </cfRule>
    <cfRule type="containsText" dxfId="5527" priority="6248" operator="containsText" text="FIRE">
      <formula>NOT(ISERROR(SEARCH("FIRE",P24)))</formula>
    </cfRule>
    <cfRule type="containsText" dxfId="5526" priority="6249" operator="containsText" text="COSH">
      <formula>NOT(ISERROR(SEARCH("COSH",P24)))</formula>
    </cfRule>
  </conditionalFormatting>
  <conditionalFormatting sqref="V24">
    <cfRule type="containsText" dxfId="5525" priority="6244" operator="containsText" text="FAT">
      <formula>NOT(ISERROR(SEARCH("FAT",V24)))</formula>
    </cfRule>
    <cfRule type="containsText" dxfId="5524" priority="6245" operator="containsText" text="FIRE">
      <formula>NOT(ISERROR(SEARCH("FIRE",V24)))</formula>
    </cfRule>
    <cfRule type="containsText" dxfId="5523" priority="6246" operator="containsText" text="COSH">
      <formula>NOT(ISERROR(SEARCH("COSH",V24)))</formula>
    </cfRule>
  </conditionalFormatting>
  <conditionalFormatting sqref="V24">
    <cfRule type="containsText" dxfId="5522" priority="6241" operator="containsText" text="FAT">
      <formula>NOT(ISERROR(SEARCH("FAT",V24)))</formula>
    </cfRule>
    <cfRule type="containsText" dxfId="5521" priority="6242" operator="containsText" text="FIRE">
      <formula>NOT(ISERROR(SEARCH("FIRE",V24)))</formula>
    </cfRule>
    <cfRule type="containsText" dxfId="5520" priority="6243" operator="containsText" text="COSH">
      <formula>NOT(ISERROR(SEARCH("COSH",V24)))</formula>
    </cfRule>
  </conditionalFormatting>
  <conditionalFormatting sqref="V24">
    <cfRule type="containsText" dxfId="5519" priority="6238" operator="containsText" text="FAT">
      <formula>NOT(ISERROR(SEARCH("FAT",V24)))</formula>
    </cfRule>
    <cfRule type="containsText" dxfId="5518" priority="6239" operator="containsText" text="FIRE">
      <formula>NOT(ISERROR(SEARCH("FIRE",V24)))</formula>
    </cfRule>
    <cfRule type="containsText" dxfId="5517" priority="6240" operator="containsText" text="COSH">
      <formula>NOT(ISERROR(SEARCH("COSH",V24)))</formula>
    </cfRule>
  </conditionalFormatting>
  <conditionalFormatting sqref="V24">
    <cfRule type="containsText" dxfId="5516" priority="6235" operator="containsText" text="FAT">
      <formula>NOT(ISERROR(SEARCH("FAT",V24)))</formula>
    </cfRule>
    <cfRule type="containsText" dxfId="5515" priority="6236" operator="containsText" text="FIRE">
      <formula>NOT(ISERROR(SEARCH("FIRE",V24)))</formula>
    </cfRule>
    <cfRule type="containsText" dxfId="5514" priority="6237" operator="containsText" text="COSH">
      <formula>NOT(ISERROR(SEARCH("COSH",V24)))</formula>
    </cfRule>
  </conditionalFormatting>
  <conditionalFormatting sqref="AA24">
    <cfRule type="containsText" dxfId="5513" priority="6232" operator="containsText" text="FAT">
      <formula>NOT(ISERROR(SEARCH("FAT",AA24)))</formula>
    </cfRule>
    <cfRule type="containsText" dxfId="5512" priority="6233" operator="containsText" text="FIRE">
      <formula>NOT(ISERROR(SEARCH("FIRE",AA24)))</formula>
    </cfRule>
    <cfRule type="containsText" dxfId="5511" priority="6234" operator="containsText" text="COSH">
      <formula>NOT(ISERROR(SEARCH("COSH",AA24)))</formula>
    </cfRule>
  </conditionalFormatting>
  <conditionalFormatting sqref="U24:Z24">
    <cfRule type="containsText" dxfId="5510" priority="6229" operator="containsText" text="FAT">
      <formula>NOT(ISERROR(SEARCH("FAT",U24)))</formula>
    </cfRule>
    <cfRule type="containsText" dxfId="5509" priority="6230" operator="containsText" text="FIRE">
      <formula>NOT(ISERROR(SEARCH("FIRE",U24)))</formula>
    </cfRule>
    <cfRule type="containsText" dxfId="5508" priority="6231" operator="containsText" text="COSH">
      <formula>NOT(ISERROR(SEARCH("COSH",U24)))</formula>
    </cfRule>
  </conditionalFormatting>
  <conditionalFormatting sqref="P24">
    <cfRule type="containsText" dxfId="5507" priority="6226" operator="containsText" text="FAT">
      <formula>NOT(ISERROR(SEARCH("FAT",P24)))</formula>
    </cfRule>
    <cfRule type="containsText" dxfId="5506" priority="6227" operator="containsText" text="FIRE">
      <formula>NOT(ISERROR(SEARCH("FIRE",P24)))</formula>
    </cfRule>
    <cfRule type="containsText" dxfId="5505" priority="6228" operator="containsText" text="COSH">
      <formula>NOT(ISERROR(SEARCH("COSH",P24)))</formula>
    </cfRule>
  </conditionalFormatting>
  <conditionalFormatting sqref="P24">
    <cfRule type="containsText" dxfId="5504" priority="6223" operator="containsText" text="FAT">
      <formula>NOT(ISERROR(SEARCH("FAT",P24)))</formula>
    </cfRule>
    <cfRule type="containsText" dxfId="5503" priority="6224" operator="containsText" text="FIRE">
      <formula>NOT(ISERROR(SEARCH("FIRE",P24)))</formula>
    </cfRule>
    <cfRule type="containsText" dxfId="5502" priority="6225" operator="containsText" text="COSH">
      <formula>NOT(ISERROR(SEARCH("COSH",P24)))</formula>
    </cfRule>
  </conditionalFormatting>
  <conditionalFormatting sqref="P24">
    <cfRule type="containsText" dxfId="5501" priority="6220" operator="containsText" text="FAT">
      <formula>NOT(ISERROR(SEARCH("FAT",P24)))</formula>
    </cfRule>
    <cfRule type="containsText" dxfId="5500" priority="6221" operator="containsText" text="FIRE">
      <formula>NOT(ISERROR(SEARCH("FIRE",P24)))</formula>
    </cfRule>
    <cfRule type="containsText" dxfId="5499" priority="6222" operator="containsText" text="COSH">
      <formula>NOT(ISERROR(SEARCH("COSH",P24)))</formula>
    </cfRule>
  </conditionalFormatting>
  <conditionalFormatting sqref="P24">
    <cfRule type="containsText" dxfId="5498" priority="6217" operator="containsText" text="FAT">
      <formula>NOT(ISERROR(SEARCH("FAT",P24)))</formula>
    </cfRule>
    <cfRule type="containsText" dxfId="5497" priority="6218" operator="containsText" text="FIRE">
      <formula>NOT(ISERROR(SEARCH("FIRE",P24)))</formula>
    </cfRule>
    <cfRule type="containsText" dxfId="5496" priority="6219" operator="containsText" text="COSH">
      <formula>NOT(ISERROR(SEARCH("COSH",P24)))</formula>
    </cfRule>
  </conditionalFormatting>
  <conditionalFormatting sqref="V24:W24">
    <cfRule type="containsText" dxfId="5495" priority="6214" operator="containsText" text="FAT">
      <formula>NOT(ISERROR(SEARCH("FAT",V24)))</formula>
    </cfRule>
    <cfRule type="containsText" dxfId="5494" priority="6215" operator="containsText" text="FIRE">
      <formula>NOT(ISERROR(SEARCH("FIRE",V24)))</formula>
    </cfRule>
    <cfRule type="containsText" dxfId="5493" priority="6216" operator="containsText" text="COSH">
      <formula>NOT(ISERROR(SEARCH("COSH",V24)))</formula>
    </cfRule>
  </conditionalFormatting>
  <conditionalFormatting sqref="X24">
    <cfRule type="containsText" dxfId="5492" priority="6211" operator="containsText" text="FAT">
      <formula>NOT(ISERROR(SEARCH("FAT",X24)))</formula>
    </cfRule>
    <cfRule type="containsText" dxfId="5491" priority="6212" operator="containsText" text="FIRE">
      <formula>NOT(ISERROR(SEARCH("FIRE",X24)))</formula>
    </cfRule>
    <cfRule type="containsText" dxfId="5490" priority="6213" operator="containsText" text="COSH">
      <formula>NOT(ISERROR(SEARCH("COSH",X24)))</formula>
    </cfRule>
  </conditionalFormatting>
  <conditionalFormatting sqref="X24">
    <cfRule type="containsText" dxfId="5489" priority="6208" operator="containsText" text="FAT">
      <formula>NOT(ISERROR(SEARCH("FAT",X24)))</formula>
    </cfRule>
    <cfRule type="containsText" dxfId="5488" priority="6209" operator="containsText" text="FIRE">
      <formula>NOT(ISERROR(SEARCH("FIRE",X24)))</formula>
    </cfRule>
    <cfRule type="containsText" dxfId="5487" priority="6210" operator="containsText" text="COSH">
      <formula>NOT(ISERROR(SEARCH("COSH",X24)))</formula>
    </cfRule>
  </conditionalFormatting>
  <conditionalFormatting sqref="V24:W24">
    <cfRule type="containsText" dxfId="5486" priority="6205" operator="containsText" text="FAT">
      <formula>NOT(ISERROR(SEARCH("FAT",V24)))</formula>
    </cfRule>
    <cfRule type="containsText" dxfId="5485" priority="6206" operator="containsText" text="FIRE">
      <formula>NOT(ISERROR(SEARCH("FIRE",V24)))</formula>
    </cfRule>
    <cfRule type="containsText" dxfId="5484" priority="6207" operator="containsText" text="COSH">
      <formula>NOT(ISERROR(SEARCH("COSH",V24)))</formula>
    </cfRule>
  </conditionalFormatting>
  <conditionalFormatting sqref="X24">
    <cfRule type="containsText" dxfId="5483" priority="6202" operator="containsText" text="FAT">
      <formula>NOT(ISERROR(SEARCH("FAT",X24)))</formula>
    </cfRule>
    <cfRule type="containsText" dxfId="5482" priority="6203" operator="containsText" text="FIRE">
      <formula>NOT(ISERROR(SEARCH("FIRE",X24)))</formula>
    </cfRule>
    <cfRule type="containsText" dxfId="5481" priority="6204" operator="containsText" text="COSH">
      <formula>NOT(ISERROR(SEARCH("COSH",X24)))</formula>
    </cfRule>
  </conditionalFormatting>
  <conditionalFormatting sqref="V24:W24">
    <cfRule type="containsText" dxfId="5480" priority="6199" operator="containsText" text="FAT">
      <formula>NOT(ISERROR(SEARCH("FAT",V24)))</formula>
    </cfRule>
    <cfRule type="containsText" dxfId="5479" priority="6200" operator="containsText" text="FIRE">
      <formula>NOT(ISERROR(SEARCH("FIRE",V24)))</formula>
    </cfRule>
    <cfRule type="containsText" dxfId="5478" priority="6201" operator="containsText" text="COSH">
      <formula>NOT(ISERROR(SEARCH("COSH",V24)))</formula>
    </cfRule>
  </conditionalFormatting>
  <conditionalFormatting sqref="X24">
    <cfRule type="containsText" dxfId="5477" priority="6196" operator="containsText" text="FAT">
      <formula>NOT(ISERROR(SEARCH("FAT",X24)))</formula>
    </cfRule>
    <cfRule type="containsText" dxfId="5476" priority="6197" operator="containsText" text="FIRE">
      <formula>NOT(ISERROR(SEARCH("FIRE",X24)))</formula>
    </cfRule>
    <cfRule type="containsText" dxfId="5475" priority="6198" operator="containsText" text="COSH">
      <formula>NOT(ISERROR(SEARCH("COSH",X24)))</formula>
    </cfRule>
  </conditionalFormatting>
  <conditionalFormatting sqref="V24:W24">
    <cfRule type="containsText" dxfId="5474" priority="6193" operator="containsText" text="FAT">
      <formula>NOT(ISERROR(SEARCH("FAT",V24)))</formula>
    </cfRule>
    <cfRule type="containsText" dxfId="5473" priority="6194" operator="containsText" text="FIRE">
      <formula>NOT(ISERROR(SEARCH("FIRE",V24)))</formula>
    </cfRule>
    <cfRule type="containsText" dxfId="5472" priority="6195" operator="containsText" text="COSH">
      <formula>NOT(ISERROR(SEARCH("COSH",V24)))</formula>
    </cfRule>
  </conditionalFormatting>
  <conditionalFormatting sqref="X24">
    <cfRule type="containsText" dxfId="5471" priority="6190" operator="containsText" text="FAT">
      <formula>NOT(ISERROR(SEARCH("FAT",X24)))</formula>
    </cfRule>
    <cfRule type="containsText" dxfId="5470" priority="6191" operator="containsText" text="FIRE">
      <formula>NOT(ISERROR(SEARCH("FIRE",X24)))</formula>
    </cfRule>
    <cfRule type="containsText" dxfId="5469" priority="6192" operator="containsText" text="COSH">
      <formula>NOT(ISERROR(SEARCH("COSH",X24)))</formula>
    </cfRule>
  </conditionalFormatting>
  <conditionalFormatting sqref="V24:W24">
    <cfRule type="containsText" dxfId="5468" priority="6187" operator="containsText" text="FAT">
      <formula>NOT(ISERROR(SEARCH("FAT",V24)))</formula>
    </cfRule>
    <cfRule type="containsText" dxfId="5467" priority="6188" operator="containsText" text="FIRE">
      <formula>NOT(ISERROR(SEARCH("FIRE",V24)))</formula>
    </cfRule>
    <cfRule type="containsText" dxfId="5466" priority="6189" operator="containsText" text="COSH">
      <formula>NOT(ISERROR(SEARCH("COSH",V24)))</formula>
    </cfRule>
  </conditionalFormatting>
  <conditionalFormatting sqref="X24">
    <cfRule type="containsText" dxfId="5465" priority="6184" operator="containsText" text="FAT">
      <formula>NOT(ISERROR(SEARCH("FAT",X24)))</formula>
    </cfRule>
    <cfRule type="containsText" dxfId="5464" priority="6185" operator="containsText" text="FIRE">
      <formula>NOT(ISERROR(SEARCH("FIRE",X24)))</formula>
    </cfRule>
    <cfRule type="containsText" dxfId="5463" priority="6186" operator="containsText" text="COSH">
      <formula>NOT(ISERROR(SEARCH("COSH",X24)))</formula>
    </cfRule>
  </conditionalFormatting>
  <conditionalFormatting sqref="V24:W24">
    <cfRule type="containsText" dxfId="5462" priority="6181" operator="containsText" text="FAT">
      <formula>NOT(ISERROR(SEARCH("FAT",V24)))</formula>
    </cfRule>
    <cfRule type="containsText" dxfId="5461" priority="6182" operator="containsText" text="FIRE">
      <formula>NOT(ISERROR(SEARCH("FIRE",V24)))</formula>
    </cfRule>
    <cfRule type="containsText" dxfId="5460" priority="6183" operator="containsText" text="COSH">
      <formula>NOT(ISERROR(SEARCH("COSH",V24)))</formula>
    </cfRule>
  </conditionalFormatting>
  <conditionalFormatting sqref="X24">
    <cfRule type="containsText" dxfId="5459" priority="6178" operator="containsText" text="FAT">
      <formula>NOT(ISERROR(SEARCH("FAT",X24)))</formula>
    </cfRule>
    <cfRule type="containsText" dxfId="5458" priority="6179" operator="containsText" text="FIRE">
      <formula>NOT(ISERROR(SEARCH("FIRE",X24)))</formula>
    </cfRule>
    <cfRule type="containsText" dxfId="5457" priority="6180" operator="containsText" text="COSH">
      <formula>NOT(ISERROR(SEARCH("COSH",X24)))</formula>
    </cfRule>
  </conditionalFormatting>
  <conditionalFormatting sqref="Z24">
    <cfRule type="containsText" dxfId="5456" priority="6175" operator="containsText" text="FAT">
      <formula>NOT(ISERROR(SEARCH("FAT",Z24)))</formula>
    </cfRule>
    <cfRule type="containsText" dxfId="5455" priority="6176" operator="containsText" text="FIRE">
      <formula>NOT(ISERROR(SEARCH("FIRE",Z24)))</formula>
    </cfRule>
    <cfRule type="containsText" dxfId="5454" priority="6177" operator="containsText" text="COSH">
      <formula>NOT(ISERROR(SEARCH("COSH",Z24)))</formula>
    </cfRule>
  </conditionalFormatting>
  <conditionalFormatting sqref="X24">
    <cfRule type="containsText" dxfId="5453" priority="6172" operator="containsText" text="FAT">
      <formula>NOT(ISERROR(SEARCH("FAT",X24)))</formula>
    </cfRule>
    <cfRule type="containsText" dxfId="5452" priority="6173" operator="containsText" text="FIRE">
      <formula>NOT(ISERROR(SEARCH("FIRE",X24)))</formula>
    </cfRule>
    <cfRule type="containsText" dxfId="5451" priority="6174" operator="containsText" text="COSH">
      <formula>NOT(ISERROR(SEARCH("COSH",X24)))</formula>
    </cfRule>
  </conditionalFormatting>
  <conditionalFormatting sqref="AA24">
    <cfRule type="containsText" dxfId="5450" priority="6169" operator="containsText" text="FAT">
      <formula>NOT(ISERROR(SEARCH("FAT",AA24)))</formula>
    </cfRule>
    <cfRule type="containsText" dxfId="5449" priority="6170" operator="containsText" text="FIRE">
      <formula>NOT(ISERROR(SEARCH("FIRE",AA24)))</formula>
    </cfRule>
    <cfRule type="containsText" dxfId="5448" priority="6171" operator="containsText" text="COSH">
      <formula>NOT(ISERROR(SEARCH("COSH",AA24)))</formula>
    </cfRule>
  </conditionalFormatting>
  <conditionalFormatting sqref="Y24">
    <cfRule type="containsText" dxfId="5447" priority="6166" operator="containsText" text="FAT">
      <formula>NOT(ISERROR(SEARCH("FAT",Y24)))</formula>
    </cfRule>
    <cfRule type="containsText" dxfId="5446" priority="6167" operator="containsText" text="FIRE">
      <formula>NOT(ISERROR(SEARCH("FIRE",Y24)))</formula>
    </cfRule>
    <cfRule type="containsText" dxfId="5445" priority="6168" operator="containsText" text="COSH">
      <formula>NOT(ISERROR(SEARCH("COSH",Y24)))</formula>
    </cfRule>
  </conditionalFormatting>
  <conditionalFormatting sqref="X24">
    <cfRule type="containsText" dxfId="5444" priority="6163" operator="containsText" text="FAT">
      <formula>NOT(ISERROR(SEARCH("FAT",X24)))</formula>
    </cfRule>
    <cfRule type="containsText" dxfId="5443" priority="6164" operator="containsText" text="FIRE">
      <formula>NOT(ISERROR(SEARCH("FIRE",X24)))</formula>
    </cfRule>
    <cfRule type="containsText" dxfId="5442" priority="6165" operator="containsText" text="COSH">
      <formula>NOT(ISERROR(SEARCH("COSH",X24)))</formula>
    </cfRule>
  </conditionalFormatting>
  <conditionalFormatting sqref="V24:W24">
    <cfRule type="containsText" dxfId="5441" priority="6160" operator="containsText" text="FAT">
      <formula>NOT(ISERROR(SEARCH("FAT",V24)))</formula>
    </cfRule>
    <cfRule type="containsText" dxfId="5440" priority="6161" operator="containsText" text="FIRE">
      <formula>NOT(ISERROR(SEARCH("FIRE",V24)))</formula>
    </cfRule>
    <cfRule type="containsText" dxfId="5439" priority="6162" operator="containsText" text="COSH">
      <formula>NOT(ISERROR(SEARCH("COSH",V24)))</formula>
    </cfRule>
  </conditionalFormatting>
  <conditionalFormatting sqref="X24">
    <cfRule type="containsText" dxfId="5438" priority="6157" operator="containsText" text="FAT">
      <formula>NOT(ISERROR(SEARCH("FAT",X24)))</formula>
    </cfRule>
    <cfRule type="containsText" dxfId="5437" priority="6158" operator="containsText" text="FIRE">
      <formula>NOT(ISERROR(SEARCH("FIRE",X24)))</formula>
    </cfRule>
    <cfRule type="containsText" dxfId="5436" priority="6159" operator="containsText" text="COSH">
      <formula>NOT(ISERROR(SEARCH("COSH",X24)))</formula>
    </cfRule>
  </conditionalFormatting>
  <conditionalFormatting sqref="V24:W24">
    <cfRule type="containsText" dxfId="5435" priority="6154" operator="containsText" text="FAT">
      <formula>NOT(ISERROR(SEARCH("FAT",V24)))</formula>
    </cfRule>
    <cfRule type="containsText" dxfId="5434" priority="6155" operator="containsText" text="FIRE">
      <formula>NOT(ISERROR(SEARCH("FIRE",V24)))</formula>
    </cfRule>
    <cfRule type="containsText" dxfId="5433" priority="6156" operator="containsText" text="COSH">
      <formula>NOT(ISERROR(SEARCH("COSH",V24)))</formula>
    </cfRule>
  </conditionalFormatting>
  <conditionalFormatting sqref="X24">
    <cfRule type="containsText" dxfId="5432" priority="6151" operator="containsText" text="FAT">
      <formula>NOT(ISERROR(SEARCH("FAT",X24)))</formula>
    </cfRule>
    <cfRule type="containsText" dxfId="5431" priority="6152" operator="containsText" text="FIRE">
      <formula>NOT(ISERROR(SEARCH("FIRE",X24)))</formula>
    </cfRule>
    <cfRule type="containsText" dxfId="5430" priority="6153" operator="containsText" text="COSH">
      <formula>NOT(ISERROR(SEARCH("COSH",X24)))</formula>
    </cfRule>
  </conditionalFormatting>
  <conditionalFormatting sqref="V24:W24">
    <cfRule type="containsText" dxfId="5429" priority="6148" operator="containsText" text="FAT">
      <formula>NOT(ISERROR(SEARCH("FAT",V24)))</formula>
    </cfRule>
    <cfRule type="containsText" dxfId="5428" priority="6149" operator="containsText" text="FIRE">
      <formula>NOT(ISERROR(SEARCH("FIRE",V24)))</formula>
    </cfRule>
    <cfRule type="containsText" dxfId="5427" priority="6150" operator="containsText" text="COSH">
      <formula>NOT(ISERROR(SEARCH("COSH",V24)))</formula>
    </cfRule>
  </conditionalFormatting>
  <conditionalFormatting sqref="X24">
    <cfRule type="containsText" dxfId="5426" priority="6145" operator="containsText" text="FAT">
      <formula>NOT(ISERROR(SEARCH("FAT",X24)))</formula>
    </cfRule>
    <cfRule type="containsText" dxfId="5425" priority="6146" operator="containsText" text="FIRE">
      <formula>NOT(ISERROR(SEARCH("FIRE",X24)))</formula>
    </cfRule>
    <cfRule type="containsText" dxfId="5424" priority="6147" operator="containsText" text="COSH">
      <formula>NOT(ISERROR(SEARCH("COSH",X24)))</formula>
    </cfRule>
  </conditionalFormatting>
  <conditionalFormatting sqref="V24:W24">
    <cfRule type="containsText" dxfId="5423" priority="6142" operator="containsText" text="FAT">
      <formula>NOT(ISERROR(SEARCH("FAT",V24)))</formula>
    </cfRule>
    <cfRule type="containsText" dxfId="5422" priority="6143" operator="containsText" text="FIRE">
      <formula>NOT(ISERROR(SEARCH("FIRE",V24)))</formula>
    </cfRule>
    <cfRule type="containsText" dxfId="5421" priority="6144" operator="containsText" text="COSH">
      <formula>NOT(ISERROR(SEARCH("COSH",V24)))</formula>
    </cfRule>
  </conditionalFormatting>
  <conditionalFormatting sqref="X24">
    <cfRule type="containsText" dxfId="5420" priority="6139" operator="containsText" text="FAT">
      <formula>NOT(ISERROR(SEARCH("FAT",X24)))</formula>
    </cfRule>
    <cfRule type="containsText" dxfId="5419" priority="6140" operator="containsText" text="FIRE">
      <formula>NOT(ISERROR(SEARCH("FIRE",X24)))</formula>
    </cfRule>
    <cfRule type="containsText" dxfId="5418" priority="6141" operator="containsText" text="COSH">
      <formula>NOT(ISERROR(SEARCH("COSH",X24)))</formula>
    </cfRule>
  </conditionalFormatting>
  <conditionalFormatting sqref="P24">
    <cfRule type="containsText" dxfId="5417" priority="6136" operator="containsText" text="FAT">
      <formula>NOT(ISERROR(SEARCH("FAT",P24)))</formula>
    </cfRule>
    <cfRule type="containsText" dxfId="5416" priority="6137" operator="containsText" text="FIRE">
      <formula>NOT(ISERROR(SEARCH("FIRE",P24)))</formula>
    </cfRule>
    <cfRule type="containsText" dxfId="5415" priority="6138" operator="containsText" text="COSH">
      <formula>NOT(ISERROR(SEARCH("COSH",P24)))</formula>
    </cfRule>
  </conditionalFormatting>
  <conditionalFormatting sqref="P24">
    <cfRule type="containsText" dxfId="5414" priority="6133" operator="containsText" text="FAT">
      <formula>NOT(ISERROR(SEARCH("FAT",P24)))</formula>
    </cfRule>
    <cfRule type="containsText" dxfId="5413" priority="6134" operator="containsText" text="FIRE">
      <formula>NOT(ISERROR(SEARCH("FIRE",P24)))</formula>
    </cfRule>
    <cfRule type="containsText" dxfId="5412" priority="6135" operator="containsText" text="COSH">
      <formula>NOT(ISERROR(SEARCH("COSH",P24)))</formula>
    </cfRule>
  </conditionalFormatting>
  <conditionalFormatting sqref="P24">
    <cfRule type="containsText" dxfId="5411" priority="6130" operator="containsText" text="FAT">
      <formula>NOT(ISERROR(SEARCH("FAT",P24)))</formula>
    </cfRule>
    <cfRule type="containsText" dxfId="5410" priority="6131" operator="containsText" text="FIRE">
      <formula>NOT(ISERROR(SEARCH("FIRE",P24)))</formula>
    </cfRule>
    <cfRule type="containsText" dxfId="5409" priority="6132" operator="containsText" text="COSH">
      <formula>NOT(ISERROR(SEARCH("COSH",P24)))</formula>
    </cfRule>
  </conditionalFormatting>
  <conditionalFormatting sqref="V24">
    <cfRule type="containsText" dxfId="5408" priority="6127" operator="containsText" text="FAT">
      <formula>NOT(ISERROR(SEARCH("FAT",V24)))</formula>
    </cfRule>
    <cfRule type="containsText" dxfId="5407" priority="6128" operator="containsText" text="FIRE">
      <formula>NOT(ISERROR(SEARCH("FIRE",V24)))</formula>
    </cfRule>
    <cfRule type="containsText" dxfId="5406" priority="6129" operator="containsText" text="COSH">
      <formula>NOT(ISERROR(SEARCH("COSH",V24)))</formula>
    </cfRule>
  </conditionalFormatting>
  <conditionalFormatting sqref="V24">
    <cfRule type="containsText" dxfId="5405" priority="6124" operator="containsText" text="FAT">
      <formula>NOT(ISERROR(SEARCH("FAT",V24)))</formula>
    </cfRule>
    <cfRule type="containsText" dxfId="5404" priority="6125" operator="containsText" text="FIRE">
      <formula>NOT(ISERROR(SEARCH("FIRE",V24)))</formula>
    </cfRule>
    <cfRule type="containsText" dxfId="5403" priority="6126" operator="containsText" text="COSH">
      <formula>NOT(ISERROR(SEARCH("COSH",V24)))</formula>
    </cfRule>
  </conditionalFormatting>
  <conditionalFormatting sqref="V24">
    <cfRule type="containsText" dxfId="5402" priority="6121" operator="containsText" text="FAT">
      <formula>NOT(ISERROR(SEARCH("FAT",V24)))</formula>
    </cfRule>
    <cfRule type="containsText" dxfId="5401" priority="6122" operator="containsText" text="FIRE">
      <formula>NOT(ISERROR(SEARCH("FIRE",V24)))</formula>
    </cfRule>
    <cfRule type="containsText" dxfId="5400" priority="6123" operator="containsText" text="COSH">
      <formula>NOT(ISERROR(SEARCH("COSH",V24)))</formula>
    </cfRule>
  </conditionalFormatting>
  <conditionalFormatting sqref="V24">
    <cfRule type="containsText" dxfId="5399" priority="6118" operator="containsText" text="FAT">
      <formula>NOT(ISERROR(SEARCH("FAT",V24)))</formula>
    </cfRule>
    <cfRule type="containsText" dxfId="5398" priority="6119" operator="containsText" text="FIRE">
      <formula>NOT(ISERROR(SEARCH("FIRE",V24)))</formula>
    </cfRule>
    <cfRule type="containsText" dxfId="5397" priority="6120" operator="containsText" text="COSH">
      <formula>NOT(ISERROR(SEARCH("COSH",V24)))</formula>
    </cfRule>
  </conditionalFormatting>
  <conditionalFormatting sqref="V24">
    <cfRule type="containsText" dxfId="5396" priority="6115" operator="containsText" text="FAT">
      <formula>NOT(ISERROR(SEARCH("FAT",V24)))</formula>
    </cfRule>
    <cfRule type="containsText" dxfId="5395" priority="6116" operator="containsText" text="FIRE">
      <formula>NOT(ISERROR(SEARCH("FIRE",V24)))</formula>
    </cfRule>
    <cfRule type="containsText" dxfId="5394" priority="6117" operator="containsText" text="COSH">
      <formula>NOT(ISERROR(SEARCH("COSH",V24)))</formula>
    </cfRule>
  </conditionalFormatting>
  <conditionalFormatting sqref="V24">
    <cfRule type="containsText" dxfId="5393" priority="6112" operator="containsText" text="FAT">
      <formula>NOT(ISERROR(SEARCH("FAT",V24)))</formula>
    </cfRule>
    <cfRule type="containsText" dxfId="5392" priority="6113" operator="containsText" text="FIRE">
      <formula>NOT(ISERROR(SEARCH("FIRE",V24)))</formula>
    </cfRule>
    <cfRule type="containsText" dxfId="5391" priority="6114" operator="containsText" text="COSH">
      <formula>NOT(ISERROR(SEARCH("COSH",V24)))</formula>
    </cfRule>
  </conditionalFormatting>
  <conditionalFormatting sqref="V24">
    <cfRule type="containsText" dxfId="5390" priority="6109" operator="containsText" text="FAT">
      <formula>NOT(ISERROR(SEARCH("FAT",V24)))</formula>
    </cfRule>
    <cfRule type="containsText" dxfId="5389" priority="6110" operator="containsText" text="FIRE">
      <formula>NOT(ISERROR(SEARCH("FIRE",V24)))</formula>
    </cfRule>
    <cfRule type="containsText" dxfId="5388" priority="6111" operator="containsText" text="COSH">
      <formula>NOT(ISERROR(SEARCH("COSH",V24)))</formula>
    </cfRule>
  </conditionalFormatting>
  <conditionalFormatting sqref="V24">
    <cfRule type="containsText" dxfId="5387" priority="6106" operator="containsText" text="FAT">
      <formula>NOT(ISERROR(SEARCH("FAT",V24)))</formula>
    </cfRule>
    <cfRule type="containsText" dxfId="5386" priority="6107" operator="containsText" text="FIRE">
      <formula>NOT(ISERROR(SEARCH("FIRE",V24)))</formula>
    </cfRule>
    <cfRule type="containsText" dxfId="5385" priority="6108" operator="containsText" text="COSH">
      <formula>NOT(ISERROR(SEARCH("COSH",V24)))</formula>
    </cfRule>
  </conditionalFormatting>
  <conditionalFormatting sqref="V24">
    <cfRule type="containsText" dxfId="5384" priority="6103" operator="containsText" text="FAT">
      <formula>NOT(ISERROR(SEARCH("FAT",V24)))</formula>
    </cfRule>
    <cfRule type="containsText" dxfId="5383" priority="6104" operator="containsText" text="FIRE">
      <formula>NOT(ISERROR(SEARCH("FIRE",V24)))</formula>
    </cfRule>
    <cfRule type="containsText" dxfId="5382" priority="6105" operator="containsText" text="COSH">
      <formula>NOT(ISERROR(SEARCH("COSH",V24)))</formula>
    </cfRule>
  </conditionalFormatting>
  <conditionalFormatting sqref="V24">
    <cfRule type="containsText" dxfId="5381" priority="6100" operator="containsText" text="FAT">
      <formula>NOT(ISERROR(SEARCH("FAT",V24)))</formula>
    </cfRule>
    <cfRule type="containsText" dxfId="5380" priority="6101" operator="containsText" text="FIRE">
      <formula>NOT(ISERROR(SEARCH("FIRE",V24)))</formula>
    </cfRule>
    <cfRule type="containsText" dxfId="5379" priority="6102" operator="containsText" text="COSH">
      <formula>NOT(ISERROR(SEARCH("COSH",V24)))</formula>
    </cfRule>
  </conditionalFormatting>
  <conditionalFormatting sqref="N30:P30 U30:W30">
    <cfRule type="containsText" dxfId="5378" priority="6097" operator="containsText" text="FAT">
      <formula>NOT(ISERROR(SEARCH("FAT",N30)))</formula>
    </cfRule>
    <cfRule type="containsText" dxfId="5377" priority="6098" operator="containsText" text="FIRE">
      <formula>NOT(ISERROR(SEARCH("FIRE",N30)))</formula>
    </cfRule>
    <cfRule type="containsText" dxfId="5376" priority="6099" operator="containsText" text="COSH">
      <formula>NOT(ISERROR(SEARCH("COSH",N30)))</formula>
    </cfRule>
  </conditionalFormatting>
  <conditionalFormatting sqref="Z30">
    <cfRule type="containsText" dxfId="5375" priority="6094" operator="containsText" text="FAT">
      <formula>NOT(ISERROR(SEARCH("FAT",Z30)))</formula>
    </cfRule>
    <cfRule type="containsText" dxfId="5374" priority="6095" operator="containsText" text="FIRE">
      <formula>NOT(ISERROR(SEARCH("FIRE",Z30)))</formula>
    </cfRule>
    <cfRule type="containsText" dxfId="5373" priority="6096" operator="containsText" text="COSH">
      <formula>NOT(ISERROR(SEARCH("COSH",Z30)))</formula>
    </cfRule>
  </conditionalFormatting>
  <conditionalFormatting sqref="X30">
    <cfRule type="containsText" dxfId="5372" priority="6091" operator="containsText" text="FAT">
      <formula>NOT(ISERROR(SEARCH("FAT",X30)))</formula>
    </cfRule>
    <cfRule type="containsText" dxfId="5371" priority="6092" operator="containsText" text="FIRE">
      <formula>NOT(ISERROR(SEARCH("FIRE",X30)))</formula>
    </cfRule>
    <cfRule type="containsText" dxfId="5370" priority="6093" operator="containsText" text="COSH">
      <formula>NOT(ISERROR(SEARCH("COSH",X30)))</formula>
    </cfRule>
  </conditionalFormatting>
  <conditionalFormatting sqref="AA30">
    <cfRule type="containsText" dxfId="5369" priority="6088" operator="containsText" text="FAT">
      <formula>NOT(ISERROR(SEARCH("FAT",AA30)))</formula>
    </cfRule>
    <cfRule type="containsText" dxfId="5368" priority="6089" operator="containsText" text="FIRE">
      <formula>NOT(ISERROR(SEARCH("FIRE",AA30)))</formula>
    </cfRule>
    <cfRule type="containsText" dxfId="5367" priority="6090" operator="containsText" text="COSH">
      <formula>NOT(ISERROR(SEARCH("COSH",AA30)))</formula>
    </cfRule>
  </conditionalFormatting>
  <conditionalFormatting sqref="Y30">
    <cfRule type="containsText" dxfId="5366" priority="6085" operator="containsText" text="FAT">
      <formula>NOT(ISERROR(SEARCH("FAT",Y30)))</formula>
    </cfRule>
    <cfRule type="containsText" dxfId="5365" priority="6086" operator="containsText" text="FIRE">
      <formula>NOT(ISERROR(SEARCH("FIRE",Y30)))</formula>
    </cfRule>
    <cfRule type="containsText" dxfId="5364" priority="6087" operator="containsText" text="COSH">
      <formula>NOT(ISERROR(SEARCH("COSH",Y30)))</formula>
    </cfRule>
  </conditionalFormatting>
  <conditionalFormatting sqref="X30">
    <cfRule type="containsText" dxfId="5363" priority="6082" operator="containsText" text="FAT">
      <formula>NOT(ISERROR(SEARCH("FAT",X30)))</formula>
    </cfRule>
    <cfRule type="containsText" dxfId="5362" priority="6083" operator="containsText" text="FIRE">
      <formula>NOT(ISERROR(SEARCH("FIRE",X30)))</formula>
    </cfRule>
    <cfRule type="containsText" dxfId="5361" priority="6084" operator="containsText" text="COSH">
      <formula>NOT(ISERROR(SEARCH("COSH",X30)))</formula>
    </cfRule>
  </conditionalFormatting>
  <conditionalFormatting sqref="V30:W30">
    <cfRule type="containsText" dxfId="5360" priority="6079" operator="containsText" text="FAT">
      <formula>NOT(ISERROR(SEARCH("FAT",V30)))</formula>
    </cfRule>
    <cfRule type="containsText" dxfId="5359" priority="6080" operator="containsText" text="FIRE">
      <formula>NOT(ISERROR(SEARCH("FIRE",V30)))</formula>
    </cfRule>
    <cfRule type="containsText" dxfId="5358" priority="6081" operator="containsText" text="COSH">
      <formula>NOT(ISERROR(SEARCH("COSH",V30)))</formula>
    </cfRule>
  </conditionalFormatting>
  <conditionalFormatting sqref="X30">
    <cfRule type="containsText" dxfId="5357" priority="6076" operator="containsText" text="FAT">
      <formula>NOT(ISERROR(SEARCH("FAT",X30)))</formula>
    </cfRule>
    <cfRule type="containsText" dxfId="5356" priority="6077" operator="containsText" text="FIRE">
      <formula>NOT(ISERROR(SEARCH("FIRE",X30)))</formula>
    </cfRule>
    <cfRule type="containsText" dxfId="5355" priority="6078" operator="containsText" text="COSH">
      <formula>NOT(ISERROR(SEARCH("COSH",X30)))</formula>
    </cfRule>
  </conditionalFormatting>
  <conditionalFormatting sqref="V30:W30">
    <cfRule type="containsText" dxfId="5354" priority="6073" operator="containsText" text="FAT">
      <formula>NOT(ISERROR(SEARCH("FAT",V30)))</formula>
    </cfRule>
    <cfRule type="containsText" dxfId="5353" priority="6074" operator="containsText" text="FIRE">
      <formula>NOT(ISERROR(SEARCH("FIRE",V30)))</formula>
    </cfRule>
    <cfRule type="containsText" dxfId="5352" priority="6075" operator="containsText" text="COSH">
      <formula>NOT(ISERROR(SEARCH("COSH",V30)))</formula>
    </cfRule>
  </conditionalFormatting>
  <conditionalFormatting sqref="X30">
    <cfRule type="containsText" dxfId="5351" priority="6070" operator="containsText" text="FAT">
      <formula>NOT(ISERROR(SEARCH("FAT",X30)))</formula>
    </cfRule>
    <cfRule type="containsText" dxfId="5350" priority="6071" operator="containsText" text="FIRE">
      <formula>NOT(ISERROR(SEARCH("FIRE",X30)))</formula>
    </cfRule>
    <cfRule type="containsText" dxfId="5349" priority="6072" operator="containsText" text="COSH">
      <formula>NOT(ISERROR(SEARCH("COSH",X30)))</formula>
    </cfRule>
  </conditionalFormatting>
  <conditionalFormatting sqref="V30:W30">
    <cfRule type="containsText" dxfId="5348" priority="6067" operator="containsText" text="FAT">
      <formula>NOT(ISERROR(SEARCH("FAT",V30)))</formula>
    </cfRule>
    <cfRule type="containsText" dxfId="5347" priority="6068" operator="containsText" text="FIRE">
      <formula>NOT(ISERROR(SEARCH("FIRE",V30)))</formula>
    </cfRule>
    <cfRule type="containsText" dxfId="5346" priority="6069" operator="containsText" text="COSH">
      <formula>NOT(ISERROR(SEARCH("COSH",V30)))</formula>
    </cfRule>
  </conditionalFormatting>
  <conditionalFormatting sqref="X30">
    <cfRule type="containsText" dxfId="5345" priority="6064" operator="containsText" text="FAT">
      <formula>NOT(ISERROR(SEARCH("FAT",X30)))</formula>
    </cfRule>
    <cfRule type="containsText" dxfId="5344" priority="6065" operator="containsText" text="FIRE">
      <formula>NOT(ISERROR(SEARCH("FIRE",X30)))</formula>
    </cfRule>
    <cfRule type="containsText" dxfId="5343" priority="6066" operator="containsText" text="COSH">
      <formula>NOT(ISERROR(SEARCH("COSH",X30)))</formula>
    </cfRule>
  </conditionalFormatting>
  <conditionalFormatting sqref="V30:W30">
    <cfRule type="containsText" dxfId="5342" priority="6061" operator="containsText" text="FAT">
      <formula>NOT(ISERROR(SEARCH("FAT",V30)))</formula>
    </cfRule>
    <cfRule type="containsText" dxfId="5341" priority="6062" operator="containsText" text="FIRE">
      <formula>NOT(ISERROR(SEARCH("FIRE",V30)))</formula>
    </cfRule>
    <cfRule type="containsText" dxfId="5340" priority="6063" operator="containsText" text="COSH">
      <formula>NOT(ISERROR(SEARCH("COSH",V30)))</formula>
    </cfRule>
  </conditionalFormatting>
  <conditionalFormatting sqref="X30">
    <cfRule type="containsText" dxfId="5339" priority="6058" operator="containsText" text="FAT">
      <formula>NOT(ISERROR(SEARCH("FAT",X30)))</formula>
    </cfRule>
    <cfRule type="containsText" dxfId="5338" priority="6059" operator="containsText" text="FIRE">
      <formula>NOT(ISERROR(SEARCH("FIRE",X30)))</formula>
    </cfRule>
    <cfRule type="containsText" dxfId="5337" priority="6060" operator="containsText" text="COSH">
      <formula>NOT(ISERROR(SEARCH("COSH",X30)))</formula>
    </cfRule>
  </conditionalFormatting>
  <conditionalFormatting sqref="P30">
    <cfRule type="containsText" dxfId="5336" priority="6055" operator="containsText" text="FAT">
      <formula>NOT(ISERROR(SEARCH("FAT",P30)))</formula>
    </cfRule>
    <cfRule type="containsText" dxfId="5335" priority="6056" operator="containsText" text="FIRE">
      <formula>NOT(ISERROR(SEARCH("FIRE",P30)))</formula>
    </cfRule>
    <cfRule type="containsText" dxfId="5334" priority="6057" operator="containsText" text="COSH">
      <formula>NOT(ISERROR(SEARCH("COSH",P30)))</formula>
    </cfRule>
  </conditionalFormatting>
  <conditionalFormatting sqref="P30">
    <cfRule type="containsText" dxfId="5333" priority="6052" operator="containsText" text="FAT">
      <formula>NOT(ISERROR(SEARCH("FAT",P30)))</formula>
    </cfRule>
    <cfRule type="containsText" dxfId="5332" priority="6053" operator="containsText" text="FIRE">
      <formula>NOT(ISERROR(SEARCH("FIRE",P30)))</formula>
    </cfRule>
    <cfRule type="containsText" dxfId="5331" priority="6054" operator="containsText" text="COSH">
      <formula>NOT(ISERROR(SEARCH("COSH",P30)))</formula>
    </cfRule>
  </conditionalFormatting>
  <conditionalFormatting sqref="P30">
    <cfRule type="containsText" dxfId="5330" priority="6049" operator="containsText" text="FAT">
      <formula>NOT(ISERROR(SEARCH("FAT",P30)))</formula>
    </cfRule>
    <cfRule type="containsText" dxfId="5329" priority="6050" operator="containsText" text="FIRE">
      <formula>NOT(ISERROR(SEARCH("FIRE",P30)))</formula>
    </cfRule>
    <cfRule type="containsText" dxfId="5328" priority="6051" operator="containsText" text="COSH">
      <formula>NOT(ISERROR(SEARCH("COSH",P30)))</formula>
    </cfRule>
  </conditionalFormatting>
  <conditionalFormatting sqref="V30">
    <cfRule type="containsText" dxfId="5327" priority="6046" operator="containsText" text="FAT">
      <formula>NOT(ISERROR(SEARCH("FAT",V30)))</formula>
    </cfRule>
    <cfRule type="containsText" dxfId="5326" priority="6047" operator="containsText" text="FIRE">
      <formula>NOT(ISERROR(SEARCH("FIRE",V30)))</formula>
    </cfRule>
    <cfRule type="containsText" dxfId="5325" priority="6048" operator="containsText" text="COSH">
      <formula>NOT(ISERROR(SEARCH("COSH",V30)))</formula>
    </cfRule>
  </conditionalFormatting>
  <conditionalFormatting sqref="V30">
    <cfRule type="containsText" dxfId="5324" priority="6043" operator="containsText" text="FAT">
      <formula>NOT(ISERROR(SEARCH("FAT",V30)))</formula>
    </cfRule>
    <cfRule type="containsText" dxfId="5323" priority="6044" operator="containsText" text="FIRE">
      <formula>NOT(ISERROR(SEARCH("FIRE",V30)))</formula>
    </cfRule>
    <cfRule type="containsText" dxfId="5322" priority="6045" operator="containsText" text="COSH">
      <formula>NOT(ISERROR(SEARCH("COSH",V30)))</formula>
    </cfRule>
  </conditionalFormatting>
  <conditionalFormatting sqref="V30">
    <cfRule type="containsText" dxfId="5321" priority="6040" operator="containsText" text="FAT">
      <formula>NOT(ISERROR(SEARCH("FAT",V30)))</formula>
    </cfRule>
    <cfRule type="containsText" dxfId="5320" priority="6041" operator="containsText" text="FIRE">
      <formula>NOT(ISERROR(SEARCH("FIRE",V30)))</formula>
    </cfRule>
    <cfRule type="containsText" dxfId="5319" priority="6042" operator="containsText" text="COSH">
      <formula>NOT(ISERROR(SEARCH("COSH",V30)))</formula>
    </cfRule>
  </conditionalFormatting>
  <conditionalFormatting sqref="V30">
    <cfRule type="containsText" dxfId="5318" priority="6037" operator="containsText" text="FAT">
      <formula>NOT(ISERROR(SEARCH("FAT",V30)))</formula>
    </cfRule>
    <cfRule type="containsText" dxfId="5317" priority="6038" operator="containsText" text="FIRE">
      <formula>NOT(ISERROR(SEARCH("FIRE",V30)))</formula>
    </cfRule>
    <cfRule type="containsText" dxfId="5316" priority="6039" operator="containsText" text="COSH">
      <formula>NOT(ISERROR(SEARCH("COSH",V30)))</formula>
    </cfRule>
  </conditionalFormatting>
  <conditionalFormatting sqref="V30">
    <cfRule type="containsText" dxfId="5315" priority="6034" operator="containsText" text="FAT">
      <formula>NOT(ISERROR(SEARCH("FAT",V30)))</formula>
    </cfRule>
    <cfRule type="containsText" dxfId="5314" priority="6035" operator="containsText" text="FIRE">
      <formula>NOT(ISERROR(SEARCH("FIRE",V30)))</formula>
    </cfRule>
    <cfRule type="containsText" dxfId="5313" priority="6036" operator="containsText" text="COSH">
      <formula>NOT(ISERROR(SEARCH("COSH",V30)))</formula>
    </cfRule>
  </conditionalFormatting>
  <conditionalFormatting sqref="V30">
    <cfRule type="containsText" dxfId="5312" priority="6031" operator="containsText" text="FAT">
      <formula>NOT(ISERROR(SEARCH("FAT",V30)))</formula>
    </cfRule>
    <cfRule type="containsText" dxfId="5311" priority="6032" operator="containsText" text="FIRE">
      <formula>NOT(ISERROR(SEARCH("FIRE",V30)))</formula>
    </cfRule>
    <cfRule type="containsText" dxfId="5310" priority="6033" operator="containsText" text="COSH">
      <formula>NOT(ISERROR(SEARCH("COSH",V30)))</formula>
    </cfRule>
  </conditionalFormatting>
  <conditionalFormatting sqref="V30">
    <cfRule type="containsText" dxfId="5309" priority="6028" operator="containsText" text="FAT">
      <formula>NOT(ISERROR(SEARCH("FAT",V30)))</formula>
    </cfRule>
    <cfRule type="containsText" dxfId="5308" priority="6029" operator="containsText" text="FIRE">
      <formula>NOT(ISERROR(SEARCH("FIRE",V30)))</formula>
    </cfRule>
    <cfRule type="containsText" dxfId="5307" priority="6030" operator="containsText" text="COSH">
      <formula>NOT(ISERROR(SEARCH("COSH",V30)))</formula>
    </cfRule>
  </conditionalFormatting>
  <conditionalFormatting sqref="V30">
    <cfRule type="containsText" dxfId="5306" priority="6025" operator="containsText" text="FAT">
      <formula>NOT(ISERROR(SEARCH("FAT",V30)))</formula>
    </cfRule>
    <cfRule type="containsText" dxfId="5305" priority="6026" operator="containsText" text="FIRE">
      <formula>NOT(ISERROR(SEARCH("FIRE",V30)))</formula>
    </cfRule>
    <cfRule type="containsText" dxfId="5304" priority="6027" operator="containsText" text="COSH">
      <formula>NOT(ISERROR(SEARCH("COSH",V30)))</formula>
    </cfRule>
  </conditionalFormatting>
  <conditionalFormatting sqref="V30">
    <cfRule type="containsText" dxfId="5303" priority="6022" operator="containsText" text="FAT">
      <formula>NOT(ISERROR(SEARCH("FAT",V30)))</formula>
    </cfRule>
    <cfRule type="containsText" dxfId="5302" priority="6023" operator="containsText" text="FIRE">
      <formula>NOT(ISERROR(SEARCH("FIRE",V30)))</formula>
    </cfRule>
    <cfRule type="containsText" dxfId="5301" priority="6024" operator="containsText" text="COSH">
      <formula>NOT(ISERROR(SEARCH("COSH",V30)))</formula>
    </cfRule>
  </conditionalFormatting>
  <conditionalFormatting sqref="V30">
    <cfRule type="containsText" dxfId="5300" priority="6019" operator="containsText" text="FAT">
      <formula>NOT(ISERROR(SEARCH("FAT",V30)))</formula>
    </cfRule>
    <cfRule type="containsText" dxfId="5299" priority="6020" operator="containsText" text="FIRE">
      <formula>NOT(ISERROR(SEARCH("FIRE",V30)))</formula>
    </cfRule>
    <cfRule type="containsText" dxfId="5298" priority="6021" operator="containsText" text="COSH">
      <formula>NOT(ISERROR(SEARCH("COSH",V30)))</formula>
    </cfRule>
  </conditionalFormatting>
  <conditionalFormatting sqref="S32:S33">
    <cfRule type="containsText" dxfId="5297" priority="6016" operator="containsText" text="FAT">
      <formula>NOT(ISERROR(SEARCH("FAT",S32)))</formula>
    </cfRule>
    <cfRule type="containsText" dxfId="5296" priority="6017" operator="containsText" text="FIRE">
      <formula>NOT(ISERROR(SEARCH("FIRE",S32)))</formula>
    </cfRule>
    <cfRule type="containsText" dxfId="5295" priority="6018" operator="containsText" text="COSH">
      <formula>NOT(ISERROR(SEARCH("COSH",S32)))</formula>
    </cfRule>
  </conditionalFormatting>
  <conditionalFormatting sqref="Z32:Z33">
    <cfRule type="containsText" dxfId="5294" priority="6013" operator="containsText" text="FAT">
      <formula>NOT(ISERROR(SEARCH("FAT",Z32)))</formula>
    </cfRule>
    <cfRule type="containsText" dxfId="5293" priority="6014" operator="containsText" text="FIRE">
      <formula>NOT(ISERROR(SEARCH("FIRE",Z32)))</formula>
    </cfRule>
    <cfRule type="containsText" dxfId="5292" priority="6015" operator="containsText" text="COSH">
      <formula>NOT(ISERROR(SEARCH("COSH",Z32)))</formula>
    </cfRule>
  </conditionalFormatting>
  <conditionalFormatting sqref="X32:X33">
    <cfRule type="containsText" dxfId="5291" priority="6010" operator="containsText" text="FAT">
      <formula>NOT(ISERROR(SEARCH("FAT",X32)))</formula>
    </cfRule>
    <cfRule type="containsText" dxfId="5290" priority="6011" operator="containsText" text="FIRE">
      <formula>NOT(ISERROR(SEARCH("FIRE",X32)))</formula>
    </cfRule>
    <cfRule type="containsText" dxfId="5289" priority="6012" operator="containsText" text="COSH">
      <formula>NOT(ISERROR(SEARCH("COSH",X32)))</formula>
    </cfRule>
  </conditionalFormatting>
  <conditionalFormatting sqref="T32:T33">
    <cfRule type="containsText" dxfId="5288" priority="6007" operator="containsText" text="FAT">
      <formula>NOT(ISERROR(SEARCH("FAT",T32)))</formula>
    </cfRule>
    <cfRule type="containsText" dxfId="5287" priority="6008" operator="containsText" text="FIRE">
      <formula>NOT(ISERROR(SEARCH("FIRE",T32)))</formula>
    </cfRule>
    <cfRule type="containsText" dxfId="5286" priority="6009" operator="containsText" text="COSH">
      <formula>NOT(ISERROR(SEARCH("COSH",T32)))</formula>
    </cfRule>
  </conditionalFormatting>
  <conditionalFormatting sqref="Y32:Y33">
    <cfRule type="containsText" dxfId="5285" priority="6004" operator="containsText" text="FAT">
      <formula>NOT(ISERROR(SEARCH("FAT",Y32)))</formula>
    </cfRule>
    <cfRule type="containsText" dxfId="5284" priority="6005" operator="containsText" text="FIRE">
      <formula>NOT(ISERROR(SEARCH("FIRE",Y32)))</formula>
    </cfRule>
    <cfRule type="containsText" dxfId="5283" priority="6006" operator="containsText" text="COSH">
      <formula>NOT(ISERROR(SEARCH("COSH",Y32)))</formula>
    </cfRule>
  </conditionalFormatting>
  <conditionalFormatting sqref="X32:X33">
    <cfRule type="containsText" dxfId="5282" priority="6001" operator="containsText" text="FAT">
      <formula>NOT(ISERROR(SEARCH("FAT",X32)))</formula>
    </cfRule>
    <cfRule type="containsText" dxfId="5281" priority="6002" operator="containsText" text="FIRE">
      <formula>NOT(ISERROR(SEARCH("FIRE",X32)))</formula>
    </cfRule>
    <cfRule type="containsText" dxfId="5280" priority="6003" operator="containsText" text="COSH">
      <formula>NOT(ISERROR(SEARCH("COSH",X32)))</formula>
    </cfRule>
  </conditionalFormatting>
  <conditionalFormatting sqref="V32:W33">
    <cfRule type="containsText" dxfId="5279" priority="5998" operator="containsText" text="FAT">
      <formula>NOT(ISERROR(SEARCH("FAT",V32)))</formula>
    </cfRule>
    <cfRule type="containsText" dxfId="5278" priority="5999" operator="containsText" text="FIRE">
      <formula>NOT(ISERROR(SEARCH("FIRE",V32)))</formula>
    </cfRule>
    <cfRule type="containsText" dxfId="5277" priority="6000" operator="containsText" text="COSH">
      <formula>NOT(ISERROR(SEARCH("COSH",V32)))</formula>
    </cfRule>
  </conditionalFormatting>
  <conditionalFormatting sqref="X32:X33">
    <cfRule type="containsText" dxfId="5276" priority="5995" operator="containsText" text="FAT">
      <formula>NOT(ISERROR(SEARCH("FAT",X32)))</formula>
    </cfRule>
    <cfRule type="containsText" dxfId="5275" priority="5996" operator="containsText" text="FIRE">
      <formula>NOT(ISERROR(SEARCH("FIRE",X32)))</formula>
    </cfRule>
    <cfRule type="containsText" dxfId="5274" priority="5997" operator="containsText" text="COSH">
      <formula>NOT(ISERROR(SEARCH("COSH",X32)))</formula>
    </cfRule>
  </conditionalFormatting>
  <conditionalFormatting sqref="V32:W33">
    <cfRule type="containsText" dxfId="5273" priority="5992" operator="containsText" text="FAT">
      <formula>NOT(ISERROR(SEARCH("FAT",V32)))</formula>
    </cfRule>
    <cfRule type="containsText" dxfId="5272" priority="5993" operator="containsText" text="FIRE">
      <formula>NOT(ISERROR(SEARCH("FIRE",V32)))</formula>
    </cfRule>
    <cfRule type="containsText" dxfId="5271" priority="5994" operator="containsText" text="COSH">
      <formula>NOT(ISERROR(SEARCH("COSH",V32)))</formula>
    </cfRule>
  </conditionalFormatting>
  <conditionalFormatting sqref="X32:X33">
    <cfRule type="containsText" dxfId="5270" priority="5989" operator="containsText" text="FAT">
      <formula>NOT(ISERROR(SEARCH("FAT",X32)))</formula>
    </cfRule>
    <cfRule type="containsText" dxfId="5269" priority="5990" operator="containsText" text="FIRE">
      <formula>NOT(ISERROR(SEARCH("FIRE",X32)))</formula>
    </cfRule>
    <cfRule type="containsText" dxfId="5268" priority="5991" operator="containsText" text="COSH">
      <formula>NOT(ISERROR(SEARCH("COSH",X32)))</formula>
    </cfRule>
  </conditionalFormatting>
  <conditionalFormatting sqref="V32:W33">
    <cfRule type="containsText" dxfId="5267" priority="5986" operator="containsText" text="FAT">
      <formula>NOT(ISERROR(SEARCH("FAT",V32)))</formula>
    </cfRule>
    <cfRule type="containsText" dxfId="5266" priority="5987" operator="containsText" text="FIRE">
      <formula>NOT(ISERROR(SEARCH("FIRE",V32)))</formula>
    </cfRule>
    <cfRule type="containsText" dxfId="5265" priority="5988" operator="containsText" text="COSH">
      <formula>NOT(ISERROR(SEARCH("COSH",V32)))</formula>
    </cfRule>
  </conditionalFormatting>
  <conditionalFormatting sqref="X32:X33">
    <cfRule type="containsText" dxfId="5264" priority="5983" operator="containsText" text="FAT">
      <formula>NOT(ISERROR(SEARCH("FAT",X32)))</formula>
    </cfRule>
    <cfRule type="containsText" dxfId="5263" priority="5984" operator="containsText" text="FIRE">
      <formula>NOT(ISERROR(SEARCH("FIRE",X32)))</formula>
    </cfRule>
    <cfRule type="containsText" dxfId="5262" priority="5985" operator="containsText" text="COSH">
      <formula>NOT(ISERROR(SEARCH("COSH",X32)))</formula>
    </cfRule>
  </conditionalFormatting>
  <conditionalFormatting sqref="V32:W33">
    <cfRule type="containsText" dxfId="5261" priority="5980" operator="containsText" text="FAT">
      <formula>NOT(ISERROR(SEARCH("FAT",V32)))</formula>
    </cfRule>
    <cfRule type="containsText" dxfId="5260" priority="5981" operator="containsText" text="FIRE">
      <formula>NOT(ISERROR(SEARCH("FIRE",V32)))</formula>
    </cfRule>
    <cfRule type="containsText" dxfId="5259" priority="5982" operator="containsText" text="COSH">
      <formula>NOT(ISERROR(SEARCH("COSH",V32)))</formula>
    </cfRule>
  </conditionalFormatting>
  <conditionalFormatting sqref="X32:X33">
    <cfRule type="containsText" dxfId="5258" priority="5977" operator="containsText" text="FAT">
      <formula>NOT(ISERROR(SEARCH("FAT",X32)))</formula>
    </cfRule>
    <cfRule type="containsText" dxfId="5257" priority="5978" operator="containsText" text="FIRE">
      <formula>NOT(ISERROR(SEARCH("FIRE",X32)))</formula>
    </cfRule>
    <cfRule type="containsText" dxfId="5256" priority="5979" operator="containsText" text="COSH">
      <formula>NOT(ISERROR(SEARCH("COSH",X32)))</formula>
    </cfRule>
  </conditionalFormatting>
  <conditionalFormatting sqref="P32:Q33">
    <cfRule type="containsText" dxfId="5255" priority="5974" operator="containsText" text="FAT">
      <formula>NOT(ISERROR(SEARCH("FAT",P32)))</formula>
    </cfRule>
    <cfRule type="containsText" dxfId="5254" priority="5975" operator="containsText" text="FIRE">
      <formula>NOT(ISERROR(SEARCH("FIRE",P32)))</formula>
    </cfRule>
    <cfRule type="containsText" dxfId="5253" priority="5976" operator="containsText" text="COSH">
      <formula>NOT(ISERROR(SEARCH("COSH",P32)))</formula>
    </cfRule>
  </conditionalFormatting>
  <conditionalFormatting sqref="P32:Q33">
    <cfRule type="containsText" dxfId="5252" priority="5971" operator="containsText" text="FAT">
      <formula>NOT(ISERROR(SEARCH("FAT",P32)))</formula>
    </cfRule>
    <cfRule type="containsText" dxfId="5251" priority="5972" operator="containsText" text="FIRE">
      <formula>NOT(ISERROR(SEARCH("FIRE",P32)))</formula>
    </cfRule>
    <cfRule type="containsText" dxfId="5250" priority="5973" operator="containsText" text="COSH">
      <formula>NOT(ISERROR(SEARCH("COSH",P32)))</formula>
    </cfRule>
  </conditionalFormatting>
  <conditionalFormatting sqref="P32:Q33">
    <cfRule type="containsText" dxfId="5249" priority="5968" operator="containsText" text="FAT">
      <formula>NOT(ISERROR(SEARCH("FAT",P32)))</formula>
    </cfRule>
    <cfRule type="containsText" dxfId="5248" priority="5969" operator="containsText" text="FIRE">
      <formula>NOT(ISERROR(SEARCH("FIRE",P32)))</formula>
    </cfRule>
    <cfRule type="containsText" dxfId="5247" priority="5970" operator="containsText" text="COSH">
      <formula>NOT(ISERROR(SEARCH("COSH",P32)))</formula>
    </cfRule>
  </conditionalFormatting>
  <conditionalFormatting sqref="V32:V33">
    <cfRule type="containsText" dxfId="5246" priority="5965" operator="containsText" text="FAT">
      <formula>NOT(ISERROR(SEARCH("FAT",V32)))</formula>
    </cfRule>
    <cfRule type="containsText" dxfId="5245" priority="5966" operator="containsText" text="FIRE">
      <formula>NOT(ISERROR(SEARCH("FIRE",V32)))</formula>
    </cfRule>
    <cfRule type="containsText" dxfId="5244" priority="5967" operator="containsText" text="COSH">
      <formula>NOT(ISERROR(SEARCH("COSH",V32)))</formula>
    </cfRule>
  </conditionalFormatting>
  <conditionalFormatting sqref="V32:V33">
    <cfRule type="containsText" dxfId="5243" priority="5962" operator="containsText" text="FAT">
      <formula>NOT(ISERROR(SEARCH("FAT",V32)))</formula>
    </cfRule>
    <cfRule type="containsText" dxfId="5242" priority="5963" operator="containsText" text="FIRE">
      <formula>NOT(ISERROR(SEARCH("FIRE",V32)))</formula>
    </cfRule>
    <cfRule type="containsText" dxfId="5241" priority="5964" operator="containsText" text="COSH">
      <formula>NOT(ISERROR(SEARCH("COSH",V32)))</formula>
    </cfRule>
  </conditionalFormatting>
  <conditionalFormatting sqref="V32:V33">
    <cfRule type="containsText" dxfId="5240" priority="5959" operator="containsText" text="FAT">
      <formula>NOT(ISERROR(SEARCH("FAT",V32)))</formula>
    </cfRule>
    <cfRule type="containsText" dxfId="5239" priority="5960" operator="containsText" text="FIRE">
      <formula>NOT(ISERROR(SEARCH("FIRE",V32)))</formula>
    </cfRule>
    <cfRule type="containsText" dxfId="5238" priority="5961" operator="containsText" text="COSH">
      <formula>NOT(ISERROR(SEARCH("COSH",V32)))</formula>
    </cfRule>
  </conditionalFormatting>
  <conditionalFormatting sqref="V32:V33">
    <cfRule type="containsText" dxfId="5237" priority="5956" operator="containsText" text="FAT">
      <formula>NOT(ISERROR(SEARCH("FAT",V32)))</formula>
    </cfRule>
    <cfRule type="containsText" dxfId="5236" priority="5957" operator="containsText" text="FIRE">
      <formula>NOT(ISERROR(SEARCH("FIRE",V32)))</formula>
    </cfRule>
    <cfRule type="containsText" dxfId="5235" priority="5958" operator="containsText" text="COSH">
      <formula>NOT(ISERROR(SEARCH("COSH",V32)))</formula>
    </cfRule>
  </conditionalFormatting>
  <conditionalFormatting sqref="V32:V33">
    <cfRule type="containsText" dxfId="5234" priority="5953" operator="containsText" text="FAT">
      <formula>NOT(ISERROR(SEARCH("FAT",V32)))</formula>
    </cfRule>
    <cfRule type="containsText" dxfId="5233" priority="5954" operator="containsText" text="FIRE">
      <formula>NOT(ISERROR(SEARCH("FIRE",V32)))</formula>
    </cfRule>
    <cfRule type="containsText" dxfId="5232" priority="5955" operator="containsText" text="COSH">
      <formula>NOT(ISERROR(SEARCH("COSH",V32)))</formula>
    </cfRule>
  </conditionalFormatting>
  <conditionalFormatting sqref="V32:V33">
    <cfRule type="containsText" dxfId="5231" priority="5950" operator="containsText" text="FAT">
      <formula>NOT(ISERROR(SEARCH("FAT",V32)))</formula>
    </cfRule>
    <cfRule type="containsText" dxfId="5230" priority="5951" operator="containsText" text="FIRE">
      <formula>NOT(ISERROR(SEARCH("FIRE",V32)))</formula>
    </cfRule>
    <cfRule type="containsText" dxfId="5229" priority="5952" operator="containsText" text="COSH">
      <formula>NOT(ISERROR(SEARCH("COSH",V32)))</formula>
    </cfRule>
  </conditionalFormatting>
  <conditionalFormatting sqref="V32:V33">
    <cfRule type="containsText" dxfId="5228" priority="5947" operator="containsText" text="FAT">
      <formula>NOT(ISERROR(SEARCH("FAT",V32)))</formula>
    </cfRule>
    <cfRule type="containsText" dxfId="5227" priority="5948" operator="containsText" text="FIRE">
      <formula>NOT(ISERROR(SEARCH("FIRE",V32)))</formula>
    </cfRule>
    <cfRule type="containsText" dxfId="5226" priority="5949" operator="containsText" text="COSH">
      <formula>NOT(ISERROR(SEARCH("COSH",V32)))</formula>
    </cfRule>
  </conditionalFormatting>
  <conditionalFormatting sqref="V32:V33">
    <cfRule type="containsText" dxfId="5225" priority="5944" operator="containsText" text="FAT">
      <formula>NOT(ISERROR(SEARCH("FAT",V32)))</formula>
    </cfRule>
    <cfRule type="containsText" dxfId="5224" priority="5945" operator="containsText" text="FIRE">
      <formula>NOT(ISERROR(SEARCH("FIRE",V32)))</formula>
    </cfRule>
    <cfRule type="containsText" dxfId="5223" priority="5946" operator="containsText" text="COSH">
      <formula>NOT(ISERROR(SEARCH("COSH",V32)))</formula>
    </cfRule>
  </conditionalFormatting>
  <conditionalFormatting sqref="V32:V33">
    <cfRule type="containsText" dxfId="5222" priority="5941" operator="containsText" text="FAT">
      <formula>NOT(ISERROR(SEARCH("FAT",V32)))</formula>
    </cfRule>
    <cfRule type="containsText" dxfId="5221" priority="5942" operator="containsText" text="FIRE">
      <formula>NOT(ISERROR(SEARCH("FIRE",V32)))</formula>
    </cfRule>
    <cfRule type="containsText" dxfId="5220" priority="5943" operator="containsText" text="COSH">
      <formula>NOT(ISERROR(SEARCH("COSH",V32)))</formula>
    </cfRule>
  </conditionalFormatting>
  <conditionalFormatting sqref="V32:V33">
    <cfRule type="containsText" dxfId="5219" priority="5938" operator="containsText" text="FAT">
      <formula>NOT(ISERROR(SEARCH("FAT",V32)))</formula>
    </cfRule>
    <cfRule type="containsText" dxfId="5218" priority="5939" operator="containsText" text="FIRE">
      <formula>NOT(ISERROR(SEARCH("FIRE",V32)))</formula>
    </cfRule>
    <cfRule type="containsText" dxfId="5217" priority="5940" operator="containsText" text="COSH">
      <formula>NOT(ISERROR(SEARCH("COSH",V32)))</formula>
    </cfRule>
  </conditionalFormatting>
  <conditionalFormatting sqref="N14:P15 U14:W15 N26:S26 U26:AB26">
    <cfRule type="containsText" dxfId="5216" priority="5935" operator="containsText" text="FAT">
      <formula>NOT(ISERROR(SEARCH("FAT",N14)))</formula>
    </cfRule>
    <cfRule type="containsText" dxfId="5215" priority="5936" operator="containsText" text="FIRE">
      <formula>NOT(ISERROR(SEARCH("FIRE",N14)))</formula>
    </cfRule>
    <cfRule type="containsText" dxfId="5214" priority="5937" operator="containsText" text="COSH">
      <formula>NOT(ISERROR(SEARCH("COSH",N14)))</formula>
    </cfRule>
  </conditionalFormatting>
  <conditionalFormatting sqref="AA14:AA15">
    <cfRule type="containsText" dxfId="5213" priority="5932" operator="containsText" text="FAT">
      <formula>NOT(ISERROR(SEARCH("FAT",AA14)))</formula>
    </cfRule>
    <cfRule type="containsText" dxfId="5212" priority="5933" operator="containsText" text="FIRE">
      <formula>NOT(ISERROR(SEARCH("FIRE",AA14)))</formula>
    </cfRule>
    <cfRule type="containsText" dxfId="5211" priority="5934" operator="containsText" text="COSH">
      <formula>NOT(ISERROR(SEARCH("COSH",AA14)))</formula>
    </cfRule>
  </conditionalFormatting>
  <conditionalFormatting sqref="U14:Z15">
    <cfRule type="containsText" dxfId="5210" priority="5929" operator="containsText" text="FAT">
      <formula>NOT(ISERROR(SEARCH("FAT",U14)))</formula>
    </cfRule>
    <cfRule type="containsText" dxfId="5209" priority="5930" operator="containsText" text="FIRE">
      <formula>NOT(ISERROR(SEARCH("FIRE",U14)))</formula>
    </cfRule>
    <cfRule type="containsText" dxfId="5208" priority="5931" operator="containsText" text="COSH">
      <formula>NOT(ISERROR(SEARCH("COSH",U14)))</formula>
    </cfRule>
  </conditionalFormatting>
  <conditionalFormatting sqref="P14:P15 P26:S26 U26:AB26">
    <cfRule type="containsText" dxfId="5207" priority="5926" operator="containsText" text="FAT">
      <formula>NOT(ISERROR(SEARCH("FAT",P14)))</formula>
    </cfRule>
    <cfRule type="containsText" dxfId="5206" priority="5927" operator="containsText" text="FIRE">
      <formula>NOT(ISERROR(SEARCH("FIRE",P14)))</formula>
    </cfRule>
    <cfRule type="containsText" dxfId="5205" priority="5928" operator="containsText" text="COSH">
      <formula>NOT(ISERROR(SEARCH("COSH",P14)))</formula>
    </cfRule>
  </conditionalFormatting>
  <conditionalFormatting sqref="P14:P15 P26:S26 U26:AB26">
    <cfRule type="containsText" dxfId="5204" priority="5923" operator="containsText" text="FAT">
      <formula>NOT(ISERROR(SEARCH("FAT",P14)))</formula>
    </cfRule>
    <cfRule type="containsText" dxfId="5203" priority="5924" operator="containsText" text="FIRE">
      <formula>NOT(ISERROR(SEARCH("FIRE",P14)))</formula>
    </cfRule>
    <cfRule type="containsText" dxfId="5202" priority="5925" operator="containsText" text="COSH">
      <formula>NOT(ISERROR(SEARCH("COSH",P14)))</formula>
    </cfRule>
  </conditionalFormatting>
  <conditionalFormatting sqref="P14:P15 P26:S26 U26:AB26">
    <cfRule type="containsText" dxfId="5201" priority="5920" operator="containsText" text="FAT">
      <formula>NOT(ISERROR(SEARCH("FAT",P14)))</formula>
    </cfRule>
    <cfRule type="containsText" dxfId="5200" priority="5921" operator="containsText" text="FIRE">
      <formula>NOT(ISERROR(SEARCH("FIRE",P14)))</formula>
    </cfRule>
    <cfRule type="containsText" dxfId="5199" priority="5922" operator="containsText" text="COSH">
      <formula>NOT(ISERROR(SEARCH("COSH",P14)))</formula>
    </cfRule>
  </conditionalFormatting>
  <conditionalFormatting sqref="P14:P15 P26:S26 U26:AB26">
    <cfRule type="containsText" dxfId="5198" priority="5917" operator="containsText" text="FAT">
      <formula>NOT(ISERROR(SEARCH("FAT",P14)))</formula>
    </cfRule>
    <cfRule type="containsText" dxfId="5197" priority="5918" operator="containsText" text="FIRE">
      <formula>NOT(ISERROR(SEARCH("FIRE",P14)))</formula>
    </cfRule>
    <cfRule type="containsText" dxfId="5196" priority="5919" operator="containsText" text="COSH">
      <formula>NOT(ISERROR(SEARCH("COSH",P14)))</formula>
    </cfRule>
  </conditionalFormatting>
  <conditionalFormatting sqref="V14:W15">
    <cfRule type="containsText" dxfId="5195" priority="5914" operator="containsText" text="FAT">
      <formula>NOT(ISERROR(SEARCH("FAT",V14)))</formula>
    </cfRule>
    <cfRule type="containsText" dxfId="5194" priority="5915" operator="containsText" text="FIRE">
      <formula>NOT(ISERROR(SEARCH("FIRE",V14)))</formula>
    </cfRule>
    <cfRule type="containsText" dxfId="5193" priority="5916" operator="containsText" text="COSH">
      <formula>NOT(ISERROR(SEARCH("COSH",V14)))</formula>
    </cfRule>
  </conditionalFormatting>
  <conditionalFormatting sqref="X14:X15">
    <cfRule type="containsText" dxfId="5192" priority="5911" operator="containsText" text="FAT">
      <formula>NOT(ISERROR(SEARCH("FAT",X14)))</formula>
    </cfRule>
    <cfRule type="containsText" dxfId="5191" priority="5912" operator="containsText" text="FIRE">
      <formula>NOT(ISERROR(SEARCH("FIRE",X14)))</formula>
    </cfRule>
    <cfRule type="containsText" dxfId="5190" priority="5913" operator="containsText" text="COSH">
      <formula>NOT(ISERROR(SEARCH("COSH",X14)))</formula>
    </cfRule>
  </conditionalFormatting>
  <conditionalFormatting sqref="X14:X15">
    <cfRule type="containsText" dxfId="5189" priority="5908" operator="containsText" text="FAT">
      <formula>NOT(ISERROR(SEARCH("FAT",X14)))</formula>
    </cfRule>
    <cfRule type="containsText" dxfId="5188" priority="5909" operator="containsText" text="FIRE">
      <formula>NOT(ISERROR(SEARCH("FIRE",X14)))</formula>
    </cfRule>
    <cfRule type="containsText" dxfId="5187" priority="5910" operator="containsText" text="COSH">
      <formula>NOT(ISERROR(SEARCH("COSH",X14)))</formula>
    </cfRule>
  </conditionalFormatting>
  <conditionalFormatting sqref="V14:W15">
    <cfRule type="containsText" dxfId="5186" priority="5905" operator="containsText" text="FAT">
      <formula>NOT(ISERROR(SEARCH("FAT",V14)))</formula>
    </cfRule>
    <cfRule type="containsText" dxfId="5185" priority="5906" operator="containsText" text="FIRE">
      <formula>NOT(ISERROR(SEARCH("FIRE",V14)))</formula>
    </cfRule>
    <cfRule type="containsText" dxfId="5184" priority="5907" operator="containsText" text="COSH">
      <formula>NOT(ISERROR(SEARCH("COSH",V14)))</formula>
    </cfRule>
  </conditionalFormatting>
  <conditionalFormatting sqref="X14:X15">
    <cfRule type="containsText" dxfId="5183" priority="5902" operator="containsText" text="FAT">
      <formula>NOT(ISERROR(SEARCH("FAT",X14)))</formula>
    </cfRule>
    <cfRule type="containsText" dxfId="5182" priority="5903" operator="containsText" text="FIRE">
      <formula>NOT(ISERROR(SEARCH("FIRE",X14)))</formula>
    </cfRule>
    <cfRule type="containsText" dxfId="5181" priority="5904" operator="containsText" text="COSH">
      <formula>NOT(ISERROR(SEARCH("COSH",X14)))</formula>
    </cfRule>
  </conditionalFormatting>
  <conditionalFormatting sqref="V14:W15">
    <cfRule type="containsText" dxfId="5180" priority="5899" operator="containsText" text="FAT">
      <formula>NOT(ISERROR(SEARCH("FAT",V14)))</formula>
    </cfRule>
    <cfRule type="containsText" dxfId="5179" priority="5900" operator="containsText" text="FIRE">
      <formula>NOT(ISERROR(SEARCH("FIRE",V14)))</formula>
    </cfRule>
    <cfRule type="containsText" dxfId="5178" priority="5901" operator="containsText" text="COSH">
      <formula>NOT(ISERROR(SEARCH("COSH",V14)))</formula>
    </cfRule>
  </conditionalFormatting>
  <conditionalFormatting sqref="X14:X15">
    <cfRule type="containsText" dxfId="5177" priority="5896" operator="containsText" text="FAT">
      <formula>NOT(ISERROR(SEARCH("FAT",X14)))</formula>
    </cfRule>
    <cfRule type="containsText" dxfId="5176" priority="5897" operator="containsText" text="FIRE">
      <formula>NOT(ISERROR(SEARCH("FIRE",X14)))</formula>
    </cfRule>
    <cfRule type="containsText" dxfId="5175" priority="5898" operator="containsText" text="COSH">
      <formula>NOT(ISERROR(SEARCH("COSH",X14)))</formula>
    </cfRule>
  </conditionalFormatting>
  <conditionalFormatting sqref="V14:W15">
    <cfRule type="containsText" dxfId="5174" priority="5893" operator="containsText" text="FAT">
      <formula>NOT(ISERROR(SEARCH("FAT",V14)))</formula>
    </cfRule>
    <cfRule type="containsText" dxfId="5173" priority="5894" operator="containsText" text="FIRE">
      <formula>NOT(ISERROR(SEARCH("FIRE",V14)))</formula>
    </cfRule>
    <cfRule type="containsText" dxfId="5172" priority="5895" operator="containsText" text="COSH">
      <formula>NOT(ISERROR(SEARCH("COSH",V14)))</formula>
    </cfRule>
  </conditionalFormatting>
  <conditionalFormatting sqref="X14:X15">
    <cfRule type="containsText" dxfId="5171" priority="5890" operator="containsText" text="FAT">
      <formula>NOT(ISERROR(SEARCH("FAT",X14)))</formula>
    </cfRule>
    <cfRule type="containsText" dxfId="5170" priority="5891" operator="containsText" text="FIRE">
      <formula>NOT(ISERROR(SEARCH("FIRE",X14)))</formula>
    </cfRule>
    <cfRule type="containsText" dxfId="5169" priority="5892" operator="containsText" text="COSH">
      <formula>NOT(ISERROR(SEARCH("COSH",X14)))</formula>
    </cfRule>
  </conditionalFormatting>
  <conditionalFormatting sqref="V14:W15">
    <cfRule type="containsText" dxfId="5168" priority="5887" operator="containsText" text="FAT">
      <formula>NOT(ISERROR(SEARCH("FAT",V14)))</formula>
    </cfRule>
    <cfRule type="containsText" dxfId="5167" priority="5888" operator="containsText" text="FIRE">
      <formula>NOT(ISERROR(SEARCH("FIRE",V14)))</formula>
    </cfRule>
    <cfRule type="containsText" dxfId="5166" priority="5889" operator="containsText" text="COSH">
      <formula>NOT(ISERROR(SEARCH("COSH",V14)))</formula>
    </cfRule>
  </conditionalFormatting>
  <conditionalFormatting sqref="X14:X15">
    <cfRule type="containsText" dxfId="5165" priority="5884" operator="containsText" text="FAT">
      <formula>NOT(ISERROR(SEARCH("FAT",X14)))</formula>
    </cfRule>
    <cfRule type="containsText" dxfId="5164" priority="5885" operator="containsText" text="FIRE">
      <formula>NOT(ISERROR(SEARCH("FIRE",X14)))</formula>
    </cfRule>
    <cfRule type="containsText" dxfId="5163" priority="5886" operator="containsText" text="COSH">
      <formula>NOT(ISERROR(SEARCH("COSH",X14)))</formula>
    </cfRule>
  </conditionalFormatting>
  <conditionalFormatting sqref="V14:W15">
    <cfRule type="containsText" dxfId="5162" priority="5881" operator="containsText" text="FAT">
      <formula>NOT(ISERROR(SEARCH("FAT",V14)))</formula>
    </cfRule>
    <cfRule type="containsText" dxfId="5161" priority="5882" operator="containsText" text="FIRE">
      <formula>NOT(ISERROR(SEARCH("FIRE",V14)))</formula>
    </cfRule>
    <cfRule type="containsText" dxfId="5160" priority="5883" operator="containsText" text="COSH">
      <formula>NOT(ISERROR(SEARCH("COSH",V14)))</formula>
    </cfRule>
  </conditionalFormatting>
  <conditionalFormatting sqref="X14:X15">
    <cfRule type="containsText" dxfId="5159" priority="5878" operator="containsText" text="FAT">
      <formula>NOT(ISERROR(SEARCH("FAT",X14)))</formula>
    </cfRule>
    <cfRule type="containsText" dxfId="5158" priority="5879" operator="containsText" text="FIRE">
      <formula>NOT(ISERROR(SEARCH("FIRE",X14)))</formula>
    </cfRule>
    <cfRule type="containsText" dxfId="5157" priority="5880" operator="containsText" text="COSH">
      <formula>NOT(ISERROR(SEARCH("COSH",X14)))</formula>
    </cfRule>
  </conditionalFormatting>
  <conditionalFormatting sqref="V14:V15">
    <cfRule type="containsText" dxfId="5156" priority="5875" operator="containsText" text="FAT">
      <formula>NOT(ISERROR(SEARCH("FAT",V14)))</formula>
    </cfRule>
    <cfRule type="containsText" dxfId="5155" priority="5876" operator="containsText" text="FIRE">
      <formula>NOT(ISERROR(SEARCH("FIRE",V14)))</formula>
    </cfRule>
    <cfRule type="containsText" dxfId="5154" priority="5877" operator="containsText" text="COSH">
      <formula>NOT(ISERROR(SEARCH("COSH",V14)))</formula>
    </cfRule>
  </conditionalFormatting>
  <conditionalFormatting sqref="V14:V15">
    <cfRule type="containsText" dxfId="5153" priority="5872" operator="containsText" text="FAT">
      <formula>NOT(ISERROR(SEARCH("FAT",V14)))</formula>
    </cfRule>
    <cfRule type="containsText" dxfId="5152" priority="5873" operator="containsText" text="FIRE">
      <formula>NOT(ISERROR(SEARCH("FIRE",V14)))</formula>
    </cfRule>
    <cfRule type="containsText" dxfId="5151" priority="5874" operator="containsText" text="COSH">
      <formula>NOT(ISERROR(SEARCH("COSH",V14)))</formula>
    </cfRule>
  </conditionalFormatting>
  <conditionalFormatting sqref="V14:V15">
    <cfRule type="containsText" dxfId="5150" priority="5869" operator="containsText" text="FAT">
      <formula>NOT(ISERROR(SEARCH("FAT",V14)))</formula>
    </cfRule>
    <cfRule type="containsText" dxfId="5149" priority="5870" operator="containsText" text="FIRE">
      <formula>NOT(ISERROR(SEARCH("FIRE",V14)))</formula>
    </cfRule>
    <cfRule type="containsText" dxfId="5148" priority="5871" operator="containsText" text="COSH">
      <formula>NOT(ISERROR(SEARCH("COSH",V14)))</formula>
    </cfRule>
  </conditionalFormatting>
  <conditionalFormatting sqref="V14:V15">
    <cfRule type="containsText" dxfId="5147" priority="5866" operator="containsText" text="FAT">
      <formula>NOT(ISERROR(SEARCH("FAT",V14)))</formula>
    </cfRule>
    <cfRule type="containsText" dxfId="5146" priority="5867" operator="containsText" text="FIRE">
      <formula>NOT(ISERROR(SEARCH("FIRE",V14)))</formula>
    </cfRule>
    <cfRule type="containsText" dxfId="5145" priority="5868" operator="containsText" text="COSH">
      <formula>NOT(ISERROR(SEARCH("COSH",V14)))</formula>
    </cfRule>
  </conditionalFormatting>
  <conditionalFormatting sqref="V14:V15">
    <cfRule type="containsText" dxfId="5144" priority="5863" operator="containsText" text="FAT">
      <formula>NOT(ISERROR(SEARCH("FAT",V14)))</formula>
    </cfRule>
    <cfRule type="containsText" dxfId="5143" priority="5864" operator="containsText" text="FIRE">
      <formula>NOT(ISERROR(SEARCH("FIRE",V14)))</formula>
    </cfRule>
    <cfRule type="containsText" dxfId="5142" priority="5865" operator="containsText" text="COSH">
      <formula>NOT(ISERROR(SEARCH("COSH",V14)))</formula>
    </cfRule>
  </conditionalFormatting>
  <conditionalFormatting sqref="V14:V15">
    <cfRule type="containsText" dxfId="5141" priority="5860" operator="containsText" text="FAT">
      <formula>NOT(ISERROR(SEARCH("FAT",V14)))</formula>
    </cfRule>
    <cfRule type="containsText" dxfId="5140" priority="5861" operator="containsText" text="FIRE">
      <formula>NOT(ISERROR(SEARCH("FIRE",V14)))</formula>
    </cfRule>
    <cfRule type="containsText" dxfId="5139" priority="5862" operator="containsText" text="COSH">
      <formula>NOT(ISERROR(SEARCH("COSH",V14)))</formula>
    </cfRule>
  </conditionalFormatting>
  <conditionalFormatting sqref="V14:V15">
    <cfRule type="containsText" dxfId="5138" priority="5857" operator="containsText" text="FAT">
      <formula>NOT(ISERROR(SEARCH("FAT",V14)))</formula>
    </cfRule>
    <cfRule type="containsText" dxfId="5137" priority="5858" operator="containsText" text="FIRE">
      <formula>NOT(ISERROR(SEARCH("FIRE",V14)))</formula>
    </cfRule>
    <cfRule type="containsText" dxfId="5136" priority="5859" operator="containsText" text="COSH">
      <formula>NOT(ISERROR(SEARCH("COSH",V14)))</formula>
    </cfRule>
  </conditionalFormatting>
  <conditionalFormatting sqref="V14:V15">
    <cfRule type="containsText" dxfId="5135" priority="5854" operator="containsText" text="FAT">
      <formula>NOT(ISERROR(SEARCH("FAT",V14)))</formula>
    </cfRule>
    <cfRule type="containsText" dxfId="5134" priority="5855" operator="containsText" text="FIRE">
      <formula>NOT(ISERROR(SEARCH("FIRE",V14)))</formula>
    </cfRule>
    <cfRule type="containsText" dxfId="5133" priority="5856" operator="containsText" text="COSH">
      <formula>NOT(ISERROR(SEARCH("COSH",V14)))</formula>
    </cfRule>
  </conditionalFormatting>
  <conditionalFormatting sqref="V14:V15">
    <cfRule type="containsText" dxfId="5132" priority="5851" operator="containsText" text="FAT">
      <formula>NOT(ISERROR(SEARCH("FAT",V14)))</formula>
    </cfRule>
    <cfRule type="containsText" dxfId="5131" priority="5852" operator="containsText" text="FIRE">
      <formula>NOT(ISERROR(SEARCH("FIRE",V14)))</formula>
    </cfRule>
    <cfRule type="containsText" dxfId="5130" priority="5853" operator="containsText" text="COSH">
      <formula>NOT(ISERROR(SEARCH("COSH",V14)))</formula>
    </cfRule>
  </conditionalFormatting>
  <conditionalFormatting sqref="V14:V15">
    <cfRule type="containsText" dxfId="5129" priority="5848" operator="containsText" text="FAT">
      <formula>NOT(ISERROR(SEARCH("FAT",V14)))</formula>
    </cfRule>
    <cfRule type="containsText" dxfId="5128" priority="5849" operator="containsText" text="FIRE">
      <formula>NOT(ISERROR(SEARCH("FIRE",V14)))</formula>
    </cfRule>
    <cfRule type="containsText" dxfId="5127" priority="5850" operator="containsText" text="COSH">
      <formula>NOT(ISERROR(SEARCH("COSH",V14)))</formula>
    </cfRule>
  </conditionalFormatting>
  <conditionalFormatting sqref="V14:V15">
    <cfRule type="containsText" dxfId="5126" priority="5845" operator="containsText" text="FAT">
      <formula>NOT(ISERROR(SEARCH("FAT",V14)))</formula>
    </cfRule>
    <cfRule type="containsText" dxfId="5125" priority="5846" operator="containsText" text="FIRE">
      <formula>NOT(ISERROR(SEARCH("FIRE",V14)))</formula>
    </cfRule>
    <cfRule type="containsText" dxfId="5124" priority="5847" operator="containsText" text="COSH">
      <formula>NOT(ISERROR(SEARCH("COSH",V14)))</formula>
    </cfRule>
  </conditionalFormatting>
  <conditionalFormatting sqref="Z14:Z15">
    <cfRule type="containsText" dxfId="5123" priority="5842" operator="containsText" text="FAT">
      <formula>NOT(ISERROR(SEARCH("FAT",Z14)))</formula>
    </cfRule>
    <cfRule type="containsText" dxfId="5122" priority="5843" operator="containsText" text="FIRE">
      <formula>NOT(ISERROR(SEARCH("FIRE",Z14)))</formula>
    </cfRule>
    <cfRule type="containsText" dxfId="5121" priority="5844" operator="containsText" text="COSH">
      <formula>NOT(ISERROR(SEARCH("COSH",Z14)))</formula>
    </cfRule>
  </conditionalFormatting>
  <conditionalFormatting sqref="X14:X15">
    <cfRule type="containsText" dxfId="5120" priority="5839" operator="containsText" text="FAT">
      <formula>NOT(ISERROR(SEARCH("FAT",X14)))</formula>
    </cfRule>
    <cfRule type="containsText" dxfId="5119" priority="5840" operator="containsText" text="FIRE">
      <formula>NOT(ISERROR(SEARCH("FIRE",X14)))</formula>
    </cfRule>
    <cfRule type="containsText" dxfId="5118" priority="5841" operator="containsText" text="COSH">
      <formula>NOT(ISERROR(SEARCH("COSH",X14)))</formula>
    </cfRule>
  </conditionalFormatting>
  <conditionalFormatting sqref="Y14:Y15">
    <cfRule type="containsText" dxfId="5117" priority="5836" operator="containsText" text="FAT">
      <formula>NOT(ISERROR(SEARCH("FAT",Y14)))</formula>
    </cfRule>
    <cfRule type="containsText" dxfId="5116" priority="5837" operator="containsText" text="FIRE">
      <formula>NOT(ISERROR(SEARCH("FIRE",Y14)))</formula>
    </cfRule>
    <cfRule type="containsText" dxfId="5115" priority="5838" operator="containsText" text="COSH">
      <formula>NOT(ISERROR(SEARCH("COSH",Y14)))</formula>
    </cfRule>
  </conditionalFormatting>
  <conditionalFormatting sqref="X14:X15">
    <cfRule type="containsText" dxfId="5114" priority="5833" operator="containsText" text="FAT">
      <formula>NOT(ISERROR(SEARCH("FAT",X14)))</formula>
    </cfRule>
    <cfRule type="containsText" dxfId="5113" priority="5834" operator="containsText" text="FIRE">
      <formula>NOT(ISERROR(SEARCH("FIRE",X14)))</formula>
    </cfRule>
    <cfRule type="containsText" dxfId="5112" priority="5835" operator="containsText" text="COSH">
      <formula>NOT(ISERROR(SEARCH("COSH",X14)))</formula>
    </cfRule>
  </conditionalFormatting>
  <conditionalFormatting sqref="V14:W15">
    <cfRule type="containsText" dxfId="5111" priority="5830" operator="containsText" text="FAT">
      <formula>NOT(ISERROR(SEARCH("FAT",V14)))</formula>
    </cfRule>
    <cfRule type="containsText" dxfId="5110" priority="5831" operator="containsText" text="FIRE">
      <formula>NOT(ISERROR(SEARCH("FIRE",V14)))</formula>
    </cfRule>
    <cfRule type="containsText" dxfId="5109" priority="5832" operator="containsText" text="COSH">
      <formula>NOT(ISERROR(SEARCH("COSH",V14)))</formula>
    </cfRule>
  </conditionalFormatting>
  <conditionalFormatting sqref="X14:X15">
    <cfRule type="containsText" dxfId="5108" priority="5827" operator="containsText" text="FAT">
      <formula>NOT(ISERROR(SEARCH("FAT",X14)))</formula>
    </cfRule>
    <cfRule type="containsText" dxfId="5107" priority="5828" operator="containsText" text="FIRE">
      <formula>NOT(ISERROR(SEARCH("FIRE",X14)))</formula>
    </cfRule>
    <cfRule type="containsText" dxfId="5106" priority="5829" operator="containsText" text="COSH">
      <formula>NOT(ISERROR(SEARCH("COSH",X14)))</formula>
    </cfRule>
  </conditionalFormatting>
  <conditionalFormatting sqref="V14:W15">
    <cfRule type="containsText" dxfId="5105" priority="5824" operator="containsText" text="FAT">
      <formula>NOT(ISERROR(SEARCH("FAT",V14)))</formula>
    </cfRule>
    <cfRule type="containsText" dxfId="5104" priority="5825" operator="containsText" text="FIRE">
      <formula>NOT(ISERROR(SEARCH("FIRE",V14)))</formula>
    </cfRule>
    <cfRule type="containsText" dxfId="5103" priority="5826" operator="containsText" text="COSH">
      <formula>NOT(ISERROR(SEARCH("COSH",V14)))</formula>
    </cfRule>
  </conditionalFormatting>
  <conditionalFormatting sqref="X14:X15">
    <cfRule type="containsText" dxfId="5102" priority="5821" operator="containsText" text="FAT">
      <formula>NOT(ISERROR(SEARCH("FAT",X14)))</formula>
    </cfRule>
    <cfRule type="containsText" dxfId="5101" priority="5822" operator="containsText" text="FIRE">
      <formula>NOT(ISERROR(SEARCH("FIRE",X14)))</formula>
    </cfRule>
    <cfRule type="containsText" dxfId="5100" priority="5823" operator="containsText" text="COSH">
      <formula>NOT(ISERROR(SEARCH("COSH",X14)))</formula>
    </cfRule>
  </conditionalFormatting>
  <conditionalFormatting sqref="V14:W15">
    <cfRule type="containsText" dxfId="5099" priority="5818" operator="containsText" text="FAT">
      <formula>NOT(ISERROR(SEARCH("FAT",V14)))</formula>
    </cfRule>
    <cfRule type="containsText" dxfId="5098" priority="5819" operator="containsText" text="FIRE">
      <formula>NOT(ISERROR(SEARCH("FIRE",V14)))</formula>
    </cfRule>
    <cfRule type="containsText" dxfId="5097" priority="5820" operator="containsText" text="COSH">
      <formula>NOT(ISERROR(SEARCH("COSH",V14)))</formula>
    </cfRule>
  </conditionalFormatting>
  <conditionalFormatting sqref="X14:X15">
    <cfRule type="containsText" dxfId="5096" priority="5815" operator="containsText" text="FAT">
      <formula>NOT(ISERROR(SEARCH("FAT",X14)))</formula>
    </cfRule>
    <cfRule type="containsText" dxfId="5095" priority="5816" operator="containsText" text="FIRE">
      <formula>NOT(ISERROR(SEARCH("FIRE",X14)))</formula>
    </cfRule>
    <cfRule type="containsText" dxfId="5094" priority="5817" operator="containsText" text="COSH">
      <formula>NOT(ISERROR(SEARCH("COSH",X14)))</formula>
    </cfRule>
  </conditionalFormatting>
  <conditionalFormatting sqref="V14:W15">
    <cfRule type="containsText" dxfId="5093" priority="5812" operator="containsText" text="FAT">
      <formula>NOT(ISERROR(SEARCH("FAT",V14)))</formula>
    </cfRule>
    <cfRule type="containsText" dxfId="5092" priority="5813" operator="containsText" text="FIRE">
      <formula>NOT(ISERROR(SEARCH("FIRE",V14)))</formula>
    </cfRule>
    <cfRule type="containsText" dxfId="5091" priority="5814" operator="containsText" text="COSH">
      <formula>NOT(ISERROR(SEARCH("COSH",V14)))</formula>
    </cfRule>
  </conditionalFormatting>
  <conditionalFormatting sqref="X14:X15">
    <cfRule type="containsText" dxfId="5090" priority="5809" operator="containsText" text="FAT">
      <formula>NOT(ISERROR(SEARCH("FAT",X14)))</formula>
    </cfRule>
    <cfRule type="containsText" dxfId="5089" priority="5810" operator="containsText" text="FIRE">
      <formula>NOT(ISERROR(SEARCH("FIRE",X14)))</formula>
    </cfRule>
    <cfRule type="containsText" dxfId="5088" priority="5811" operator="containsText" text="COSH">
      <formula>NOT(ISERROR(SEARCH("COSH",X14)))</formula>
    </cfRule>
  </conditionalFormatting>
  <conditionalFormatting sqref="P14:P15 P26:S26 U26:AB26">
    <cfRule type="containsText" dxfId="5087" priority="5806" operator="containsText" text="FAT">
      <formula>NOT(ISERROR(SEARCH("FAT",P14)))</formula>
    </cfRule>
    <cfRule type="containsText" dxfId="5086" priority="5807" operator="containsText" text="FIRE">
      <formula>NOT(ISERROR(SEARCH("FIRE",P14)))</formula>
    </cfRule>
    <cfRule type="containsText" dxfId="5085" priority="5808" operator="containsText" text="COSH">
      <formula>NOT(ISERROR(SEARCH("COSH",P14)))</formula>
    </cfRule>
  </conditionalFormatting>
  <conditionalFormatting sqref="P14:P15 P26:S26 U26:AB26">
    <cfRule type="containsText" dxfId="5084" priority="5803" operator="containsText" text="FAT">
      <formula>NOT(ISERROR(SEARCH("FAT",P14)))</formula>
    </cfRule>
    <cfRule type="containsText" dxfId="5083" priority="5804" operator="containsText" text="FIRE">
      <formula>NOT(ISERROR(SEARCH("FIRE",P14)))</formula>
    </cfRule>
    <cfRule type="containsText" dxfId="5082" priority="5805" operator="containsText" text="COSH">
      <formula>NOT(ISERROR(SEARCH("COSH",P14)))</formula>
    </cfRule>
  </conditionalFormatting>
  <conditionalFormatting sqref="P14:P15 P26:S26 U26:AB26">
    <cfRule type="containsText" dxfId="5081" priority="5800" operator="containsText" text="FAT">
      <formula>NOT(ISERROR(SEARCH("FAT",P14)))</formula>
    </cfRule>
    <cfRule type="containsText" dxfId="5080" priority="5801" operator="containsText" text="FIRE">
      <formula>NOT(ISERROR(SEARCH("FIRE",P14)))</formula>
    </cfRule>
    <cfRule type="containsText" dxfId="5079" priority="5802" operator="containsText" text="COSH">
      <formula>NOT(ISERROR(SEARCH("COSH",P14)))</formula>
    </cfRule>
  </conditionalFormatting>
  <conditionalFormatting sqref="V14:V15">
    <cfRule type="containsText" dxfId="5078" priority="5797" operator="containsText" text="FAT">
      <formula>NOT(ISERROR(SEARCH("FAT",V14)))</formula>
    </cfRule>
    <cfRule type="containsText" dxfId="5077" priority="5798" operator="containsText" text="FIRE">
      <formula>NOT(ISERROR(SEARCH("FIRE",V14)))</formula>
    </cfRule>
    <cfRule type="containsText" dxfId="5076" priority="5799" operator="containsText" text="COSH">
      <formula>NOT(ISERROR(SEARCH("COSH",V14)))</formula>
    </cfRule>
  </conditionalFormatting>
  <conditionalFormatting sqref="V14:V15">
    <cfRule type="containsText" dxfId="5075" priority="5794" operator="containsText" text="FAT">
      <formula>NOT(ISERROR(SEARCH("FAT",V14)))</formula>
    </cfRule>
    <cfRule type="containsText" dxfId="5074" priority="5795" operator="containsText" text="FIRE">
      <formula>NOT(ISERROR(SEARCH("FIRE",V14)))</formula>
    </cfRule>
    <cfRule type="containsText" dxfId="5073" priority="5796" operator="containsText" text="COSH">
      <formula>NOT(ISERROR(SEARCH("COSH",V14)))</formula>
    </cfRule>
  </conditionalFormatting>
  <conditionalFormatting sqref="V14:V15">
    <cfRule type="containsText" dxfId="5072" priority="5791" operator="containsText" text="FAT">
      <formula>NOT(ISERROR(SEARCH("FAT",V14)))</formula>
    </cfRule>
    <cfRule type="containsText" dxfId="5071" priority="5792" operator="containsText" text="FIRE">
      <formula>NOT(ISERROR(SEARCH("FIRE",V14)))</formula>
    </cfRule>
    <cfRule type="containsText" dxfId="5070" priority="5793" operator="containsText" text="COSH">
      <formula>NOT(ISERROR(SEARCH("COSH",V14)))</formula>
    </cfRule>
  </conditionalFormatting>
  <conditionalFormatting sqref="V14:V15">
    <cfRule type="containsText" dxfId="5069" priority="5788" operator="containsText" text="FAT">
      <formula>NOT(ISERROR(SEARCH("FAT",V14)))</formula>
    </cfRule>
    <cfRule type="containsText" dxfId="5068" priority="5789" operator="containsText" text="FIRE">
      <formula>NOT(ISERROR(SEARCH("FIRE",V14)))</formula>
    </cfRule>
    <cfRule type="containsText" dxfId="5067" priority="5790" operator="containsText" text="COSH">
      <formula>NOT(ISERROR(SEARCH("COSH",V14)))</formula>
    </cfRule>
  </conditionalFormatting>
  <conditionalFormatting sqref="V14:V15">
    <cfRule type="containsText" dxfId="5066" priority="5785" operator="containsText" text="FAT">
      <formula>NOT(ISERROR(SEARCH("FAT",V14)))</formula>
    </cfRule>
    <cfRule type="containsText" dxfId="5065" priority="5786" operator="containsText" text="FIRE">
      <formula>NOT(ISERROR(SEARCH("FIRE",V14)))</formula>
    </cfRule>
    <cfRule type="containsText" dxfId="5064" priority="5787" operator="containsText" text="COSH">
      <formula>NOT(ISERROR(SEARCH("COSH",V14)))</formula>
    </cfRule>
  </conditionalFormatting>
  <conditionalFormatting sqref="V14:V15">
    <cfRule type="containsText" dxfId="5063" priority="5782" operator="containsText" text="FAT">
      <formula>NOT(ISERROR(SEARCH("FAT",V14)))</formula>
    </cfRule>
    <cfRule type="containsText" dxfId="5062" priority="5783" operator="containsText" text="FIRE">
      <formula>NOT(ISERROR(SEARCH("FIRE",V14)))</formula>
    </cfRule>
    <cfRule type="containsText" dxfId="5061" priority="5784" operator="containsText" text="COSH">
      <formula>NOT(ISERROR(SEARCH("COSH",V14)))</formula>
    </cfRule>
  </conditionalFormatting>
  <conditionalFormatting sqref="V14:V15">
    <cfRule type="containsText" dxfId="5060" priority="5779" operator="containsText" text="FAT">
      <formula>NOT(ISERROR(SEARCH("FAT",V14)))</formula>
    </cfRule>
    <cfRule type="containsText" dxfId="5059" priority="5780" operator="containsText" text="FIRE">
      <formula>NOT(ISERROR(SEARCH("FIRE",V14)))</formula>
    </cfRule>
    <cfRule type="containsText" dxfId="5058" priority="5781" operator="containsText" text="COSH">
      <formula>NOT(ISERROR(SEARCH("COSH",V14)))</formula>
    </cfRule>
  </conditionalFormatting>
  <conditionalFormatting sqref="V14:V15">
    <cfRule type="containsText" dxfId="5057" priority="5776" operator="containsText" text="FAT">
      <formula>NOT(ISERROR(SEARCH("FAT",V14)))</formula>
    </cfRule>
    <cfRule type="containsText" dxfId="5056" priority="5777" operator="containsText" text="FIRE">
      <formula>NOT(ISERROR(SEARCH("FIRE",V14)))</formula>
    </cfRule>
    <cfRule type="containsText" dxfId="5055" priority="5778" operator="containsText" text="COSH">
      <formula>NOT(ISERROR(SEARCH("COSH",V14)))</formula>
    </cfRule>
  </conditionalFormatting>
  <conditionalFormatting sqref="V14:V15">
    <cfRule type="containsText" dxfId="5054" priority="5773" operator="containsText" text="FAT">
      <formula>NOT(ISERROR(SEARCH("FAT",V14)))</formula>
    </cfRule>
    <cfRule type="containsText" dxfId="5053" priority="5774" operator="containsText" text="FIRE">
      <formula>NOT(ISERROR(SEARCH("FIRE",V14)))</formula>
    </cfRule>
    <cfRule type="containsText" dxfId="5052" priority="5775" operator="containsText" text="COSH">
      <formula>NOT(ISERROR(SEARCH("COSH",V14)))</formula>
    </cfRule>
  </conditionalFormatting>
  <conditionalFormatting sqref="V14:V15">
    <cfRule type="containsText" dxfId="5051" priority="5770" operator="containsText" text="FAT">
      <formula>NOT(ISERROR(SEARCH("FAT",V14)))</formula>
    </cfRule>
    <cfRule type="containsText" dxfId="5050" priority="5771" operator="containsText" text="FIRE">
      <formula>NOT(ISERROR(SEARCH("FIRE",V14)))</formula>
    </cfRule>
    <cfRule type="containsText" dxfId="5049" priority="5772" operator="containsText" text="COSH">
      <formula>NOT(ISERROR(SEARCH("COSH",V14)))</formula>
    </cfRule>
  </conditionalFormatting>
  <conditionalFormatting sqref="L11:L33 M31:M32 M28 M24 M21">
    <cfRule type="containsText" dxfId="5048" priority="5767" operator="containsText" text="FAT">
      <formula>NOT(ISERROR(SEARCH("FAT",L11)))</formula>
    </cfRule>
    <cfRule type="containsText" dxfId="5047" priority="5768" operator="containsText" text="FIRE">
      <formula>NOT(ISERROR(SEARCH("FIRE",L11)))</formula>
    </cfRule>
    <cfRule type="containsText" dxfId="5046" priority="5769" operator="containsText" text="COSH">
      <formula>NOT(ISERROR(SEARCH("COSH",L11)))</formula>
    </cfRule>
  </conditionalFormatting>
  <conditionalFormatting sqref="S11">
    <cfRule type="containsText" dxfId="5045" priority="5764" operator="containsText" text="FAT">
      <formula>NOT(ISERROR(SEARCH("FAT",S11)))</formula>
    </cfRule>
    <cfRule type="containsText" dxfId="5044" priority="5765" operator="containsText" text="FIRE">
      <formula>NOT(ISERROR(SEARCH("FIRE",S11)))</formula>
    </cfRule>
    <cfRule type="containsText" dxfId="5043" priority="5766" operator="containsText" text="COSH">
      <formula>NOT(ISERROR(SEARCH("COSH",S11)))</formula>
    </cfRule>
  </conditionalFormatting>
  <conditionalFormatting sqref="Z11:Z24">
    <cfRule type="containsText" dxfId="5042" priority="5761" operator="containsText" text="FAT">
      <formula>NOT(ISERROR(SEARCH("FAT",Z11)))</formula>
    </cfRule>
    <cfRule type="containsText" dxfId="5041" priority="5762" operator="containsText" text="FIRE">
      <formula>NOT(ISERROR(SEARCH("FIRE",Z11)))</formula>
    </cfRule>
    <cfRule type="containsText" dxfId="5040" priority="5763" operator="containsText" text="COSH">
      <formula>NOT(ISERROR(SEARCH("COSH",Z11)))</formula>
    </cfRule>
  </conditionalFormatting>
  <conditionalFormatting sqref="J11:J33">
    <cfRule type="containsText" dxfId="5039" priority="5758" operator="containsText" text="FAT">
      <formula>NOT(ISERROR(SEARCH("FAT",J11)))</formula>
    </cfRule>
    <cfRule type="containsText" dxfId="5038" priority="5759" operator="containsText" text="FIRE">
      <formula>NOT(ISERROR(SEARCH("FIRE",J11)))</formula>
    </cfRule>
    <cfRule type="containsText" dxfId="5037" priority="5760" operator="containsText" text="COSH">
      <formula>NOT(ISERROR(SEARCH("COSH",J11)))</formula>
    </cfRule>
  </conditionalFormatting>
  <conditionalFormatting sqref="Q11">
    <cfRule type="containsText" dxfId="5036" priority="5755" operator="containsText" text="FAT">
      <formula>NOT(ISERROR(SEARCH("FAT",Q11)))</formula>
    </cfRule>
    <cfRule type="containsText" dxfId="5035" priority="5756" operator="containsText" text="FIRE">
      <formula>NOT(ISERROR(SEARCH("FIRE",Q11)))</formula>
    </cfRule>
    <cfRule type="containsText" dxfId="5034" priority="5757" operator="containsText" text="COSH">
      <formula>NOT(ISERROR(SEARCH("COSH",Q11)))</formula>
    </cfRule>
  </conditionalFormatting>
  <conditionalFormatting sqref="M11:M33">
    <cfRule type="containsText" dxfId="5033" priority="5752" operator="containsText" text="FAT">
      <formula>NOT(ISERROR(SEARCH("FAT",M11)))</formula>
    </cfRule>
    <cfRule type="containsText" dxfId="5032" priority="5753" operator="containsText" text="FIRE">
      <formula>NOT(ISERROR(SEARCH("FIRE",M11)))</formula>
    </cfRule>
    <cfRule type="containsText" dxfId="5031" priority="5754" operator="containsText" text="COSH">
      <formula>NOT(ISERROR(SEARCH("COSH",M11)))</formula>
    </cfRule>
  </conditionalFormatting>
  <conditionalFormatting sqref="T11:T24 T26:T31">
    <cfRule type="containsText" dxfId="5030" priority="5749" operator="containsText" text="FAT">
      <formula>NOT(ISERROR(SEARCH("FAT",T11)))</formula>
    </cfRule>
    <cfRule type="containsText" dxfId="5029" priority="5750" operator="containsText" text="FIRE">
      <formula>NOT(ISERROR(SEARCH("FIRE",T11)))</formula>
    </cfRule>
    <cfRule type="containsText" dxfId="5028" priority="5751" operator="containsText" text="COSH">
      <formula>NOT(ISERROR(SEARCH("COSH",T11)))</formula>
    </cfRule>
  </conditionalFormatting>
  <conditionalFormatting sqref="AA11:AA24">
    <cfRule type="containsText" dxfId="5027" priority="5746" operator="containsText" text="FAT">
      <formula>NOT(ISERROR(SEARCH("FAT",AA11)))</formula>
    </cfRule>
    <cfRule type="containsText" dxfId="5026" priority="5747" operator="containsText" text="FIRE">
      <formula>NOT(ISERROR(SEARCH("FIRE",AA11)))</formula>
    </cfRule>
    <cfRule type="containsText" dxfId="5025" priority="5748" operator="containsText" text="COSH">
      <formula>NOT(ISERROR(SEARCH("COSH",AA11)))</formula>
    </cfRule>
  </conditionalFormatting>
  <conditionalFormatting sqref="J11:K33">
    <cfRule type="containsText" dxfId="5024" priority="5743" operator="containsText" text="FAT">
      <formula>NOT(ISERROR(SEARCH("FAT",J11)))</formula>
    </cfRule>
    <cfRule type="containsText" dxfId="5023" priority="5744" operator="containsText" text="FIRE">
      <formula>NOT(ISERROR(SEARCH("FIRE",J11)))</formula>
    </cfRule>
    <cfRule type="containsText" dxfId="5022" priority="5745" operator="containsText" text="COSH">
      <formula>NOT(ISERROR(SEARCH("COSH",J11)))</formula>
    </cfRule>
  </conditionalFormatting>
  <conditionalFormatting sqref="R11">
    <cfRule type="containsText" dxfId="5021" priority="5740" operator="containsText" text="FAT">
      <formula>NOT(ISERROR(SEARCH("FAT",R11)))</formula>
    </cfRule>
    <cfRule type="containsText" dxfId="5020" priority="5741" operator="containsText" text="FIRE">
      <formula>NOT(ISERROR(SEARCH("FIRE",R11)))</formula>
    </cfRule>
    <cfRule type="containsText" dxfId="5019" priority="5742" operator="containsText" text="COSH">
      <formula>NOT(ISERROR(SEARCH("COSH",R11)))</formula>
    </cfRule>
  </conditionalFormatting>
  <conditionalFormatting sqref="Y11:Y24">
    <cfRule type="containsText" dxfId="5018" priority="5737" operator="containsText" text="FAT">
      <formula>NOT(ISERROR(SEARCH("FAT",Y11)))</formula>
    </cfRule>
    <cfRule type="containsText" dxfId="5017" priority="5738" operator="containsText" text="FIRE">
      <formula>NOT(ISERROR(SEARCH("FIRE",Y11)))</formula>
    </cfRule>
    <cfRule type="containsText" dxfId="5016" priority="5739" operator="containsText" text="COSH">
      <formula>NOT(ISERROR(SEARCH("COSH",Y11)))</formula>
    </cfRule>
  </conditionalFormatting>
  <conditionalFormatting sqref="H11:I33">
    <cfRule type="containsText" dxfId="5015" priority="5734" operator="containsText" text="FAT">
      <formula>NOT(ISERROR(SEARCH("FAT",H11)))</formula>
    </cfRule>
    <cfRule type="containsText" dxfId="5014" priority="5735" operator="containsText" text="FIRE">
      <formula>NOT(ISERROR(SEARCH("FIRE",H11)))</formula>
    </cfRule>
    <cfRule type="containsText" dxfId="5013" priority="5736" operator="containsText" text="COSH">
      <formula>NOT(ISERROR(SEARCH("COSH",H11)))</formula>
    </cfRule>
  </conditionalFormatting>
  <conditionalFormatting sqref="J11:J33">
    <cfRule type="containsText" dxfId="5012" priority="5731" operator="containsText" text="FAT">
      <formula>NOT(ISERROR(SEARCH("FAT",J11)))</formula>
    </cfRule>
    <cfRule type="containsText" dxfId="5011" priority="5732" operator="containsText" text="FIRE">
      <formula>NOT(ISERROR(SEARCH("FIRE",J11)))</formula>
    </cfRule>
    <cfRule type="containsText" dxfId="5010" priority="5733" operator="containsText" text="COSH">
      <formula>NOT(ISERROR(SEARCH("COSH",J11)))</formula>
    </cfRule>
  </conditionalFormatting>
  <conditionalFormatting sqref="H11:I33">
    <cfRule type="containsText" dxfId="5009" priority="5728" operator="containsText" text="FAT">
      <formula>NOT(ISERROR(SEARCH("FAT",H11)))</formula>
    </cfRule>
    <cfRule type="containsText" dxfId="5008" priority="5729" operator="containsText" text="FIRE">
      <formula>NOT(ISERROR(SEARCH("FIRE",H11)))</formula>
    </cfRule>
    <cfRule type="containsText" dxfId="5007" priority="5730" operator="containsText" text="COSH">
      <formula>NOT(ISERROR(SEARCH("COSH",H11)))</formula>
    </cfRule>
  </conditionalFormatting>
  <conditionalFormatting sqref="J11:J33">
    <cfRule type="containsText" dxfId="5006" priority="5725" operator="containsText" text="FAT">
      <formula>NOT(ISERROR(SEARCH("FAT",J11)))</formula>
    </cfRule>
    <cfRule type="containsText" dxfId="5005" priority="5726" operator="containsText" text="FIRE">
      <formula>NOT(ISERROR(SEARCH("FIRE",J11)))</formula>
    </cfRule>
    <cfRule type="containsText" dxfId="5004" priority="5727" operator="containsText" text="COSH">
      <formula>NOT(ISERROR(SEARCH("COSH",J11)))</formula>
    </cfRule>
  </conditionalFormatting>
  <conditionalFormatting sqref="H11:I33">
    <cfRule type="containsText" dxfId="5003" priority="5722" operator="containsText" text="FAT">
      <formula>NOT(ISERROR(SEARCH("FAT",H11)))</formula>
    </cfRule>
    <cfRule type="containsText" dxfId="5002" priority="5723" operator="containsText" text="FIRE">
      <formula>NOT(ISERROR(SEARCH("FIRE",H11)))</formula>
    </cfRule>
    <cfRule type="containsText" dxfId="5001" priority="5724" operator="containsText" text="COSH">
      <formula>NOT(ISERROR(SEARCH("COSH",H11)))</formula>
    </cfRule>
  </conditionalFormatting>
  <conditionalFormatting sqref="J11:J33">
    <cfRule type="containsText" dxfId="5000" priority="5719" operator="containsText" text="FAT">
      <formula>NOT(ISERROR(SEARCH("FAT",J11)))</formula>
    </cfRule>
    <cfRule type="containsText" dxfId="4999" priority="5720" operator="containsText" text="FIRE">
      <formula>NOT(ISERROR(SEARCH("FIRE",J11)))</formula>
    </cfRule>
    <cfRule type="containsText" dxfId="4998" priority="5721" operator="containsText" text="COSH">
      <formula>NOT(ISERROR(SEARCH("COSH",J11)))</formula>
    </cfRule>
  </conditionalFormatting>
  <conditionalFormatting sqref="H11:I33">
    <cfRule type="containsText" dxfId="4997" priority="5716" operator="containsText" text="FAT">
      <formula>NOT(ISERROR(SEARCH("FAT",H11)))</formula>
    </cfRule>
    <cfRule type="containsText" dxfId="4996" priority="5717" operator="containsText" text="FIRE">
      <formula>NOT(ISERROR(SEARCH("FIRE",H11)))</formula>
    </cfRule>
    <cfRule type="containsText" dxfId="4995" priority="5718" operator="containsText" text="COSH">
      <formula>NOT(ISERROR(SEARCH("COSH",H11)))</formula>
    </cfRule>
  </conditionalFormatting>
  <conditionalFormatting sqref="J11:J33">
    <cfRule type="containsText" dxfId="4994" priority="5713" operator="containsText" text="FAT">
      <formula>NOT(ISERROR(SEARCH("FAT",J11)))</formula>
    </cfRule>
    <cfRule type="containsText" dxfId="4993" priority="5714" operator="containsText" text="FIRE">
      <formula>NOT(ISERROR(SEARCH("FIRE",J11)))</formula>
    </cfRule>
    <cfRule type="containsText" dxfId="4992" priority="5715" operator="containsText" text="COSH">
      <formula>NOT(ISERROR(SEARCH("COSH",J11)))</formula>
    </cfRule>
  </conditionalFormatting>
  <conditionalFormatting sqref="X11:X24">
    <cfRule type="containsText" dxfId="4991" priority="5710" operator="containsText" text="FAT">
      <formula>NOT(ISERROR(SEARCH("FAT",X11)))</formula>
    </cfRule>
    <cfRule type="containsText" dxfId="4990" priority="5711" operator="containsText" text="FIRE">
      <formula>NOT(ISERROR(SEARCH("FIRE",X11)))</formula>
    </cfRule>
    <cfRule type="containsText" dxfId="4989" priority="5712" operator="containsText" text="COSH">
      <formula>NOT(ISERROR(SEARCH("COSH",X11)))</formula>
    </cfRule>
  </conditionalFormatting>
  <conditionalFormatting sqref="V11:W24">
    <cfRule type="containsText" dxfId="4988" priority="5707" operator="containsText" text="FAT">
      <formula>NOT(ISERROR(SEARCH("FAT",V11)))</formula>
    </cfRule>
    <cfRule type="containsText" dxfId="4987" priority="5708" operator="containsText" text="FIRE">
      <formula>NOT(ISERROR(SEARCH("FIRE",V11)))</formula>
    </cfRule>
    <cfRule type="containsText" dxfId="4986" priority="5709" operator="containsText" text="COSH">
      <formula>NOT(ISERROR(SEARCH("COSH",V11)))</formula>
    </cfRule>
  </conditionalFormatting>
  <conditionalFormatting sqref="X11:X24">
    <cfRule type="containsText" dxfId="4985" priority="5704" operator="containsText" text="FAT">
      <formula>NOT(ISERROR(SEARCH("FAT",X11)))</formula>
    </cfRule>
    <cfRule type="containsText" dxfId="4984" priority="5705" operator="containsText" text="FIRE">
      <formula>NOT(ISERROR(SEARCH("FIRE",X11)))</formula>
    </cfRule>
    <cfRule type="containsText" dxfId="4983" priority="5706" operator="containsText" text="COSH">
      <formula>NOT(ISERROR(SEARCH("COSH",X11)))</formula>
    </cfRule>
  </conditionalFormatting>
  <conditionalFormatting sqref="V11:W24">
    <cfRule type="containsText" dxfId="4982" priority="5701" operator="containsText" text="FAT">
      <formula>NOT(ISERROR(SEARCH("FAT",V11)))</formula>
    </cfRule>
    <cfRule type="containsText" dxfId="4981" priority="5702" operator="containsText" text="FIRE">
      <formula>NOT(ISERROR(SEARCH("FIRE",V11)))</formula>
    </cfRule>
    <cfRule type="containsText" dxfId="4980" priority="5703" operator="containsText" text="COSH">
      <formula>NOT(ISERROR(SEARCH("COSH",V11)))</formula>
    </cfRule>
  </conditionalFormatting>
  <conditionalFormatting sqref="X11:X24">
    <cfRule type="containsText" dxfId="4979" priority="5698" operator="containsText" text="FAT">
      <formula>NOT(ISERROR(SEARCH("FAT",X11)))</formula>
    </cfRule>
    <cfRule type="containsText" dxfId="4978" priority="5699" operator="containsText" text="FIRE">
      <formula>NOT(ISERROR(SEARCH("FIRE",X11)))</formula>
    </cfRule>
    <cfRule type="containsText" dxfId="4977" priority="5700" operator="containsText" text="COSH">
      <formula>NOT(ISERROR(SEARCH("COSH",X11)))</formula>
    </cfRule>
  </conditionalFormatting>
  <conditionalFormatting sqref="V11:W24">
    <cfRule type="containsText" dxfId="4976" priority="5695" operator="containsText" text="FAT">
      <formula>NOT(ISERROR(SEARCH("FAT",V11)))</formula>
    </cfRule>
    <cfRule type="containsText" dxfId="4975" priority="5696" operator="containsText" text="FIRE">
      <formula>NOT(ISERROR(SEARCH("FIRE",V11)))</formula>
    </cfRule>
    <cfRule type="containsText" dxfId="4974" priority="5697" operator="containsText" text="COSH">
      <formula>NOT(ISERROR(SEARCH("COSH",V11)))</formula>
    </cfRule>
  </conditionalFormatting>
  <conditionalFormatting sqref="X11:X24">
    <cfRule type="containsText" dxfId="4973" priority="5692" operator="containsText" text="FAT">
      <formula>NOT(ISERROR(SEARCH("FAT",X11)))</formula>
    </cfRule>
    <cfRule type="containsText" dxfId="4972" priority="5693" operator="containsText" text="FIRE">
      <formula>NOT(ISERROR(SEARCH("FIRE",X11)))</formula>
    </cfRule>
    <cfRule type="containsText" dxfId="4971" priority="5694" operator="containsText" text="COSH">
      <formula>NOT(ISERROR(SEARCH("COSH",X11)))</formula>
    </cfRule>
  </conditionalFormatting>
  <conditionalFormatting sqref="V11:W24">
    <cfRule type="containsText" dxfId="4970" priority="5689" operator="containsText" text="FAT">
      <formula>NOT(ISERROR(SEARCH("FAT",V11)))</formula>
    </cfRule>
    <cfRule type="containsText" dxfId="4969" priority="5690" operator="containsText" text="FIRE">
      <formula>NOT(ISERROR(SEARCH("FIRE",V11)))</formula>
    </cfRule>
    <cfRule type="containsText" dxfId="4968" priority="5691" operator="containsText" text="COSH">
      <formula>NOT(ISERROR(SEARCH("COSH",V11)))</formula>
    </cfRule>
  </conditionalFormatting>
  <conditionalFormatting sqref="X11:X24">
    <cfRule type="containsText" dxfId="4967" priority="5686" operator="containsText" text="FAT">
      <formula>NOT(ISERROR(SEARCH("FAT",X11)))</formula>
    </cfRule>
    <cfRule type="containsText" dxfId="4966" priority="5687" operator="containsText" text="FIRE">
      <formula>NOT(ISERROR(SEARCH("FIRE",X11)))</formula>
    </cfRule>
    <cfRule type="containsText" dxfId="4965" priority="5688" operator="containsText" text="COSH">
      <formula>NOT(ISERROR(SEARCH("COSH",X11)))</formula>
    </cfRule>
  </conditionalFormatting>
  <conditionalFormatting sqref="P11:Q11">
    <cfRule type="containsText" dxfId="4964" priority="5683" operator="containsText" text="FAT">
      <formula>NOT(ISERROR(SEARCH("FAT",P11)))</formula>
    </cfRule>
    <cfRule type="containsText" dxfId="4963" priority="5684" operator="containsText" text="FIRE">
      <formula>NOT(ISERROR(SEARCH("FIRE",P11)))</formula>
    </cfRule>
    <cfRule type="containsText" dxfId="4962" priority="5685" operator="containsText" text="COSH">
      <formula>NOT(ISERROR(SEARCH("COSH",P11)))</formula>
    </cfRule>
  </conditionalFormatting>
  <conditionalFormatting sqref="P11:Q11">
    <cfRule type="containsText" dxfId="4961" priority="5680" operator="containsText" text="FAT">
      <formula>NOT(ISERROR(SEARCH("FAT",P11)))</formula>
    </cfRule>
    <cfRule type="containsText" dxfId="4960" priority="5681" operator="containsText" text="FIRE">
      <formula>NOT(ISERROR(SEARCH("FIRE",P11)))</formula>
    </cfRule>
    <cfRule type="containsText" dxfId="4959" priority="5682" operator="containsText" text="COSH">
      <formula>NOT(ISERROR(SEARCH("COSH",P11)))</formula>
    </cfRule>
  </conditionalFormatting>
  <conditionalFormatting sqref="P11:Q11">
    <cfRule type="containsText" dxfId="4958" priority="5677" operator="containsText" text="FAT">
      <formula>NOT(ISERROR(SEARCH("FAT",P11)))</formula>
    </cfRule>
    <cfRule type="containsText" dxfId="4957" priority="5678" operator="containsText" text="FIRE">
      <formula>NOT(ISERROR(SEARCH("FIRE",P11)))</formula>
    </cfRule>
    <cfRule type="containsText" dxfId="4956" priority="5679" operator="containsText" text="COSH">
      <formula>NOT(ISERROR(SEARCH("COSH",P11)))</formula>
    </cfRule>
  </conditionalFormatting>
  <conditionalFormatting sqref="V11:V24">
    <cfRule type="containsText" dxfId="4955" priority="5674" operator="containsText" text="FAT">
      <formula>NOT(ISERROR(SEARCH("FAT",V11)))</formula>
    </cfRule>
    <cfRule type="containsText" dxfId="4954" priority="5675" operator="containsText" text="FIRE">
      <formula>NOT(ISERROR(SEARCH("FIRE",V11)))</formula>
    </cfRule>
    <cfRule type="containsText" dxfId="4953" priority="5676" operator="containsText" text="COSH">
      <formula>NOT(ISERROR(SEARCH("COSH",V11)))</formula>
    </cfRule>
  </conditionalFormatting>
  <conditionalFormatting sqref="V11:V24">
    <cfRule type="containsText" dxfId="4952" priority="5671" operator="containsText" text="FAT">
      <formula>NOT(ISERROR(SEARCH("FAT",V11)))</formula>
    </cfRule>
    <cfRule type="containsText" dxfId="4951" priority="5672" operator="containsText" text="FIRE">
      <formula>NOT(ISERROR(SEARCH("FIRE",V11)))</formula>
    </cfRule>
    <cfRule type="containsText" dxfId="4950" priority="5673" operator="containsText" text="COSH">
      <formula>NOT(ISERROR(SEARCH("COSH",V11)))</formula>
    </cfRule>
  </conditionalFormatting>
  <conditionalFormatting sqref="V11:V24">
    <cfRule type="containsText" dxfId="4949" priority="5668" operator="containsText" text="FAT">
      <formula>NOT(ISERROR(SEARCH("FAT",V11)))</formula>
    </cfRule>
    <cfRule type="containsText" dxfId="4948" priority="5669" operator="containsText" text="FIRE">
      <formula>NOT(ISERROR(SEARCH("FIRE",V11)))</formula>
    </cfRule>
    <cfRule type="containsText" dxfId="4947" priority="5670" operator="containsText" text="COSH">
      <formula>NOT(ISERROR(SEARCH("COSH",V11)))</formula>
    </cfRule>
  </conditionalFormatting>
  <conditionalFormatting sqref="V11:V24">
    <cfRule type="containsText" dxfId="4946" priority="5665" operator="containsText" text="FAT">
      <formula>NOT(ISERROR(SEARCH("FAT",V11)))</formula>
    </cfRule>
    <cfRule type="containsText" dxfId="4945" priority="5666" operator="containsText" text="FIRE">
      <formula>NOT(ISERROR(SEARCH("FIRE",V11)))</formula>
    </cfRule>
    <cfRule type="containsText" dxfId="4944" priority="5667" operator="containsText" text="COSH">
      <formula>NOT(ISERROR(SEARCH("COSH",V11)))</formula>
    </cfRule>
  </conditionalFormatting>
  <conditionalFormatting sqref="V11:V24">
    <cfRule type="containsText" dxfId="4943" priority="5662" operator="containsText" text="FAT">
      <formula>NOT(ISERROR(SEARCH("FAT",V11)))</formula>
    </cfRule>
    <cfRule type="containsText" dxfId="4942" priority="5663" operator="containsText" text="FIRE">
      <formula>NOT(ISERROR(SEARCH("FIRE",V11)))</formula>
    </cfRule>
    <cfRule type="containsText" dxfId="4941" priority="5664" operator="containsText" text="COSH">
      <formula>NOT(ISERROR(SEARCH("COSH",V11)))</formula>
    </cfRule>
  </conditionalFormatting>
  <conditionalFormatting sqref="V11:V24">
    <cfRule type="containsText" dxfId="4940" priority="5659" operator="containsText" text="FAT">
      <formula>NOT(ISERROR(SEARCH("FAT",V11)))</formula>
    </cfRule>
    <cfRule type="containsText" dxfId="4939" priority="5660" operator="containsText" text="FIRE">
      <formula>NOT(ISERROR(SEARCH("FIRE",V11)))</formula>
    </cfRule>
    <cfRule type="containsText" dxfId="4938" priority="5661" operator="containsText" text="COSH">
      <formula>NOT(ISERROR(SEARCH("COSH",V11)))</formula>
    </cfRule>
  </conditionalFormatting>
  <conditionalFormatting sqref="V11:V24">
    <cfRule type="containsText" dxfId="4937" priority="5656" operator="containsText" text="FAT">
      <formula>NOT(ISERROR(SEARCH("FAT",V11)))</formula>
    </cfRule>
    <cfRule type="containsText" dxfId="4936" priority="5657" operator="containsText" text="FIRE">
      <formula>NOT(ISERROR(SEARCH("FIRE",V11)))</formula>
    </cfRule>
    <cfRule type="containsText" dxfId="4935" priority="5658" operator="containsText" text="COSH">
      <formula>NOT(ISERROR(SEARCH("COSH",V11)))</formula>
    </cfRule>
  </conditionalFormatting>
  <conditionalFormatting sqref="V11:V24">
    <cfRule type="containsText" dxfId="4934" priority="5653" operator="containsText" text="FAT">
      <formula>NOT(ISERROR(SEARCH("FAT",V11)))</formula>
    </cfRule>
    <cfRule type="containsText" dxfId="4933" priority="5654" operator="containsText" text="FIRE">
      <formula>NOT(ISERROR(SEARCH("FIRE",V11)))</formula>
    </cfRule>
    <cfRule type="containsText" dxfId="4932" priority="5655" operator="containsText" text="COSH">
      <formula>NOT(ISERROR(SEARCH("COSH",V11)))</formula>
    </cfRule>
  </conditionalFormatting>
  <conditionalFormatting sqref="V11:V24">
    <cfRule type="containsText" dxfId="4931" priority="5650" operator="containsText" text="FAT">
      <formula>NOT(ISERROR(SEARCH("FAT",V11)))</formula>
    </cfRule>
    <cfRule type="containsText" dxfId="4930" priority="5651" operator="containsText" text="FIRE">
      <formula>NOT(ISERROR(SEARCH("FIRE",V11)))</formula>
    </cfRule>
    <cfRule type="containsText" dxfId="4929" priority="5652" operator="containsText" text="COSH">
      <formula>NOT(ISERROR(SEARCH("COSH",V11)))</formula>
    </cfRule>
  </conditionalFormatting>
  <conditionalFormatting sqref="V11:V24">
    <cfRule type="containsText" dxfId="4928" priority="5647" operator="containsText" text="FAT">
      <formula>NOT(ISERROR(SEARCH("FAT",V11)))</formula>
    </cfRule>
    <cfRule type="containsText" dxfId="4927" priority="5648" operator="containsText" text="FIRE">
      <formula>NOT(ISERROR(SEARCH("FIRE",V11)))</formula>
    </cfRule>
    <cfRule type="containsText" dxfId="4926" priority="5649" operator="containsText" text="COSH">
      <formula>NOT(ISERROR(SEARCH("COSH",V11)))</formula>
    </cfRule>
  </conditionalFormatting>
  <conditionalFormatting sqref="U13:W13 N13:P26 Q26:S26 U26:AB26 Q25:AA25">
    <cfRule type="containsText" dxfId="4925" priority="5644" operator="containsText" text="FAT">
      <formula>NOT(ISERROR(SEARCH("FAT",N13)))</formula>
    </cfRule>
    <cfRule type="containsText" dxfId="4924" priority="5645" operator="containsText" text="FIRE">
      <formula>NOT(ISERROR(SEARCH("FIRE",N13)))</formula>
    </cfRule>
    <cfRule type="containsText" dxfId="4923" priority="5646" operator="containsText" text="COSH">
      <formula>NOT(ISERROR(SEARCH("COSH",N13)))</formula>
    </cfRule>
  </conditionalFormatting>
  <conditionalFormatting sqref="Z13">
    <cfRule type="containsText" dxfId="4922" priority="5641" operator="containsText" text="FAT">
      <formula>NOT(ISERROR(SEARCH("FAT",Z13)))</formula>
    </cfRule>
    <cfRule type="containsText" dxfId="4921" priority="5642" operator="containsText" text="FIRE">
      <formula>NOT(ISERROR(SEARCH("FIRE",Z13)))</formula>
    </cfRule>
    <cfRule type="containsText" dxfId="4920" priority="5643" operator="containsText" text="COSH">
      <formula>NOT(ISERROR(SEARCH("COSH",Z13)))</formula>
    </cfRule>
  </conditionalFormatting>
  <conditionalFormatting sqref="X13">
    <cfRule type="containsText" dxfId="4919" priority="5638" operator="containsText" text="FAT">
      <formula>NOT(ISERROR(SEARCH("FAT",X13)))</formula>
    </cfRule>
    <cfRule type="containsText" dxfId="4918" priority="5639" operator="containsText" text="FIRE">
      <formula>NOT(ISERROR(SEARCH("FIRE",X13)))</formula>
    </cfRule>
    <cfRule type="containsText" dxfId="4917" priority="5640" operator="containsText" text="COSH">
      <formula>NOT(ISERROR(SEARCH("COSH",X13)))</formula>
    </cfRule>
  </conditionalFormatting>
  <conditionalFormatting sqref="AA13">
    <cfRule type="containsText" dxfId="4916" priority="5635" operator="containsText" text="FAT">
      <formula>NOT(ISERROR(SEARCH("FAT",AA13)))</formula>
    </cfRule>
    <cfRule type="containsText" dxfId="4915" priority="5636" operator="containsText" text="FIRE">
      <formula>NOT(ISERROR(SEARCH("FIRE",AA13)))</formula>
    </cfRule>
    <cfRule type="containsText" dxfId="4914" priority="5637" operator="containsText" text="COSH">
      <formula>NOT(ISERROR(SEARCH("COSH",AA13)))</formula>
    </cfRule>
  </conditionalFormatting>
  <conditionalFormatting sqref="Y13">
    <cfRule type="containsText" dxfId="4913" priority="5632" operator="containsText" text="FAT">
      <formula>NOT(ISERROR(SEARCH("FAT",Y13)))</formula>
    </cfRule>
    <cfRule type="containsText" dxfId="4912" priority="5633" operator="containsText" text="FIRE">
      <formula>NOT(ISERROR(SEARCH("FIRE",Y13)))</formula>
    </cfRule>
    <cfRule type="containsText" dxfId="4911" priority="5634" operator="containsText" text="COSH">
      <formula>NOT(ISERROR(SEARCH("COSH",Y13)))</formula>
    </cfRule>
  </conditionalFormatting>
  <conditionalFormatting sqref="X13">
    <cfRule type="containsText" dxfId="4910" priority="5629" operator="containsText" text="FAT">
      <formula>NOT(ISERROR(SEARCH("FAT",X13)))</formula>
    </cfRule>
    <cfRule type="containsText" dxfId="4909" priority="5630" operator="containsText" text="FIRE">
      <formula>NOT(ISERROR(SEARCH("FIRE",X13)))</formula>
    </cfRule>
    <cfRule type="containsText" dxfId="4908" priority="5631" operator="containsText" text="COSH">
      <formula>NOT(ISERROR(SEARCH("COSH",X13)))</formula>
    </cfRule>
  </conditionalFormatting>
  <conditionalFormatting sqref="V13:W13">
    <cfRule type="containsText" dxfId="4907" priority="5626" operator="containsText" text="FAT">
      <formula>NOT(ISERROR(SEARCH("FAT",V13)))</formula>
    </cfRule>
    <cfRule type="containsText" dxfId="4906" priority="5627" operator="containsText" text="FIRE">
      <formula>NOT(ISERROR(SEARCH("FIRE",V13)))</formula>
    </cfRule>
    <cfRule type="containsText" dxfId="4905" priority="5628" operator="containsText" text="COSH">
      <formula>NOT(ISERROR(SEARCH("COSH",V13)))</formula>
    </cfRule>
  </conditionalFormatting>
  <conditionalFormatting sqref="X13">
    <cfRule type="containsText" dxfId="4904" priority="5623" operator="containsText" text="FAT">
      <formula>NOT(ISERROR(SEARCH("FAT",X13)))</formula>
    </cfRule>
    <cfRule type="containsText" dxfId="4903" priority="5624" operator="containsText" text="FIRE">
      <formula>NOT(ISERROR(SEARCH("FIRE",X13)))</formula>
    </cfRule>
    <cfRule type="containsText" dxfId="4902" priority="5625" operator="containsText" text="COSH">
      <formula>NOT(ISERROR(SEARCH("COSH",X13)))</formula>
    </cfRule>
  </conditionalFormatting>
  <conditionalFormatting sqref="V13:W13">
    <cfRule type="containsText" dxfId="4901" priority="5620" operator="containsText" text="FAT">
      <formula>NOT(ISERROR(SEARCH("FAT",V13)))</formula>
    </cfRule>
    <cfRule type="containsText" dxfId="4900" priority="5621" operator="containsText" text="FIRE">
      <formula>NOT(ISERROR(SEARCH("FIRE",V13)))</formula>
    </cfRule>
    <cfRule type="containsText" dxfId="4899" priority="5622" operator="containsText" text="COSH">
      <formula>NOT(ISERROR(SEARCH("COSH",V13)))</formula>
    </cfRule>
  </conditionalFormatting>
  <conditionalFormatting sqref="X13">
    <cfRule type="containsText" dxfId="4898" priority="5617" operator="containsText" text="FAT">
      <formula>NOT(ISERROR(SEARCH("FAT",X13)))</formula>
    </cfRule>
    <cfRule type="containsText" dxfId="4897" priority="5618" operator="containsText" text="FIRE">
      <formula>NOT(ISERROR(SEARCH("FIRE",X13)))</formula>
    </cfRule>
    <cfRule type="containsText" dxfId="4896" priority="5619" operator="containsText" text="COSH">
      <formula>NOT(ISERROR(SEARCH("COSH",X13)))</formula>
    </cfRule>
  </conditionalFormatting>
  <conditionalFormatting sqref="V13:W13">
    <cfRule type="containsText" dxfId="4895" priority="5614" operator="containsText" text="FAT">
      <formula>NOT(ISERROR(SEARCH("FAT",V13)))</formula>
    </cfRule>
    <cfRule type="containsText" dxfId="4894" priority="5615" operator="containsText" text="FIRE">
      <formula>NOT(ISERROR(SEARCH("FIRE",V13)))</formula>
    </cfRule>
    <cfRule type="containsText" dxfId="4893" priority="5616" operator="containsText" text="COSH">
      <formula>NOT(ISERROR(SEARCH("COSH",V13)))</formula>
    </cfRule>
  </conditionalFormatting>
  <conditionalFormatting sqref="X13">
    <cfRule type="containsText" dxfId="4892" priority="5611" operator="containsText" text="FAT">
      <formula>NOT(ISERROR(SEARCH("FAT",X13)))</formula>
    </cfRule>
    <cfRule type="containsText" dxfId="4891" priority="5612" operator="containsText" text="FIRE">
      <formula>NOT(ISERROR(SEARCH("FIRE",X13)))</formula>
    </cfRule>
    <cfRule type="containsText" dxfId="4890" priority="5613" operator="containsText" text="COSH">
      <formula>NOT(ISERROR(SEARCH("COSH",X13)))</formula>
    </cfRule>
  </conditionalFormatting>
  <conditionalFormatting sqref="V13:W13">
    <cfRule type="containsText" dxfId="4889" priority="5608" operator="containsText" text="FAT">
      <formula>NOT(ISERROR(SEARCH("FAT",V13)))</formula>
    </cfRule>
    <cfRule type="containsText" dxfId="4888" priority="5609" operator="containsText" text="FIRE">
      <formula>NOT(ISERROR(SEARCH("FIRE",V13)))</formula>
    </cfRule>
    <cfRule type="containsText" dxfId="4887" priority="5610" operator="containsText" text="COSH">
      <formula>NOT(ISERROR(SEARCH("COSH",V13)))</formula>
    </cfRule>
  </conditionalFormatting>
  <conditionalFormatting sqref="X13">
    <cfRule type="containsText" dxfId="4886" priority="5605" operator="containsText" text="FAT">
      <formula>NOT(ISERROR(SEARCH("FAT",X13)))</formula>
    </cfRule>
    <cfRule type="containsText" dxfId="4885" priority="5606" operator="containsText" text="FIRE">
      <formula>NOT(ISERROR(SEARCH("FIRE",X13)))</formula>
    </cfRule>
    <cfRule type="containsText" dxfId="4884" priority="5607" operator="containsText" text="COSH">
      <formula>NOT(ISERROR(SEARCH("COSH",X13)))</formula>
    </cfRule>
  </conditionalFormatting>
  <conditionalFormatting sqref="V13">
    <cfRule type="containsText" dxfId="4883" priority="5602" operator="containsText" text="FAT">
      <formula>NOT(ISERROR(SEARCH("FAT",V13)))</formula>
    </cfRule>
    <cfRule type="containsText" dxfId="4882" priority="5603" operator="containsText" text="FIRE">
      <formula>NOT(ISERROR(SEARCH("FIRE",V13)))</formula>
    </cfRule>
    <cfRule type="containsText" dxfId="4881" priority="5604" operator="containsText" text="COSH">
      <formula>NOT(ISERROR(SEARCH("COSH",V13)))</formula>
    </cfRule>
  </conditionalFormatting>
  <conditionalFormatting sqref="V13">
    <cfRule type="containsText" dxfId="4880" priority="5599" operator="containsText" text="FAT">
      <formula>NOT(ISERROR(SEARCH("FAT",V13)))</formula>
    </cfRule>
    <cfRule type="containsText" dxfId="4879" priority="5600" operator="containsText" text="FIRE">
      <formula>NOT(ISERROR(SEARCH("FIRE",V13)))</formula>
    </cfRule>
    <cfRule type="containsText" dxfId="4878" priority="5601" operator="containsText" text="COSH">
      <formula>NOT(ISERROR(SEARCH("COSH",V13)))</formula>
    </cfRule>
  </conditionalFormatting>
  <conditionalFormatting sqref="V13">
    <cfRule type="containsText" dxfId="4877" priority="5596" operator="containsText" text="FAT">
      <formula>NOT(ISERROR(SEARCH("FAT",V13)))</formula>
    </cfRule>
    <cfRule type="containsText" dxfId="4876" priority="5597" operator="containsText" text="FIRE">
      <formula>NOT(ISERROR(SEARCH("FIRE",V13)))</formula>
    </cfRule>
    <cfRule type="containsText" dxfId="4875" priority="5598" operator="containsText" text="COSH">
      <formula>NOT(ISERROR(SEARCH("COSH",V13)))</formula>
    </cfRule>
  </conditionalFormatting>
  <conditionalFormatting sqref="V13">
    <cfRule type="containsText" dxfId="4874" priority="5593" operator="containsText" text="FAT">
      <formula>NOT(ISERROR(SEARCH("FAT",V13)))</formula>
    </cfRule>
    <cfRule type="containsText" dxfId="4873" priority="5594" operator="containsText" text="FIRE">
      <formula>NOT(ISERROR(SEARCH("FIRE",V13)))</formula>
    </cfRule>
    <cfRule type="containsText" dxfId="4872" priority="5595" operator="containsText" text="COSH">
      <formula>NOT(ISERROR(SEARCH("COSH",V13)))</formula>
    </cfRule>
  </conditionalFormatting>
  <conditionalFormatting sqref="V13">
    <cfRule type="containsText" dxfId="4871" priority="5590" operator="containsText" text="FAT">
      <formula>NOT(ISERROR(SEARCH("FAT",V13)))</formula>
    </cfRule>
    <cfRule type="containsText" dxfId="4870" priority="5591" operator="containsText" text="FIRE">
      <formula>NOT(ISERROR(SEARCH("FIRE",V13)))</formula>
    </cfRule>
    <cfRule type="containsText" dxfId="4869" priority="5592" operator="containsText" text="COSH">
      <formula>NOT(ISERROR(SEARCH("COSH",V13)))</formula>
    </cfRule>
  </conditionalFormatting>
  <conditionalFormatting sqref="V13">
    <cfRule type="containsText" dxfId="4868" priority="5587" operator="containsText" text="FAT">
      <formula>NOT(ISERROR(SEARCH("FAT",V13)))</formula>
    </cfRule>
    <cfRule type="containsText" dxfId="4867" priority="5588" operator="containsText" text="FIRE">
      <formula>NOT(ISERROR(SEARCH("FIRE",V13)))</formula>
    </cfRule>
    <cfRule type="containsText" dxfId="4866" priority="5589" operator="containsText" text="COSH">
      <formula>NOT(ISERROR(SEARCH("COSH",V13)))</formula>
    </cfRule>
  </conditionalFormatting>
  <conditionalFormatting sqref="V13">
    <cfRule type="containsText" dxfId="4865" priority="5584" operator="containsText" text="FAT">
      <formula>NOT(ISERROR(SEARCH("FAT",V13)))</formula>
    </cfRule>
    <cfRule type="containsText" dxfId="4864" priority="5585" operator="containsText" text="FIRE">
      <formula>NOT(ISERROR(SEARCH("FIRE",V13)))</formula>
    </cfRule>
    <cfRule type="containsText" dxfId="4863" priority="5586" operator="containsText" text="COSH">
      <formula>NOT(ISERROR(SEARCH("COSH",V13)))</formula>
    </cfRule>
  </conditionalFormatting>
  <conditionalFormatting sqref="V13">
    <cfRule type="containsText" dxfId="4862" priority="5581" operator="containsText" text="FAT">
      <formula>NOT(ISERROR(SEARCH("FAT",V13)))</formula>
    </cfRule>
    <cfRule type="containsText" dxfId="4861" priority="5582" operator="containsText" text="FIRE">
      <formula>NOT(ISERROR(SEARCH("FIRE",V13)))</formula>
    </cfRule>
    <cfRule type="containsText" dxfId="4860" priority="5583" operator="containsText" text="COSH">
      <formula>NOT(ISERROR(SEARCH("COSH",V13)))</formula>
    </cfRule>
  </conditionalFormatting>
  <conditionalFormatting sqref="V13">
    <cfRule type="containsText" dxfId="4859" priority="5578" operator="containsText" text="FAT">
      <formula>NOT(ISERROR(SEARCH("FAT",V13)))</formula>
    </cfRule>
    <cfRule type="containsText" dxfId="4858" priority="5579" operator="containsText" text="FIRE">
      <formula>NOT(ISERROR(SEARCH("FIRE",V13)))</formula>
    </cfRule>
    <cfRule type="containsText" dxfId="4857" priority="5580" operator="containsText" text="COSH">
      <formula>NOT(ISERROR(SEARCH("COSH",V13)))</formula>
    </cfRule>
  </conditionalFormatting>
  <conditionalFormatting sqref="V13">
    <cfRule type="containsText" dxfId="4856" priority="5575" operator="containsText" text="FAT">
      <formula>NOT(ISERROR(SEARCH("FAT",V13)))</formula>
    </cfRule>
    <cfRule type="containsText" dxfId="4855" priority="5576" operator="containsText" text="FIRE">
      <formula>NOT(ISERROR(SEARCH("FIRE",V13)))</formula>
    </cfRule>
    <cfRule type="containsText" dxfId="4854" priority="5577" operator="containsText" text="COSH">
      <formula>NOT(ISERROR(SEARCH("COSH",V13)))</formula>
    </cfRule>
  </conditionalFormatting>
  <conditionalFormatting sqref="N22:P22 U22:W22">
    <cfRule type="containsText" dxfId="4853" priority="5572" operator="containsText" text="FAT">
      <formula>NOT(ISERROR(SEARCH("FAT",N22)))</formula>
    </cfRule>
    <cfRule type="containsText" dxfId="4852" priority="5573" operator="containsText" text="FIRE">
      <formula>NOT(ISERROR(SEARCH("FIRE",N22)))</formula>
    </cfRule>
    <cfRule type="containsText" dxfId="4851" priority="5574" operator="containsText" text="COSH">
      <formula>NOT(ISERROR(SEARCH("COSH",N22)))</formula>
    </cfRule>
  </conditionalFormatting>
  <conditionalFormatting sqref="Z22">
    <cfRule type="containsText" dxfId="4850" priority="5569" operator="containsText" text="FAT">
      <formula>NOT(ISERROR(SEARCH("FAT",Z22)))</formula>
    </cfRule>
    <cfRule type="containsText" dxfId="4849" priority="5570" operator="containsText" text="FIRE">
      <formula>NOT(ISERROR(SEARCH("FIRE",Z22)))</formula>
    </cfRule>
    <cfRule type="containsText" dxfId="4848" priority="5571" operator="containsText" text="COSH">
      <formula>NOT(ISERROR(SEARCH("COSH",Z22)))</formula>
    </cfRule>
  </conditionalFormatting>
  <conditionalFormatting sqref="X22">
    <cfRule type="containsText" dxfId="4847" priority="5566" operator="containsText" text="FAT">
      <formula>NOT(ISERROR(SEARCH("FAT",X22)))</formula>
    </cfRule>
    <cfRule type="containsText" dxfId="4846" priority="5567" operator="containsText" text="FIRE">
      <formula>NOT(ISERROR(SEARCH("FIRE",X22)))</formula>
    </cfRule>
    <cfRule type="containsText" dxfId="4845" priority="5568" operator="containsText" text="COSH">
      <formula>NOT(ISERROR(SEARCH("COSH",X22)))</formula>
    </cfRule>
  </conditionalFormatting>
  <conditionalFormatting sqref="AA22">
    <cfRule type="containsText" dxfId="4844" priority="5563" operator="containsText" text="FAT">
      <formula>NOT(ISERROR(SEARCH("FAT",AA22)))</formula>
    </cfRule>
    <cfRule type="containsText" dxfId="4843" priority="5564" operator="containsText" text="FIRE">
      <formula>NOT(ISERROR(SEARCH("FIRE",AA22)))</formula>
    </cfRule>
    <cfRule type="containsText" dxfId="4842" priority="5565" operator="containsText" text="COSH">
      <formula>NOT(ISERROR(SEARCH("COSH",AA22)))</formula>
    </cfRule>
  </conditionalFormatting>
  <conditionalFormatting sqref="Y22">
    <cfRule type="containsText" dxfId="4841" priority="5560" operator="containsText" text="FAT">
      <formula>NOT(ISERROR(SEARCH("FAT",Y22)))</formula>
    </cfRule>
    <cfRule type="containsText" dxfId="4840" priority="5561" operator="containsText" text="FIRE">
      <formula>NOT(ISERROR(SEARCH("FIRE",Y22)))</formula>
    </cfRule>
    <cfRule type="containsText" dxfId="4839" priority="5562" operator="containsText" text="COSH">
      <formula>NOT(ISERROR(SEARCH("COSH",Y22)))</formula>
    </cfRule>
  </conditionalFormatting>
  <conditionalFormatting sqref="V22:W22">
    <cfRule type="containsText" dxfId="4838" priority="5557" operator="containsText" text="FAT">
      <formula>NOT(ISERROR(SEARCH("FAT",V22)))</formula>
    </cfRule>
    <cfRule type="containsText" dxfId="4837" priority="5558" operator="containsText" text="FIRE">
      <formula>NOT(ISERROR(SEARCH("FIRE",V22)))</formula>
    </cfRule>
    <cfRule type="containsText" dxfId="4836" priority="5559" operator="containsText" text="COSH">
      <formula>NOT(ISERROR(SEARCH("COSH",V22)))</formula>
    </cfRule>
  </conditionalFormatting>
  <conditionalFormatting sqref="X22">
    <cfRule type="containsText" dxfId="4835" priority="5554" operator="containsText" text="FAT">
      <formula>NOT(ISERROR(SEARCH("FAT",X22)))</formula>
    </cfRule>
    <cfRule type="containsText" dxfId="4834" priority="5555" operator="containsText" text="FIRE">
      <formula>NOT(ISERROR(SEARCH("FIRE",X22)))</formula>
    </cfRule>
    <cfRule type="containsText" dxfId="4833" priority="5556" operator="containsText" text="COSH">
      <formula>NOT(ISERROR(SEARCH("COSH",X22)))</formula>
    </cfRule>
  </conditionalFormatting>
  <conditionalFormatting sqref="V22:W22">
    <cfRule type="containsText" dxfId="4832" priority="5551" operator="containsText" text="FAT">
      <formula>NOT(ISERROR(SEARCH("FAT",V22)))</formula>
    </cfRule>
    <cfRule type="containsText" dxfId="4831" priority="5552" operator="containsText" text="FIRE">
      <formula>NOT(ISERROR(SEARCH("FIRE",V22)))</formula>
    </cfRule>
    <cfRule type="containsText" dxfId="4830" priority="5553" operator="containsText" text="COSH">
      <formula>NOT(ISERROR(SEARCH("COSH",V22)))</formula>
    </cfRule>
  </conditionalFormatting>
  <conditionalFormatting sqref="X22">
    <cfRule type="containsText" dxfId="4829" priority="5548" operator="containsText" text="FAT">
      <formula>NOT(ISERROR(SEARCH("FAT",X22)))</formula>
    </cfRule>
    <cfRule type="containsText" dxfId="4828" priority="5549" operator="containsText" text="FIRE">
      <formula>NOT(ISERROR(SEARCH("FIRE",X22)))</formula>
    </cfRule>
    <cfRule type="containsText" dxfId="4827" priority="5550" operator="containsText" text="COSH">
      <formula>NOT(ISERROR(SEARCH("COSH",X22)))</formula>
    </cfRule>
  </conditionalFormatting>
  <conditionalFormatting sqref="V22:W22">
    <cfRule type="containsText" dxfId="4826" priority="5545" operator="containsText" text="FAT">
      <formula>NOT(ISERROR(SEARCH("FAT",V22)))</formula>
    </cfRule>
    <cfRule type="containsText" dxfId="4825" priority="5546" operator="containsText" text="FIRE">
      <formula>NOT(ISERROR(SEARCH("FIRE",V22)))</formula>
    </cfRule>
    <cfRule type="containsText" dxfId="4824" priority="5547" operator="containsText" text="COSH">
      <formula>NOT(ISERROR(SEARCH("COSH",V22)))</formula>
    </cfRule>
  </conditionalFormatting>
  <conditionalFormatting sqref="X22">
    <cfRule type="containsText" dxfId="4823" priority="5542" operator="containsText" text="FAT">
      <formula>NOT(ISERROR(SEARCH("FAT",X22)))</formula>
    </cfRule>
    <cfRule type="containsText" dxfId="4822" priority="5543" operator="containsText" text="FIRE">
      <formula>NOT(ISERROR(SEARCH("FIRE",X22)))</formula>
    </cfRule>
    <cfRule type="containsText" dxfId="4821" priority="5544" operator="containsText" text="COSH">
      <formula>NOT(ISERROR(SEARCH("COSH",X22)))</formula>
    </cfRule>
  </conditionalFormatting>
  <conditionalFormatting sqref="N22:P22 U22:W22">
    <cfRule type="containsText" dxfId="4820" priority="5539" operator="containsText" text="FAT">
      <formula>NOT(ISERROR(SEARCH("FAT",N22)))</formula>
    </cfRule>
    <cfRule type="containsText" dxfId="4819" priority="5540" operator="containsText" text="FIRE">
      <formula>NOT(ISERROR(SEARCH("FIRE",N22)))</formula>
    </cfRule>
    <cfRule type="containsText" dxfId="4818" priority="5541" operator="containsText" text="COSH">
      <formula>NOT(ISERROR(SEARCH("COSH",N22)))</formula>
    </cfRule>
  </conditionalFormatting>
  <conditionalFormatting sqref="Z22">
    <cfRule type="containsText" dxfId="4817" priority="5536" operator="containsText" text="FAT">
      <formula>NOT(ISERROR(SEARCH("FAT",Z22)))</formula>
    </cfRule>
    <cfRule type="containsText" dxfId="4816" priority="5537" operator="containsText" text="FIRE">
      <formula>NOT(ISERROR(SEARCH("FIRE",Z22)))</formula>
    </cfRule>
    <cfRule type="containsText" dxfId="4815" priority="5538" operator="containsText" text="COSH">
      <formula>NOT(ISERROR(SEARCH("COSH",Z22)))</formula>
    </cfRule>
  </conditionalFormatting>
  <conditionalFormatting sqref="X22">
    <cfRule type="containsText" dxfId="4814" priority="5533" operator="containsText" text="FAT">
      <formula>NOT(ISERROR(SEARCH("FAT",X22)))</formula>
    </cfRule>
    <cfRule type="containsText" dxfId="4813" priority="5534" operator="containsText" text="FIRE">
      <formula>NOT(ISERROR(SEARCH("FIRE",X22)))</formula>
    </cfRule>
    <cfRule type="containsText" dxfId="4812" priority="5535" operator="containsText" text="COSH">
      <formula>NOT(ISERROR(SEARCH("COSH",X22)))</formula>
    </cfRule>
  </conditionalFormatting>
  <conditionalFormatting sqref="AA22">
    <cfRule type="containsText" dxfId="4811" priority="5530" operator="containsText" text="FAT">
      <formula>NOT(ISERROR(SEARCH("FAT",AA22)))</formula>
    </cfRule>
    <cfRule type="containsText" dxfId="4810" priority="5531" operator="containsText" text="FIRE">
      <formula>NOT(ISERROR(SEARCH("FIRE",AA22)))</formula>
    </cfRule>
    <cfRule type="containsText" dxfId="4809" priority="5532" operator="containsText" text="COSH">
      <formula>NOT(ISERROR(SEARCH("COSH",AA22)))</formula>
    </cfRule>
  </conditionalFormatting>
  <conditionalFormatting sqref="Y22">
    <cfRule type="containsText" dxfId="4808" priority="5527" operator="containsText" text="FAT">
      <formula>NOT(ISERROR(SEARCH("FAT",Y22)))</formula>
    </cfRule>
    <cfRule type="containsText" dxfId="4807" priority="5528" operator="containsText" text="FIRE">
      <formula>NOT(ISERROR(SEARCH("FIRE",Y22)))</formula>
    </cfRule>
    <cfRule type="containsText" dxfId="4806" priority="5529" operator="containsText" text="COSH">
      <formula>NOT(ISERROR(SEARCH("COSH",Y22)))</formula>
    </cfRule>
  </conditionalFormatting>
  <conditionalFormatting sqref="X22">
    <cfRule type="containsText" dxfId="4805" priority="5524" operator="containsText" text="FAT">
      <formula>NOT(ISERROR(SEARCH("FAT",X22)))</formula>
    </cfRule>
    <cfRule type="containsText" dxfId="4804" priority="5525" operator="containsText" text="FIRE">
      <formula>NOT(ISERROR(SEARCH("FIRE",X22)))</formula>
    </cfRule>
    <cfRule type="containsText" dxfId="4803" priority="5526" operator="containsText" text="COSH">
      <formula>NOT(ISERROR(SEARCH("COSH",X22)))</formula>
    </cfRule>
  </conditionalFormatting>
  <conditionalFormatting sqref="V22:W22">
    <cfRule type="containsText" dxfId="4802" priority="5521" operator="containsText" text="FAT">
      <formula>NOT(ISERROR(SEARCH("FAT",V22)))</formula>
    </cfRule>
    <cfRule type="containsText" dxfId="4801" priority="5522" operator="containsText" text="FIRE">
      <formula>NOT(ISERROR(SEARCH("FIRE",V22)))</formula>
    </cfRule>
    <cfRule type="containsText" dxfId="4800" priority="5523" operator="containsText" text="COSH">
      <formula>NOT(ISERROR(SEARCH("COSH",V22)))</formula>
    </cfRule>
  </conditionalFormatting>
  <conditionalFormatting sqref="X22">
    <cfRule type="containsText" dxfId="4799" priority="5518" operator="containsText" text="FAT">
      <formula>NOT(ISERROR(SEARCH("FAT",X22)))</formula>
    </cfRule>
    <cfRule type="containsText" dxfId="4798" priority="5519" operator="containsText" text="FIRE">
      <formula>NOT(ISERROR(SEARCH("FIRE",X22)))</formula>
    </cfRule>
    <cfRule type="containsText" dxfId="4797" priority="5520" operator="containsText" text="COSH">
      <formula>NOT(ISERROR(SEARCH("COSH",X22)))</formula>
    </cfRule>
  </conditionalFormatting>
  <conditionalFormatting sqref="V22:W22">
    <cfRule type="containsText" dxfId="4796" priority="5515" operator="containsText" text="FAT">
      <formula>NOT(ISERROR(SEARCH("FAT",V22)))</formula>
    </cfRule>
    <cfRule type="containsText" dxfId="4795" priority="5516" operator="containsText" text="FIRE">
      <formula>NOT(ISERROR(SEARCH("FIRE",V22)))</formula>
    </cfRule>
    <cfRule type="containsText" dxfId="4794" priority="5517" operator="containsText" text="COSH">
      <formula>NOT(ISERROR(SEARCH("COSH",V22)))</formula>
    </cfRule>
  </conditionalFormatting>
  <conditionalFormatting sqref="X22">
    <cfRule type="containsText" dxfId="4793" priority="5512" operator="containsText" text="FAT">
      <formula>NOT(ISERROR(SEARCH("FAT",X22)))</formula>
    </cfRule>
    <cfRule type="containsText" dxfId="4792" priority="5513" operator="containsText" text="FIRE">
      <formula>NOT(ISERROR(SEARCH("FIRE",X22)))</formula>
    </cfRule>
    <cfRule type="containsText" dxfId="4791" priority="5514" operator="containsText" text="COSH">
      <formula>NOT(ISERROR(SEARCH("COSH",X22)))</formula>
    </cfRule>
  </conditionalFormatting>
  <conditionalFormatting sqref="V22:W22">
    <cfRule type="containsText" dxfId="4790" priority="5509" operator="containsText" text="FAT">
      <formula>NOT(ISERROR(SEARCH("FAT",V22)))</formula>
    </cfRule>
    <cfRule type="containsText" dxfId="4789" priority="5510" operator="containsText" text="FIRE">
      <formula>NOT(ISERROR(SEARCH("FIRE",V22)))</formula>
    </cfRule>
    <cfRule type="containsText" dxfId="4788" priority="5511" operator="containsText" text="COSH">
      <formula>NOT(ISERROR(SEARCH("COSH",V22)))</formula>
    </cfRule>
  </conditionalFormatting>
  <conditionalFormatting sqref="X22">
    <cfRule type="containsText" dxfId="4787" priority="5506" operator="containsText" text="FAT">
      <formula>NOT(ISERROR(SEARCH("FAT",X22)))</formula>
    </cfRule>
    <cfRule type="containsText" dxfId="4786" priority="5507" operator="containsText" text="FIRE">
      <formula>NOT(ISERROR(SEARCH("FIRE",X22)))</formula>
    </cfRule>
    <cfRule type="containsText" dxfId="4785" priority="5508" operator="containsText" text="COSH">
      <formula>NOT(ISERROR(SEARCH("COSH",X22)))</formula>
    </cfRule>
  </conditionalFormatting>
  <conditionalFormatting sqref="V22:W22">
    <cfRule type="containsText" dxfId="4784" priority="5503" operator="containsText" text="FAT">
      <formula>NOT(ISERROR(SEARCH("FAT",V22)))</formula>
    </cfRule>
    <cfRule type="containsText" dxfId="4783" priority="5504" operator="containsText" text="FIRE">
      <formula>NOT(ISERROR(SEARCH("FIRE",V22)))</formula>
    </cfRule>
    <cfRule type="containsText" dxfId="4782" priority="5505" operator="containsText" text="COSH">
      <formula>NOT(ISERROR(SEARCH("COSH",V22)))</formula>
    </cfRule>
  </conditionalFormatting>
  <conditionalFormatting sqref="X22">
    <cfRule type="containsText" dxfId="4781" priority="5500" operator="containsText" text="FAT">
      <formula>NOT(ISERROR(SEARCH("FAT",X22)))</formula>
    </cfRule>
    <cfRule type="containsText" dxfId="4780" priority="5501" operator="containsText" text="FIRE">
      <formula>NOT(ISERROR(SEARCH("FIRE",X22)))</formula>
    </cfRule>
    <cfRule type="containsText" dxfId="4779" priority="5502" operator="containsText" text="COSH">
      <formula>NOT(ISERROR(SEARCH("COSH",X22)))</formula>
    </cfRule>
  </conditionalFormatting>
  <conditionalFormatting sqref="V22">
    <cfRule type="containsText" dxfId="4778" priority="5497" operator="containsText" text="FAT">
      <formula>NOT(ISERROR(SEARCH("FAT",V22)))</formula>
    </cfRule>
    <cfRule type="containsText" dxfId="4777" priority="5498" operator="containsText" text="FIRE">
      <formula>NOT(ISERROR(SEARCH("FIRE",V22)))</formula>
    </cfRule>
    <cfRule type="containsText" dxfId="4776" priority="5499" operator="containsText" text="COSH">
      <formula>NOT(ISERROR(SEARCH("COSH",V22)))</formula>
    </cfRule>
  </conditionalFormatting>
  <conditionalFormatting sqref="V22">
    <cfRule type="containsText" dxfId="4775" priority="5494" operator="containsText" text="FAT">
      <formula>NOT(ISERROR(SEARCH("FAT",V22)))</formula>
    </cfRule>
    <cfRule type="containsText" dxfId="4774" priority="5495" operator="containsText" text="FIRE">
      <formula>NOT(ISERROR(SEARCH("FIRE",V22)))</formula>
    </cfRule>
    <cfRule type="containsText" dxfId="4773" priority="5496" operator="containsText" text="COSH">
      <formula>NOT(ISERROR(SEARCH("COSH",V22)))</formula>
    </cfRule>
  </conditionalFormatting>
  <conditionalFormatting sqref="V22">
    <cfRule type="containsText" dxfId="4772" priority="5491" operator="containsText" text="FAT">
      <formula>NOT(ISERROR(SEARCH("FAT",V22)))</formula>
    </cfRule>
    <cfRule type="containsText" dxfId="4771" priority="5492" operator="containsText" text="FIRE">
      <formula>NOT(ISERROR(SEARCH("FIRE",V22)))</formula>
    </cfRule>
    <cfRule type="containsText" dxfId="4770" priority="5493" operator="containsText" text="COSH">
      <formula>NOT(ISERROR(SEARCH("COSH",V22)))</formula>
    </cfRule>
  </conditionalFormatting>
  <conditionalFormatting sqref="V22">
    <cfRule type="containsText" dxfId="4769" priority="5488" operator="containsText" text="FAT">
      <formula>NOT(ISERROR(SEARCH("FAT",V22)))</formula>
    </cfRule>
    <cfRule type="containsText" dxfId="4768" priority="5489" operator="containsText" text="FIRE">
      <formula>NOT(ISERROR(SEARCH("FIRE",V22)))</formula>
    </cfRule>
    <cfRule type="containsText" dxfId="4767" priority="5490" operator="containsText" text="COSH">
      <formula>NOT(ISERROR(SEARCH("COSH",V22)))</formula>
    </cfRule>
  </conditionalFormatting>
  <conditionalFormatting sqref="V22">
    <cfRule type="containsText" dxfId="4766" priority="5485" operator="containsText" text="FAT">
      <formula>NOT(ISERROR(SEARCH("FAT",V22)))</formula>
    </cfRule>
    <cfRule type="containsText" dxfId="4765" priority="5486" operator="containsText" text="FIRE">
      <formula>NOT(ISERROR(SEARCH("FIRE",V22)))</formula>
    </cfRule>
    <cfRule type="containsText" dxfId="4764" priority="5487" operator="containsText" text="COSH">
      <formula>NOT(ISERROR(SEARCH("COSH",V22)))</formula>
    </cfRule>
  </conditionalFormatting>
  <conditionalFormatting sqref="V22">
    <cfRule type="containsText" dxfId="4763" priority="5482" operator="containsText" text="FAT">
      <formula>NOT(ISERROR(SEARCH("FAT",V22)))</formula>
    </cfRule>
    <cfRule type="containsText" dxfId="4762" priority="5483" operator="containsText" text="FIRE">
      <formula>NOT(ISERROR(SEARCH("FIRE",V22)))</formula>
    </cfRule>
    <cfRule type="containsText" dxfId="4761" priority="5484" operator="containsText" text="COSH">
      <formula>NOT(ISERROR(SEARCH("COSH",V22)))</formula>
    </cfRule>
  </conditionalFormatting>
  <conditionalFormatting sqref="V22">
    <cfRule type="containsText" dxfId="4760" priority="5479" operator="containsText" text="FAT">
      <formula>NOT(ISERROR(SEARCH("FAT",V22)))</formula>
    </cfRule>
    <cfRule type="containsText" dxfId="4759" priority="5480" operator="containsText" text="FIRE">
      <formula>NOT(ISERROR(SEARCH("FIRE",V22)))</formula>
    </cfRule>
    <cfRule type="containsText" dxfId="4758" priority="5481" operator="containsText" text="COSH">
      <formula>NOT(ISERROR(SEARCH("COSH",V22)))</formula>
    </cfRule>
  </conditionalFormatting>
  <conditionalFormatting sqref="V22">
    <cfRule type="containsText" dxfId="4757" priority="5476" operator="containsText" text="FAT">
      <formula>NOT(ISERROR(SEARCH("FAT",V22)))</formula>
    </cfRule>
    <cfRule type="containsText" dxfId="4756" priority="5477" operator="containsText" text="FIRE">
      <formula>NOT(ISERROR(SEARCH("FIRE",V22)))</formula>
    </cfRule>
    <cfRule type="containsText" dxfId="4755" priority="5478" operator="containsText" text="COSH">
      <formula>NOT(ISERROR(SEARCH("COSH",V22)))</formula>
    </cfRule>
  </conditionalFormatting>
  <conditionalFormatting sqref="V22">
    <cfRule type="containsText" dxfId="4754" priority="5473" operator="containsText" text="FAT">
      <formula>NOT(ISERROR(SEARCH("FAT",V22)))</formula>
    </cfRule>
    <cfRule type="containsText" dxfId="4753" priority="5474" operator="containsText" text="FIRE">
      <formula>NOT(ISERROR(SEARCH("FIRE",V22)))</formula>
    </cfRule>
    <cfRule type="containsText" dxfId="4752" priority="5475" operator="containsText" text="COSH">
      <formula>NOT(ISERROR(SEARCH("COSH",V22)))</formula>
    </cfRule>
  </conditionalFormatting>
  <conditionalFormatting sqref="V22">
    <cfRule type="containsText" dxfId="4751" priority="5470" operator="containsText" text="FAT">
      <formula>NOT(ISERROR(SEARCH("FAT",V22)))</formula>
    </cfRule>
    <cfRule type="containsText" dxfId="4750" priority="5471" operator="containsText" text="FIRE">
      <formula>NOT(ISERROR(SEARCH("FIRE",V22)))</formula>
    </cfRule>
    <cfRule type="containsText" dxfId="4749" priority="5472" operator="containsText" text="COSH">
      <formula>NOT(ISERROR(SEARCH("COSH",V22)))</formula>
    </cfRule>
  </conditionalFormatting>
  <conditionalFormatting sqref="V20">
    <cfRule type="containsText" dxfId="4748" priority="5467" operator="containsText" text="FAT">
      <formula>NOT(ISERROR(SEARCH("FAT",V20)))</formula>
    </cfRule>
    <cfRule type="containsText" dxfId="4747" priority="5468" operator="containsText" text="FIRE">
      <formula>NOT(ISERROR(SEARCH("FIRE",V20)))</formula>
    </cfRule>
    <cfRule type="containsText" dxfId="4746" priority="5469" operator="containsText" text="COSH">
      <formula>NOT(ISERROR(SEARCH("COSH",V20)))</formula>
    </cfRule>
  </conditionalFormatting>
  <conditionalFormatting sqref="V20">
    <cfRule type="containsText" dxfId="4745" priority="5464" operator="containsText" text="FAT">
      <formula>NOT(ISERROR(SEARCH("FAT",V20)))</formula>
    </cfRule>
    <cfRule type="containsText" dxfId="4744" priority="5465" operator="containsText" text="FIRE">
      <formula>NOT(ISERROR(SEARCH("FIRE",V20)))</formula>
    </cfRule>
    <cfRule type="containsText" dxfId="4743" priority="5466" operator="containsText" text="COSH">
      <formula>NOT(ISERROR(SEARCH("COSH",V20)))</formula>
    </cfRule>
  </conditionalFormatting>
  <conditionalFormatting sqref="V20">
    <cfRule type="containsText" dxfId="4742" priority="5461" operator="containsText" text="FAT">
      <formula>NOT(ISERROR(SEARCH("FAT",V20)))</formula>
    </cfRule>
    <cfRule type="containsText" dxfId="4741" priority="5462" operator="containsText" text="FIRE">
      <formula>NOT(ISERROR(SEARCH("FIRE",V20)))</formula>
    </cfRule>
    <cfRule type="containsText" dxfId="4740" priority="5463" operator="containsText" text="COSH">
      <formula>NOT(ISERROR(SEARCH("COSH",V20)))</formula>
    </cfRule>
  </conditionalFormatting>
  <conditionalFormatting sqref="V20">
    <cfRule type="containsText" dxfId="4739" priority="5458" operator="containsText" text="FAT">
      <formula>NOT(ISERROR(SEARCH("FAT",V20)))</formula>
    </cfRule>
    <cfRule type="containsText" dxfId="4738" priority="5459" operator="containsText" text="FIRE">
      <formula>NOT(ISERROR(SEARCH("FIRE",V20)))</formula>
    </cfRule>
    <cfRule type="containsText" dxfId="4737" priority="5460" operator="containsText" text="COSH">
      <formula>NOT(ISERROR(SEARCH("COSH",V20)))</formula>
    </cfRule>
  </conditionalFormatting>
  <conditionalFormatting sqref="V20">
    <cfRule type="containsText" dxfId="4736" priority="5455" operator="containsText" text="FAT">
      <formula>NOT(ISERROR(SEARCH("FAT",V20)))</formula>
    </cfRule>
    <cfRule type="containsText" dxfId="4735" priority="5456" operator="containsText" text="FIRE">
      <formula>NOT(ISERROR(SEARCH("FIRE",V20)))</formula>
    </cfRule>
    <cfRule type="containsText" dxfId="4734" priority="5457" operator="containsText" text="COSH">
      <formula>NOT(ISERROR(SEARCH("COSH",V20)))</formula>
    </cfRule>
  </conditionalFormatting>
  <conditionalFormatting sqref="Z31">
    <cfRule type="containsText" dxfId="4733" priority="5452" operator="containsText" text="FAT">
      <formula>NOT(ISERROR(SEARCH("FAT",Z31)))</formula>
    </cfRule>
    <cfRule type="containsText" dxfId="4732" priority="5453" operator="containsText" text="FIRE">
      <formula>NOT(ISERROR(SEARCH("FIRE",Z31)))</formula>
    </cfRule>
    <cfRule type="containsText" dxfId="4731" priority="5454" operator="containsText" text="COSH">
      <formula>NOT(ISERROR(SEARCH("COSH",Z31)))</formula>
    </cfRule>
  </conditionalFormatting>
  <conditionalFormatting sqref="X31">
    <cfRule type="containsText" dxfId="4730" priority="5449" operator="containsText" text="FAT">
      <formula>NOT(ISERROR(SEARCH("FAT",X31)))</formula>
    </cfRule>
    <cfRule type="containsText" dxfId="4729" priority="5450" operator="containsText" text="FIRE">
      <formula>NOT(ISERROR(SEARCH("FIRE",X31)))</formula>
    </cfRule>
    <cfRule type="containsText" dxfId="4728" priority="5451" operator="containsText" text="COSH">
      <formula>NOT(ISERROR(SEARCH("COSH",X31)))</formula>
    </cfRule>
  </conditionalFormatting>
  <conditionalFormatting sqref="Y31">
    <cfRule type="containsText" dxfId="4727" priority="5446" operator="containsText" text="FAT">
      <formula>NOT(ISERROR(SEARCH("FAT",Y31)))</formula>
    </cfRule>
    <cfRule type="containsText" dxfId="4726" priority="5447" operator="containsText" text="FIRE">
      <formula>NOT(ISERROR(SEARCH("FIRE",Y31)))</formula>
    </cfRule>
    <cfRule type="containsText" dxfId="4725" priority="5448" operator="containsText" text="COSH">
      <formula>NOT(ISERROR(SEARCH("COSH",Y31)))</formula>
    </cfRule>
  </conditionalFormatting>
  <conditionalFormatting sqref="X31">
    <cfRule type="containsText" dxfId="4724" priority="5443" operator="containsText" text="FAT">
      <formula>NOT(ISERROR(SEARCH("FAT",X31)))</formula>
    </cfRule>
    <cfRule type="containsText" dxfId="4723" priority="5444" operator="containsText" text="FIRE">
      <formula>NOT(ISERROR(SEARCH("FIRE",X31)))</formula>
    </cfRule>
    <cfRule type="containsText" dxfId="4722" priority="5445" operator="containsText" text="COSH">
      <formula>NOT(ISERROR(SEARCH("COSH",X31)))</formula>
    </cfRule>
  </conditionalFormatting>
  <conditionalFormatting sqref="V31:W31">
    <cfRule type="containsText" dxfId="4721" priority="5440" operator="containsText" text="FAT">
      <formula>NOT(ISERROR(SEARCH("FAT",V31)))</formula>
    </cfRule>
    <cfRule type="containsText" dxfId="4720" priority="5441" operator="containsText" text="FIRE">
      <formula>NOT(ISERROR(SEARCH("FIRE",V31)))</formula>
    </cfRule>
    <cfRule type="containsText" dxfId="4719" priority="5442" operator="containsText" text="COSH">
      <formula>NOT(ISERROR(SEARCH("COSH",V31)))</formula>
    </cfRule>
  </conditionalFormatting>
  <conditionalFormatting sqref="X31">
    <cfRule type="containsText" dxfId="4718" priority="5437" operator="containsText" text="FAT">
      <formula>NOT(ISERROR(SEARCH("FAT",X31)))</formula>
    </cfRule>
    <cfRule type="containsText" dxfId="4717" priority="5438" operator="containsText" text="FIRE">
      <formula>NOT(ISERROR(SEARCH("FIRE",X31)))</formula>
    </cfRule>
    <cfRule type="containsText" dxfId="4716" priority="5439" operator="containsText" text="COSH">
      <formula>NOT(ISERROR(SEARCH("COSH",X31)))</formula>
    </cfRule>
  </conditionalFormatting>
  <conditionalFormatting sqref="V31:W31">
    <cfRule type="containsText" dxfId="4715" priority="5434" operator="containsText" text="FAT">
      <formula>NOT(ISERROR(SEARCH("FAT",V31)))</formula>
    </cfRule>
    <cfRule type="containsText" dxfId="4714" priority="5435" operator="containsText" text="FIRE">
      <formula>NOT(ISERROR(SEARCH("FIRE",V31)))</formula>
    </cfRule>
    <cfRule type="containsText" dxfId="4713" priority="5436" operator="containsText" text="COSH">
      <formula>NOT(ISERROR(SEARCH("COSH",V31)))</formula>
    </cfRule>
  </conditionalFormatting>
  <conditionalFormatting sqref="X31">
    <cfRule type="containsText" dxfId="4712" priority="5431" operator="containsText" text="FAT">
      <formula>NOT(ISERROR(SEARCH("FAT",X31)))</formula>
    </cfRule>
    <cfRule type="containsText" dxfId="4711" priority="5432" operator="containsText" text="FIRE">
      <formula>NOT(ISERROR(SEARCH("FIRE",X31)))</formula>
    </cfRule>
    <cfRule type="containsText" dxfId="4710" priority="5433" operator="containsText" text="COSH">
      <formula>NOT(ISERROR(SEARCH("COSH",X31)))</formula>
    </cfRule>
  </conditionalFormatting>
  <conditionalFormatting sqref="V31:W31">
    <cfRule type="containsText" dxfId="4709" priority="5428" operator="containsText" text="FAT">
      <formula>NOT(ISERROR(SEARCH("FAT",V31)))</formula>
    </cfRule>
    <cfRule type="containsText" dxfId="4708" priority="5429" operator="containsText" text="FIRE">
      <formula>NOT(ISERROR(SEARCH("FIRE",V31)))</formula>
    </cfRule>
    <cfRule type="containsText" dxfId="4707" priority="5430" operator="containsText" text="COSH">
      <formula>NOT(ISERROR(SEARCH("COSH",V31)))</formula>
    </cfRule>
  </conditionalFormatting>
  <conditionalFormatting sqref="X31">
    <cfRule type="containsText" dxfId="4706" priority="5425" operator="containsText" text="FAT">
      <formula>NOT(ISERROR(SEARCH("FAT",X31)))</formula>
    </cfRule>
    <cfRule type="containsText" dxfId="4705" priority="5426" operator="containsText" text="FIRE">
      <formula>NOT(ISERROR(SEARCH("FIRE",X31)))</formula>
    </cfRule>
    <cfRule type="containsText" dxfId="4704" priority="5427" operator="containsText" text="COSH">
      <formula>NOT(ISERROR(SEARCH("COSH",X31)))</formula>
    </cfRule>
  </conditionalFormatting>
  <conditionalFormatting sqref="V31:W31">
    <cfRule type="containsText" dxfId="4703" priority="5422" operator="containsText" text="FAT">
      <formula>NOT(ISERROR(SEARCH("FAT",V31)))</formula>
    </cfRule>
    <cfRule type="containsText" dxfId="4702" priority="5423" operator="containsText" text="FIRE">
      <formula>NOT(ISERROR(SEARCH("FIRE",V31)))</formula>
    </cfRule>
    <cfRule type="containsText" dxfId="4701" priority="5424" operator="containsText" text="COSH">
      <formula>NOT(ISERROR(SEARCH("COSH",V31)))</formula>
    </cfRule>
  </conditionalFormatting>
  <conditionalFormatting sqref="X31">
    <cfRule type="containsText" dxfId="4700" priority="5419" operator="containsText" text="FAT">
      <formula>NOT(ISERROR(SEARCH("FAT",X31)))</formula>
    </cfRule>
    <cfRule type="containsText" dxfId="4699" priority="5420" operator="containsText" text="FIRE">
      <formula>NOT(ISERROR(SEARCH("FIRE",X31)))</formula>
    </cfRule>
    <cfRule type="containsText" dxfId="4698" priority="5421" operator="containsText" text="COSH">
      <formula>NOT(ISERROR(SEARCH("COSH",X31)))</formula>
    </cfRule>
  </conditionalFormatting>
  <conditionalFormatting sqref="P31">
    <cfRule type="containsText" dxfId="4697" priority="5416" operator="containsText" text="FAT">
      <formula>NOT(ISERROR(SEARCH("FAT",P31)))</formula>
    </cfRule>
    <cfRule type="containsText" dxfId="4696" priority="5417" operator="containsText" text="FIRE">
      <formula>NOT(ISERROR(SEARCH("FIRE",P31)))</formula>
    </cfRule>
    <cfRule type="containsText" dxfId="4695" priority="5418" operator="containsText" text="COSH">
      <formula>NOT(ISERROR(SEARCH("COSH",P31)))</formula>
    </cfRule>
  </conditionalFormatting>
  <conditionalFormatting sqref="P31">
    <cfRule type="containsText" dxfId="4694" priority="5413" operator="containsText" text="FAT">
      <formula>NOT(ISERROR(SEARCH("FAT",P31)))</formula>
    </cfRule>
    <cfRule type="containsText" dxfId="4693" priority="5414" operator="containsText" text="FIRE">
      <formula>NOT(ISERROR(SEARCH("FIRE",P31)))</formula>
    </cfRule>
    <cfRule type="containsText" dxfId="4692" priority="5415" operator="containsText" text="COSH">
      <formula>NOT(ISERROR(SEARCH("COSH",P31)))</formula>
    </cfRule>
  </conditionalFormatting>
  <conditionalFormatting sqref="P31">
    <cfRule type="containsText" dxfId="4691" priority="5410" operator="containsText" text="FAT">
      <formula>NOT(ISERROR(SEARCH("FAT",P31)))</formula>
    </cfRule>
    <cfRule type="containsText" dxfId="4690" priority="5411" operator="containsText" text="FIRE">
      <formula>NOT(ISERROR(SEARCH("FIRE",P31)))</formula>
    </cfRule>
    <cfRule type="containsText" dxfId="4689" priority="5412" operator="containsText" text="COSH">
      <formula>NOT(ISERROR(SEARCH("COSH",P31)))</formula>
    </cfRule>
  </conditionalFormatting>
  <conditionalFormatting sqref="V31">
    <cfRule type="containsText" dxfId="4688" priority="5407" operator="containsText" text="FAT">
      <formula>NOT(ISERROR(SEARCH("FAT",V31)))</formula>
    </cfRule>
    <cfRule type="containsText" dxfId="4687" priority="5408" operator="containsText" text="FIRE">
      <formula>NOT(ISERROR(SEARCH("FIRE",V31)))</formula>
    </cfRule>
    <cfRule type="containsText" dxfId="4686" priority="5409" operator="containsText" text="COSH">
      <formula>NOT(ISERROR(SEARCH("COSH",V31)))</formula>
    </cfRule>
  </conditionalFormatting>
  <conditionalFormatting sqref="V31">
    <cfRule type="containsText" dxfId="4685" priority="5404" operator="containsText" text="FAT">
      <formula>NOT(ISERROR(SEARCH("FAT",V31)))</formula>
    </cfRule>
    <cfRule type="containsText" dxfId="4684" priority="5405" operator="containsText" text="FIRE">
      <formula>NOT(ISERROR(SEARCH("FIRE",V31)))</formula>
    </cfRule>
    <cfRule type="containsText" dxfId="4683" priority="5406" operator="containsText" text="COSH">
      <formula>NOT(ISERROR(SEARCH("COSH",V31)))</formula>
    </cfRule>
  </conditionalFormatting>
  <conditionalFormatting sqref="V31">
    <cfRule type="containsText" dxfId="4682" priority="5401" operator="containsText" text="FAT">
      <formula>NOT(ISERROR(SEARCH("FAT",V31)))</formula>
    </cfRule>
    <cfRule type="containsText" dxfId="4681" priority="5402" operator="containsText" text="FIRE">
      <formula>NOT(ISERROR(SEARCH("FIRE",V31)))</formula>
    </cfRule>
    <cfRule type="containsText" dxfId="4680" priority="5403" operator="containsText" text="COSH">
      <formula>NOT(ISERROR(SEARCH("COSH",V31)))</formula>
    </cfRule>
  </conditionalFormatting>
  <conditionalFormatting sqref="V31">
    <cfRule type="containsText" dxfId="4679" priority="5398" operator="containsText" text="FAT">
      <formula>NOT(ISERROR(SEARCH("FAT",V31)))</formula>
    </cfRule>
    <cfRule type="containsText" dxfId="4678" priority="5399" operator="containsText" text="FIRE">
      <formula>NOT(ISERROR(SEARCH("FIRE",V31)))</formula>
    </cfRule>
    <cfRule type="containsText" dxfId="4677" priority="5400" operator="containsText" text="COSH">
      <formula>NOT(ISERROR(SEARCH("COSH",V31)))</formula>
    </cfRule>
  </conditionalFormatting>
  <conditionalFormatting sqref="V31">
    <cfRule type="containsText" dxfId="4676" priority="5395" operator="containsText" text="FAT">
      <formula>NOT(ISERROR(SEARCH("FAT",V31)))</formula>
    </cfRule>
    <cfRule type="containsText" dxfId="4675" priority="5396" operator="containsText" text="FIRE">
      <formula>NOT(ISERROR(SEARCH("FIRE",V31)))</formula>
    </cfRule>
    <cfRule type="containsText" dxfId="4674" priority="5397" operator="containsText" text="COSH">
      <formula>NOT(ISERROR(SEARCH("COSH",V31)))</formula>
    </cfRule>
  </conditionalFormatting>
  <conditionalFormatting sqref="V31">
    <cfRule type="containsText" dxfId="4673" priority="5392" operator="containsText" text="FAT">
      <formula>NOT(ISERROR(SEARCH("FAT",V31)))</formula>
    </cfRule>
    <cfRule type="containsText" dxfId="4672" priority="5393" operator="containsText" text="FIRE">
      <formula>NOT(ISERROR(SEARCH("FIRE",V31)))</formula>
    </cfRule>
    <cfRule type="containsText" dxfId="4671" priority="5394" operator="containsText" text="COSH">
      <formula>NOT(ISERROR(SEARCH("COSH",V31)))</formula>
    </cfRule>
  </conditionalFormatting>
  <conditionalFormatting sqref="V31">
    <cfRule type="containsText" dxfId="4670" priority="5389" operator="containsText" text="FAT">
      <formula>NOT(ISERROR(SEARCH("FAT",V31)))</formula>
    </cfRule>
    <cfRule type="containsText" dxfId="4669" priority="5390" operator="containsText" text="FIRE">
      <formula>NOT(ISERROR(SEARCH("FIRE",V31)))</formula>
    </cfRule>
    <cfRule type="containsText" dxfId="4668" priority="5391" operator="containsText" text="COSH">
      <formula>NOT(ISERROR(SEARCH("COSH",V31)))</formula>
    </cfRule>
  </conditionalFormatting>
  <conditionalFormatting sqref="V31">
    <cfRule type="containsText" dxfId="4667" priority="5386" operator="containsText" text="FAT">
      <formula>NOT(ISERROR(SEARCH("FAT",V31)))</formula>
    </cfRule>
    <cfRule type="containsText" dxfId="4666" priority="5387" operator="containsText" text="FIRE">
      <formula>NOT(ISERROR(SEARCH("FIRE",V31)))</formula>
    </cfRule>
    <cfRule type="containsText" dxfId="4665" priority="5388" operator="containsText" text="COSH">
      <formula>NOT(ISERROR(SEARCH("COSH",V31)))</formula>
    </cfRule>
  </conditionalFormatting>
  <conditionalFormatting sqref="V31">
    <cfRule type="containsText" dxfId="4664" priority="5383" operator="containsText" text="FAT">
      <formula>NOT(ISERROR(SEARCH("FAT",V31)))</formula>
    </cfRule>
    <cfRule type="containsText" dxfId="4663" priority="5384" operator="containsText" text="FIRE">
      <formula>NOT(ISERROR(SEARCH("FIRE",V31)))</formula>
    </cfRule>
    <cfRule type="containsText" dxfId="4662" priority="5385" operator="containsText" text="COSH">
      <formula>NOT(ISERROR(SEARCH("COSH",V31)))</formula>
    </cfRule>
  </conditionalFormatting>
  <conditionalFormatting sqref="V31">
    <cfRule type="containsText" dxfId="4661" priority="5380" operator="containsText" text="FAT">
      <formula>NOT(ISERROR(SEARCH("FAT",V31)))</formula>
    </cfRule>
    <cfRule type="containsText" dxfId="4660" priority="5381" operator="containsText" text="FIRE">
      <formula>NOT(ISERROR(SEARCH("FIRE",V31)))</formula>
    </cfRule>
    <cfRule type="containsText" dxfId="4659" priority="5382" operator="containsText" text="COSH">
      <formula>NOT(ISERROR(SEARCH("COSH",V31)))</formula>
    </cfRule>
  </conditionalFormatting>
  <conditionalFormatting sqref="X19">
    <cfRule type="containsText" dxfId="4658" priority="5377" operator="containsText" text="FAT">
      <formula>NOT(ISERROR(SEARCH("FAT",X19)))</formula>
    </cfRule>
    <cfRule type="containsText" dxfId="4657" priority="5378" operator="containsText" text="FIRE">
      <formula>NOT(ISERROR(SEARCH("FIRE",X19)))</formula>
    </cfRule>
    <cfRule type="containsText" dxfId="4656" priority="5379" operator="containsText" text="COSH">
      <formula>NOT(ISERROR(SEARCH("COSH",X19)))</formula>
    </cfRule>
  </conditionalFormatting>
  <conditionalFormatting sqref="V19:W19">
    <cfRule type="containsText" dxfId="4655" priority="5374" operator="containsText" text="FAT">
      <formula>NOT(ISERROR(SEARCH("FAT",V19)))</formula>
    </cfRule>
    <cfRule type="containsText" dxfId="4654" priority="5375" operator="containsText" text="FIRE">
      <formula>NOT(ISERROR(SEARCH("FIRE",V19)))</formula>
    </cfRule>
    <cfRule type="containsText" dxfId="4653" priority="5376" operator="containsText" text="COSH">
      <formula>NOT(ISERROR(SEARCH("COSH",V19)))</formula>
    </cfRule>
  </conditionalFormatting>
  <conditionalFormatting sqref="X19">
    <cfRule type="containsText" dxfId="4652" priority="5371" operator="containsText" text="FAT">
      <formula>NOT(ISERROR(SEARCH("FAT",X19)))</formula>
    </cfRule>
    <cfRule type="containsText" dxfId="4651" priority="5372" operator="containsText" text="FIRE">
      <formula>NOT(ISERROR(SEARCH("FIRE",X19)))</formula>
    </cfRule>
    <cfRule type="containsText" dxfId="4650" priority="5373" operator="containsText" text="COSH">
      <formula>NOT(ISERROR(SEARCH("COSH",X19)))</formula>
    </cfRule>
  </conditionalFormatting>
  <conditionalFormatting sqref="V19:W19">
    <cfRule type="containsText" dxfId="4649" priority="5368" operator="containsText" text="FAT">
      <formula>NOT(ISERROR(SEARCH("FAT",V19)))</formula>
    </cfRule>
    <cfRule type="containsText" dxfId="4648" priority="5369" operator="containsText" text="FIRE">
      <formula>NOT(ISERROR(SEARCH("FIRE",V19)))</formula>
    </cfRule>
    <cfRule type="containsText" dxfId="4647" priority="5370" operator="containsText" text="COSH">
      <formula>NOT(ISERROR(SEARCH("COSH",V19)))</formula>
    </cfRule>
  </conditionalFormatting>
  <conditionalFormatting sqref="X19">
    <cfRule type="containsText" dxfId="4646" priority="5365" operator="containsText" text="FAT">
      <formula>NOT(ISERROR(SEARCH("FAT",X19)))</formula>
    </cfRule>
    <cfRule type="containsText" dxfId="4645" priority="5366" operator="containsText" text="FIRE">
      <formula>NOT(ISERROR(SEARCH("FIRE",X19)))</formula>
    </cfRule>
    <cfRule type="containsText" dxfId="4644" priority="5367" operator="containsText" text="COSH">
      <formula>NOT(ISERROR(SEARCH("COSH",X19)))</formula>
    </cfRule>
  </conditionalFormatting>
  <conditionalFormatting sqref="V19:W19">
    <cfRule type="containsText" dxfId="4643" priority="5362" operator="containsText" text="FAT">
      <formula>NOT(ISERROR(SEARCH("FAT",V19)))</formula>
    </cfRule>
    <cfRule type="containsText" dxfId="4642" priority="5363" operator="containsText" text="FIRE">
      <formula>NOT(ISERROR(SEARCH("FIRE",V19)))</formula>
    </cfRule>
    <cfRule type="containsText" dxfId="4641" priority="5364" operator="containsText" text="COSH">
      <formula>NOT(ISERROR(SEARCH("COSH",V19)))</formula>
    </cfRule>
  </conditionalFormatting>
  <conditionalFormatting sqref="X19">
    <cfRule type="containsText" dxfId="4640" priority="5359" operator="containsText" text="FAT">
      <formula>NOT(ISERROR(SEARCH("FAT",X19)))</formula>
    </cfRule>
    <cfRule type="containsText" dxfId="4639" priority="5360" operator="containsText" text="FIRE">
      <formula>NOT(ISERROR(SEARCH("FIRE",X19)))</formula>
    </cfRule>
    <cfRule type="containsText" dxfId="4638" priority="5361" operator="containsText" text="COSH">
      <formula>NOT(ISERROR(SEARCH("COSH",X19)))</formula>
    </cfRule>
  </conditionalFormatting>
  <conditionalFormatting sqref="V19:W19">
    <cfRule type="containsText" dxfId="4637" priority="5356" operator="containsText" text="FAT">
      <formula>NOT(ISERROR(SEARCH("FAT",V19)))</formula>
    </cfRule>
    <cfRule type="containsText" dxfId="4636" priority="5357" operator="containsText" text="FIRE">
      <formula>NOT(ISERROR(SEARCH("FIRE",V19)))</formula>
    </cfRule>
    <cfRule type="containsText" dxfId="4635" priority="5358" operator="containsText" text="COSH">
      <formula>NOT(ISERROR(SEARCH("COSH",V19)))</formula>
    </cfRule>
  </conditionalFormatting>
  <conditionalFormatting sqref="X19">
    <cfRule type="containsText" dxfId="4634" priority="5353" operator="containsText" text="FAT">
      <formula>NOT(ISERROR(SEARCH("FAT",X19)))</formula>
    </cfRule>
    <cfRule type="containsText" dxfId="4633" priority="5354" operator="containsText" text="FIRE">
      <formula>NOT(ISERROR(SEARCH("FIRE",X19)))</formula>
    </cfRule>
    <cfRule type="containsText" dxfId="4632" priority="5355" operator="containsText" text="COSH">
      <formula>NOT(ISERROR(SEARCH("COSH",X19)))</formula>
    </cfRule>
  </conditionalFormatting>
  <conditionalFormatting sqref="V19">
    <cfRule type="containsText" dxfId="4631" priority="5350" operator="containsText" text="FAT">
      <formula>NOT(ISERROR(SEARCH("FAT",V19)))</formula>
    </cfRule>
    <cfRule type="containsText" dxfId="4630" priority="5351" operator="containsText" text="FIRE">
      <formula>NOT(ISERROR(SEARCH("FIRE",V19)))</formula>
    </cfRule>
    <cfRule type="containsText" dxfId="4629" priority="5352" operator="containsText" text="COSH">
      <formula>NOT(ISERROR(SEARCH("COSH",V19)))</formula>
    </cfRule>
  </conditionalFormatting>
  <conditionalFormatting sqref="V19">
    <cfRule type="containsText" dxfId="4628" priority="5347" operator="containsText" text="FAT">
      <formula>NOT(ISERROR(SEARCH("FAT",V19)))</formula>
    </cfRule>
    <cfRule type="containsText" dxfId="4627" priority="5348" operator="containsText" text="FIRE">
      <formula>NOT(ISERROR(SEARCH("FIRE",V19)))</formula>
    </cfRule>
    <cfRule type="containsText" dxfId="4626" priority="5349" operator="containsText" text="COSH">
      <formula>NOT(ISERROR(SEARCH("COSH",V19)))</formula>
    </cfRule>
  </conditionalFormatting>
  <conditionalFormatting sqref="V19">
    <cfRule type="containsText" dxfId="4625" priority="5344" operator="containsText" text="FAT">
      <formula>NOT(ISERROR(SEARCH("FAT",V19)))</formula>
    </cfRule>
    <cfRule type="containsText" dxfId="4624" priority="5345" operator="containsText" text="FIRE">
      <formula>NOT(ISERROR(SEARCH("FIRE",V19)))</formula>
    </cfRule>
    <cfRule type="containsText" dxfId="4623" priority="5346" operator="containsText" text="COSH">
      <formula>NOT(ISERROR(SEARCH("COSH",V19)))</formula>
    </cfRule>
  </conditionalFormatting>
  <conditionalFormatting sqref="V19">
    <cfRule type="containsText" dxfId="4622" priority="5341" operator="containsText" text="FAT">
      <formula>NOT(ISERROR(SEARCH("FAT",V19)))</formula>
    </cfRule>
    <cfRule type="containsText" dxfId="4621" priority="5342" operator="containsText" text="FIRE">
      <formula>NOT(ISERROR(SEARCH("FIRE",V19)))</formula>
    </cfRule>
    <cfRule type="containsText" dxfId="4620" priority="5343" operator="containsText" text="COSH">
      <formula>NOT(ISERROR(SEARCH("COSH",V19)))</formula>
    </cfRule>
  </conditionalFormatting>
  <conditionalFormatting sqref="V19">
    <cfRule type="containsText" dxfId="4619" priority="5338" operator="containsText" text="FAT">
      <formula>NOT(ISERROR(SEARCH("FAT",V19)))</formula>
    </cfRule>
    <cfRule type="containsText" dxfId="4618" priority="5339" operator="containsText" text="FIRE">
      <formula>NOT(ISERROR(SEARCH("FIRE",V19)))</formula>
    </cfRule>
    <cfRule type="containsText" dxfId="4617" priority="5340" operator="containsText" text="COSH">
      <formula>NOT(ISERROR(SEARCH("COSH",V19)))</formula>
    </cfRule>
  </conditionalFormatting>
  <conditionalFormatting sqref="V19">
    <cfRule type="containsText" dxfId="4616" priority="5335" operator="containsText" text="FAT">
      <formula>NOT(ISERROR(SEARCH("FAT",V19)))</formula>
    </cfRule>
    <cfRule type="containsText" dxfId="4615" priority="5336" operator="containsText" text="FIRE">
      <formula>NOT(ISERROR(SEARCH("FIRE",V19)))</formula>
    </cfRule>
    <cfRule type="containsText" dxfId="4614" priority="5337" operator="containsText" text="COSH">
      <formula>NOT(ISERROR(SEARCH("COSH",V19)))</formula>
    </cfRule>
  </conditionalFormatting>
  <conditionalFormatting sqref="U17:V17">
    <cfRule type="containsText" dxfId="4613" priority="5332" operator="containsText" text="FAT">
      <formula>NOT(ISERROR(SEARCH("FAT",U17)))</formula>
    </cfRule>
    <cfRule type="containsText" dxfId="4612" priority="5333" operator="containsText" text="FIRE">
      <formula>NOT(ISERROR(SEARCH("FIRE",U17)))</formula>
    </cfRule>
    <cfRule type="containsText" dxfId="4611" priority="5334" operator="containsText" text="COSH">
      <formula>NOT(ISERROR(SEARCH("COSH",U17)))</formula>
    </cfRule>
  </conditionalFormatting>
  <conditionalFormatting sqref="X17">
    <cfRule type="containsText" dxfId="4610" priority="5329" operator="containsText" text="FAT">
      <formula>NOT(ISERROR(SEARCH("FAT",X17)))</formula>
    </cfRule>
    <cfRule type="containsText" dxfId="4609" priority="5330" operator="containsText" text="FIRE">
      <formula>NOT(ISERROR(SEARCH("FIRE",X17)))</formula>
    </cfRule>
    <cfRule type="containsText" dxfId="4608" priority="5331" operator="containsText" text="COSH">
      <formula>NOT(ISERROR(SEARCH("COSH",X17)))</formula>
    </cfRule>
  </conditionalFormatting>
  <conditionalFormatting sqref="V17">
    <cfRule type="containsText" dxfId="4607" priority="5326" operator="containsText" text="FAT">
      <formula>NOT(ISERROR(SEARCH("FAT",V17)))</formula>
    </cfRule>
    <cfRule type="containsText" dxfId="4606" priority="5327" operator="containsText" text="FIRE">
      <formula>NOT(ISERROR(SEARCH("FIRE",V17)))</formula>
    </cfRule>
    <cfRule type="containsText" dxfId="4605" priority="5328" operator="containsText" text="COSH">
      <formula>NOT(ISERROR(SEARCH("COSH",V17)))</formula>
    </cfRule>
  </conditionalFormatting>
  <conditionalFormatting sqref="V17">
    <cfRule type="containsText" dxfId="4604" priority="5323" operator="containsText" text="FAT">
      <formula>NOT(ISERROR(SEARCH("FAT",V17)))</formula>
    </cfRule>
    <cfRule type="containsText" dxfId="4603" priority="5324" operator="containsText" text="FIRE">
      <formula>NOT(ISERROR(SEARCH("FIRE",V17)))</formula>
    </cfRule>
    <cfRule type="containsText" dxfId="4602" priority="5325" operator="containsText" text="COSH">
      <formula>NOT(ISERROR(SEARCH("COSH",V17)))</formula>
    </cfRule>
  </conditionalFormatting>
  <conditionalFormatting sqref="V17">
    <cfRule type="containsText" dxfId="4601" priority="5320" operator="containsText" text="FAT">
      <formula>NOT(ISERROR(SEARCH("FAT",V17)))</formula>
    </cfRule>
    <cfRule type="containsText" dxfId="4600" priority="5321" operator="containsText" text="FIRE">
      <formula>NOT(ISERROR(SEARCH("FIRE",V17)))</formula>
    </cfRule>
    <cfRule type="containsText" dxfId="4599" priority="5322" operator="containsText" text="COSH">
      <formula>NOT(ISERROR(SEARCH("COSH",V17)))</formula>
    </cfRule>
  </conditionalFormatting>
  <conditionalFormatting sqref="V17">
    <cfRule type="containsText" dxfId="4598" priority="5317" operator="containsText" text="FAT">
      <formula>NOT(ISERROR(SEARCH("FAT",V17)))</formula>
    </cfRule>
    <cfRule type="containsText" dxfId="4597" priority="5318" operator="containsText" text="FIRE">
      <formula>NOT(ISERROR(SEARCH("FIRE",V17)))</formula>
    </cfRule>
    <cfRule type="containsText" dxfId="4596" priority="5319" operator="containsText" text="COSH">
      <formula>NOT(ISERROR(SEARCH("COSH",V17)))</formula>
    </cfRule>
  </conditionalFormatting>
  <conditionalFormatting sqref="X17">
    <cfRule type="containsText" dxfId="4595" priority="5314" operator="containsText" text="FAT">
      <formula>NOT(ISERROR(SEARCH("FAT",X17)))</formula>
    </cfRule>
    <cfRule type="containsText" dxfId="4594" priority="5315" operator="containsText" text="FIRE">
      <formula>NOT(ISERROR(SEARCH("FIRE",X17)))</formula>
    </cfRule>
    <cfRule type="containsText" dxfId="4593" priority="5316" operator="containsText" text="COSH">
      <formula>NOT(ISERROR(SEARCH("COSH",X17)))</formula>
    </cfRule>
  </conditionalFormatting>
  <conditionalFormatting sqref="V17:W17">
    <cfRule type="containsText" dxfId="4592" priority="5311" operator="containsText" text="FAT">
      <formula>NOT(ISERROR(SEARCH("FAT",V17)))</formula>
    </cfRule>
    <cfRule type="containsText" dxfId="4591" priority="5312" operator="containsText" text="FIRE">
      <formula>NOT(ISERROR(SEARCH("FIRE",V17)))</formula>
    </cfRule>
    <cfRule type="containsText" dxfId="4590" priority="5313" operator="containsText" text="COSH">
      <formula>NOT(ISERROR(SEARCH("COSH",V17)))</formula>
    </cfRule>
  </conditionalFormatting>
  <conditionalFormatting sqref="X17">
    <cfRule type="containsText" dxfId="4589" priority="5308" operator="containsText" text="FAT">
      <formula>NOT(ISERROR(SEARCH("FAT",X17)))</formula>
    </cfRule>
    <cfRule type="containsText" dxfId="4588" priority="5309" operator="containsText" text="FIRE">
      <formula>NOT(ISERROR(SEARCH("FIRE",X17)))</formula>
    </cfRule>
    <cfRule type="containsText" dxfId="4587" priority="5310" operator="containsText" text="COSH">
      <formula>NOT(ISERROR(SEARCH("COSH",X17)))</formula>
    </cfRule>
  </conditionalFormatting>
  <conditionalFormatting sqref="V17:W17">
    <cfRule type="containsText" dxfId="4586" priority="5305" operator="containsText" text="FAT">
      <formula>NOT(ISERROR(SEARCH("FAT",V17)))</formula>
    </cfRule>
    <cfRule type="containsText" dxfId="4585" priority="5306" operator="containsText" text="FIRE">
      <formula>NOT(ISERROR(SEARCH("FIRE",V17)))</formula>
    </cfRule>
    <cfRule type="containsText" dxfId="4584" priority="5307" operator="containsText" text="COSH">
      <formula>NOT(ISERROR(SEARCH("COSH",V17)))</formula>
    </cfRule>
  </conditionalFormatting>
  <conditionalFormatting sqref="X17">
    <cfRule type="containsText" dxfId="4583" priority="5302" operator="containsText" text="FAT">
      <formula>NOT(ISERROR(SEARCH("FAT",X17)))</formula>
    </cfRule>
    <cfRule type="containsText" dxfId="4582" priority="5303" operator="containsText" text="FIRE">
      <formula>NOT(ISERROR(SEARCH("FIRE",X17)))</formula>
    </cfRule>
    <cfRule type="containsText" dxfId="4581" priority="5304" operator="containsText" text="COSH">
      <formula>NOT(ISERROR(SEARCH("COSH",X17)))</formula>
    </cfRule>
  </conditionalFormatting>
  <conditionalFormatting sqref="V17:W17">
    <cfRule type="containsText" dxfId="4580" priority="5299" operator="containsText" text="FAT">
      <formula>NOT(ISERROR(SEARCH("FAT",V17)))</formula>
    </cfRule>
    <cfRule type="containsText" dxfId="4579" priority="5300" operator="containsText" text="FIRE">
      <formula>NOT(ISERROR(SEARCH("FIRE",V17)))</formula>
    </cfRule>
    <cfRule type="containsText" dxfId="4578" priority="5301" operator="containsText" text="COSH">
      <formula>NOT(ISERROR(SEARCH("COSH",V17)))</formula>
    </cfRule>
  </conditionalFormatting>
  <conditionalFormatting sqref="X17">
    <cfRule type="containsText" dxfId="4577" priority="5296" operator="containsText" text="FAT">
      <formula>NOT(ISERROR(SEARCH("FAT",X17)))</formula>
    </cfRule>
    <cfRule type="containsText" dxfId="4576" priority="5297" operator="containsText" text="FIRE">
      <formula>NOT(ISERROR(SEARCH("FIRE",X17)))</formula>
    </cfRule>
    <cfRule type="containsText" dxfId="4575" priority="5298" operator="containsText" text="COSH">
      <formula>NOT(ISERROR(SEARCH("COSH",X17)))</formula>
    </cfRule>
  </conditionalFormatting>
  <conditionalFormatting sqref="V17:W17">
    <cfRule type="containsText" dxfId="4574" priority="5293" operator="containsText" text="FAT">
      <formula>NOT(ISERROR(SEARCH("FAT",V17)))</formula>
    </cfRule>
    <cfRule type="containsText" dxfId="4573" priority="5294" operator="containsText" text="FIRE">
      <formula>NOT(ISERROR(SEARCH("FIRE",V17)))</formula>
    </cfRule>
    <cfRule type="containsText" dxfId="4572" priority="5295" operator="containsText" text="COSH">
      <formula>NOT(ISERROR(SEARCH("COSH",V17)))</formula>
    </cfRule>
  </conditionalFormatting>
  <conditionalFormatting sqref="X17">
    <cfRule type="containsText" dxfId="4571" priority="5290" operator="containsText" text="FAT">
      <formula>NOT(ISERROR(SEARCH("FAT",X17)))</formula>
    </cfRule>
    <cfRule type="containsText" dxfId="4570" priority="5291" operator="containsText" text="FIRE">
      <formula>NOT(ISERROR(SEARCH("FIRE",X17)))</formula>
    </cfRule>
    <cfRule type="containsText" dxfId="4569" priority="5292" operator="containsText" text="COSH">
      <formula>NOT(ISERROR(SEARCH("COSH",X17)))</formula>
    </cfRule>
  </conditionalFormatting>
  <conditionalFormatting sqref="V17">
    <cfRule type="containsText" dxfId="4568" priority="5287" operator="containsText" text="FAT">
      <formula>NOT(ISERROR(SEARCH("FAT",V17)))</formula>
    </cfRule>
    <cfRule type="containsText" dxfId="4567" priority="5288" operator="containsText" text="FIRE">
      <formula>NOT(ISERROR(SEARCH("FIRE",V17)))</formula>
    </cfRule>
    <cfRule type="containsText" dxfId="4566" priority="5289" operator="containsText" text="COSH">
      <formula>NOT(ISERROR(SEARCH("COSH",V17)))</formula>
    </cfRule>
  </conditionalFormatting>
  <conditionalFormatting sqref="V17">
    <cfRule type="containsText" dxfId="4565" priority="5284" operator="containsText" text="FAT">
      <formula>NOT(ISERROR(SEARCH("FAT",V17)))</formula>
    </cfRule>
    <cfRule type="containsText" dxfId="4564" priority="5285" operator="containsText" text="FIRE">
      <formula>NOT(ISERROR(SEARCH("FIRE",V17)))</formula>
    </cfRule>
    <cfRule type="containsText" dxfId="4563" priority="5286" operator="containsText" text="COSH">
      <formula>NOT(ISERROR(SEARCH("COSH",V17)))</formula>
    </cfRule>
  </conditionalFormatting>
  <conditionalFormatting sqref="V17">
    <cfRule type="containsText" dxfId="4562" priority="5281" operator="containsText" text="FAT">
      <formula>NOT(ISERROR(SEARCH("FAT",V17)))</formula>
    </cfRule>
    <cfRule type="containsText" dxfId="4561" priority="5282" operator="containsText" text="FIRE">
      <formula>NOT(ISERROR(SEARCH("FIRE",V17)))</formula>
    </cfRule>
    <cfRule type="containsText" dxfId="4560" priority="5283" operator="containsText" text="COSH">
      <formula>NOT(ISERROR(SEARCH("COSH",V17)))</formula>
    </cfRule>
  </conditionalFormatting>
  <conditionalFormatting sqref="V17">
    <cfRule type="containsText" dxfId="4559" priority="5278" operator="containsText" text="FAT">
      <formula>NOT(ISERROR(SEARCH("FAT",V17)))</formula>
    </cfRule>
    <cfRule type="containsText" dxfId="4558" priority="5279" operator="containsText" text="FIRE">
      <formula>NOT(ISERROR(SEARCH("FIRE",V17)))</formula>
    </cfRule>
    <cfRule type="containsText" dxfId="4557" priority="5280" operator="containsText" text="COSH">
      <formula>NOT(ISERROR(SEARCH("COSH",V17)))</formula>
    </cfRule>
  </conditionalFormatting>
  <conditionalFormatting sqref="V17">
    <cfRule type="containsText" dxfId="4556" priority="5275" operator="containsText" text="FAT">
      <formula>NOT(ISERROR(SEARCH("FAT",V17)))</formula>
    </cfRule>
    <cfRule type="containsText" dxfId="4555" priority="5276" operator="containsText" text="FIRE">
      <formula>NOT(ISERROR(SEARCH("FIRE",V17)))</formula>
    </cfRule>
    <cfRule type="containsText" dxfId="4554" priority="5277" operator="containsText" text="COSH">
      <formula>NOT(ISERROR(SEARCH("COSH",V17)))</formula>
    </cfRule>
  </conditionalFormatting>
  <conditionalFormatting sqref="V17">
    <cfRule type="containsText" dxfId="4553" priority="5272" operator="containsText" text="FAT">
      <formula>NOT(ISERROR(SEARCH("FAT",V17)))</formula>
    </cfRule>
    <cfRule type="containsText" dxfId="4552" priority="5273" operator="containsText" text="FIRE">
      <formula>NOT(ISERROR(SEARCH("FIRE",V17)))</formula>
    </cfRule>
    <cfRule type="containsText" dxfId="4551" priority="5274" operator="containsText" text="COSH">
      <formula>NOT(ISERROR(SEARCH("COSH",V17)))</formula>
    </cfRule>
  </conditionalFormatting>
  <conditionalFormatting sqref="P25:AA25">
    <cfRule type="containsText" dxfId="4550" priority="5269" operator="containsText" text="FAT">
      <formula>NOT(ISERROR(SEARCH("FAT",P25)))</formula>
    </cfRule>
    <cfRule type="containsText" dxfId="4549" priority="5270" operator="containsText" text="FIRE">
      <formula>NOT(ISERROR(SEARCH("FIRE",P25)))</formula>
    </cfRule>
    <cfRule type="containsText" dxfId="4548" priority="5271" operator="containsText" text="COSH">
      <formula>NOT(ISERROR(SEARCH("COSH",P25)))</formula>
    </cfRule>
  </conditionalFormatting>
  <conditionalFormatting sqref="P25:AA25">
    <cfRule type="containsText" dxfId="4547" priority="5266" operator="containsText" text="FAT">
      <formula>NOT(ISERROR(SEARCH("FAT",P25)))</formula>
    </cfRule>
    <cfRule type="containsText" dxfId="4546" priority="5267" operator="containsText" text="FIRE">
      <formula>NOT(ISERROR(SEARCH("FIRE",P25)))</formula>
    </cfRule>
    <cfRule type="containsText" dxfId="4545" priority="5268" operator="containsText" text="COSH">
      <formula>NOT(ISERROR(SEARCH("COSH",P25)))</formula>
    </cfRule>
  </conditionalFormatting>
  <conditionalFormatting sqref="P25:AA25">
    <cfRule type="containsText" dxfId="4544" priority="5263" operator="containsText" text="FAT">
      <formula>NOT(ISERROR(SEARCH("FAT",P25)))</formula>
    </cfRule>
    <cfRule type="containsText" dxfId="4543" priority="5264" operator="containsText" text="FIRE">
      <formula>NOT(ISERROR(SEARCH("FIRE",P25)))</formula>
    </cfRule>
    <cfRule type="containsText" dxfId="4542" priority="5265" operator="containsText" text="COSH">
      <formula>NOT(ISERROR(SEARCH("COSH",P25)))</formula>
    </cfRule>
  </conditionalFormatting>
  <conditionalFormatting sqref="X16">
    <cfRule type="containsText" dxfId="4541" priority="5260" operator="containsText" text="FAT">
      <formula>NOT(ISERROR(SEARCH("FAT",X16)))</formula>
    </cfRule>
    <cfRule type="containsText" dxfId="4540" priority="5261" operator="containsText" text="FIRE">
      <formula>NOT(ISERROR(SEARCH("FIRE",X16)))</formula>
    </cfRule>
    <cfRule type="containsText" dxfId="4539" priority="5262" operator="containsText" text="COSH">
      <formula>NOT(ISERROR(SEARCH("COSH",X16)))</formula>
    </cfRule>
  </conditionalFormatting>
  <conditionalFormatting sqref="X16">
    <cfRule type="containsText" dxfId="4538" priority="5257" operator="containsText" text="FAT">
      <formula>NOT(ISERROR(SEARCH("FAT",X16)))</formula>
    </cfRule>
    <cfRule type="containsText" dxfId="4537" priority="5258" operator="containsText" text="FIRE">
      <formula>NOT(ISERROR(SEARCH("FIRE",X16)))</formula>
    </cfRule>
    <cfRule type="containsText" dxfId="4536" priority="5259" operator="containsText" text="COSH">
      <formula>NOT(ISERROR(SEARCH("COSH",X16)))</formula>
    </cfRule>
  </conditionalFormatting>
  <conditionalFormatting sqref="V16:W16">
    <cfRule type="containsText" dxfId="4535" priority="5254" operator="containsText" text="FAT">
      <formula>NOT(ISERROR(SEARCH("FAT",V16)))</formula>
    </cfRule>
    <cfRule type="containsText" dxfId="4534" priority="5255" operator="containsText" text="FIRE">
      <formula>NOT(ISERROR(SEARCH("FIRE",V16)))</formula>
    </cfRule>
    <cfRule type="containsText" dxfId="4533" priority="5256" operator="containsText" text="COSH">
      <formula>NOT(ISERROR(SEARCH("COSH",V16)))</formula>
    </cfRule>
  </conditionalFormatting>
  <conditionalFormatting sqref="X16">
    <cfRule type="containsText" dxfId="4532" priority="5251" operator="containsText" text="FAT">
      <formula>NOT(ISERROR(SEARCH("FAT",X16)))</formula>
    </cfRule>
    <cfRule type="containsText" dxfId="4531" priority="5252" operator="containsText" text="FIRE">
      <formula>NOT(ISERROR(SEARCH("FIRE",X16)))</formula>
    </cfRule>
    <cfRule type="containsText" dxfId="4530" priority="5253" operator="containsText" text="COSH">
      <formula>NOT(ISERROR(SEARCH("COSH",X16)))</formula>
    </cfRule>
  </conditionalFormatting>
  <conditionalFormatting sqref="V16:W16">
    <cfRule type="containsText" dxfId="4529" priority="5248" operator="containsText" text="FAT">
      <formula>NOT(ISERROR(SEARCH("FAT",V16)))</formula>
    </cfRule>
    <cfRule type="containsText" dxfId="4528" priority="5249" operator="containsText" text="FIRE">
      <formula>NOT(ISERROR(SEARCH("FIRE",V16)))</formula>
    </cfRule>
    <cfRule type="containsText" dxfId="4527" priority="5250" operator="containsText" text="COSH">
      <formula>NOT(ISERROR(SEARCH("COSH",V16)))</formula>
    </cfRule>
  </conditionalFormatting>
  <conditionalFormatting sqref="X16">
    <cfRule type="containsText" dxfId="4526" priority="5245" operator="containsText" text="FAT">
      <formula>NOT(ISERROR(SEARCH("FAT",X16)))</formula>
    </cfRule>
    <cfRule type="containsText" dxfId="4525" priority="5246" operator="containsText" text="FIRE">
      <formula>NOT(ISERROR(SEARCH("FIRE",X16)))</formula>
    </cfRule>
    <cfRule type="containsText" dxfId="4524" priority="5247" operator="containsText" text="COSH">
      <formula>NOT(ISERROR(SEARCH("COSH",X16)))</formula>
    </cfRule>
  </conditionalFormatting>
  <conditionalFormatting sqref="V16:W16">
    <cfRule type="containsText" dxfId="4523" priority="5242" operator="containsText" text="FAT">
      <formula>NOT(ISERROR(SEARCH("FAT",V16)))</formula>
    </cfRule>
    <cfRule type="containsText" dxfId="4522" priority="5243" operator="containsText" text="FIRE">
      <formula>NOT(ISERROR(SEARCH("FIRE",V16)))</formula>
    </cfRule>
    <cfRule type="containsText" dxfId="4521" priority="5244" operator="containsText" text="COSH">
      <formula>NOT(ISERROR(SEARCH("COSH",V16)))</formula>
    </cfRule>
  </conditionalFormatting>
  <conditionalFormatting sqref="X16">
    <cfRule type="containsText" dxfId="4520" priority="5239" operator="containsText" text="FAT">
      <formula>NOT(ISERROR(SEARCH("FAT",X16)))</formula>
    </cfRule>
    <cfRule type="containsText" dxfId="4519" priority="5240" operator="containsText" text="FIRE">
      <formula>NOT(ISERROR(SEARCH("FIRE",X16)))</formula>
    </cfRule>
    <cfRule type="containsText" dxfId="4518" priority="5241" operator="containsText" text="COSH">
      <formula>NOT(ISERROR(SEARCH("COSH",X16)))</formula>
    </cfRule>
  </conditionalFormatting>
  <conditionalFormatting sqref="V16:W16">
    <cfRule type="containsText" dxfId="4517" priority="5236" operator="containsText" text="FAT">
      <formula>NOT(ISERROR(SEARCH("FAT",V16)))</formula>
    </cfRule>
    <cfRule type="containsText" dxfId="4516" priority="5237" operator="containsText" text="FIRE">
      <formula>NOT(ISERROR(SEARCH("FIRE",V16)))</formula>
    </cfRule>
    <cfRule type="containsText" dxfId="4515" priority="5238" operator="containsText" text="COSH">
      <formula>NOT(ISERROR(SEARCH("COSH",V16)))</formula>
    </cfRule>
  </conditionalFormatting>
  <conditionalFormatting sqref="X16">
    <cfRule type="containsText" dxfId="4514" priority="5233" operator="containsText" text="FAT">
      <formula>NOT(ISERROR(SEARCH("FAT",X16)))</formula>
    </cfRule>
    <cfRule type="containsText" dxfId="4513" priority="5234" operator="containsText" text="FIRE">
      <formula>NOT(ISERROR(SEARCH("FIRE",X16)))</formula>
    </cfRule>
    <cfRule type="containsText" dxfId="4512" priority="5235" operator="containsText" text="COSH">
      <formula>NOT(ISERROR(SEARCH("COSH",X16)))</formula>
    </cfRule>
  </conditionalFormatting>
  <conditionalFormatting sqref="V16">
    <cfRule type="containsText" dxfId="4511" priority="5230" operator="containsText" text="FAT">
      <formula>NOT(ISERROR(SEARCH("FAT",V16)))</formula>
    </cfRule>
    <cfRule type="containsText" dxfId="4510" priority="5231" operator="containsText" text="FIRE">
      <formula>NOT(ISERROR(SEARCH("FIRE",V16)))</formula>
    </cfRule>
    <cfRule type="containsText" dxfId="4509" priority="5232" operator="containsText" text="COSH">
      <formula>NOT(ISERROR(SEARCH("COSH",V16)))</formula>
    </cfRule>
  </conditionalFormatting>
  <conditionalFormatting sqref="V16">
    <cfRule type="containsText" dxfId="4508" priority="5227" operator="containsText" text="FAT">
      <formula>NOT(ISERROR(SEARCH("FAT",V16)))</formula>
    </cfRule>
    <cfRule type="containsText" dxfId="4507" priority="5228" operator="containsText" text="FIRE">
      <formula>NOT(ISERROR(SEARCH("FIRE",V16)))</formula>
    </cfRule>
    <cfRule type="containsText" dxfId="4506" priority="5229" operator="containsText" text="COSH">
      <formula>NOT(ISERROR(SEARCH("COSH",V16)))</formula>
    </cfRule>
  </conditionalFormatting>
  <conditionalFormatting sqref="V16">
    <cfRule type="containsText" dxfId="4505" priority="5224" operator="containsText" text="FAT">
      <formula>NOT(ISERROR(SEARCH("FAT",V16)))</formula>
    </cfRule>
    <cfRule type="containsText" dxfId="4504" priority="5225" operator="containsText" text="FIRE">
      <formula>NOT(ISERROR(SEARCH("FIRE",V16)))</formula>
    </cfRule>
    <cfRule type="containsText" dxfId="4503" priority="5226" operator="containsText" text="COSH">
      <formula>NOT(ISERROR(SEARCH("COSH",V16)))</formula>
    </cfRule>
  </conditionalFormatting>
  <conditionalFormatting sqref="V16">
    <cfRule type="containsText" dxfId="4502" priority="5221" operator="containsText" text="FAT">
      <formula>NOT(ISERROR(SEARCH("FAT",V16)))</formula>
    </cfRule>
    <cfRule type="containsText" dxfId="4501" priority="5222" operator="containsText" text="FIRE">
      <formula>NOT(ISERROR(SEARCH("FIRE",V16)))</formula>
    </cfRule>
    <cfRule type="containsText" dxfId="4500" priority="5223" operator="containsText" text="COSH">
      <formula>NOT(ISERROR(SEARCH("COSH",V16)))</formula>
    </cfRule>
  </conditionalFormatting>
  <conditionalFormatting sqref="V16">
    <cfRule type="containsText" dxfId="4499" priority="5218" operator="containsText" text="FAT">
      <formula>NOT(ISERROR(SEARCH("FAT",V16)))</formula>
    </cfRule>
    <cfRule type="containsText" dxfId="4498" priority="5219" operator="containsText" text="FIRE">
      <formula>NOT(ISERROR(SEARCH("FIRE",V16)))</formula>
    </cfRule>
    <cfRule type="containsText" dxfId="4497" priority="5220" operator="containsText" text="COSH">
      <formula>NOT(ISERROR(SEARCH("COSH",V16)))</formula>
    </cfRule>
  </conditionalFormatting>
  <conditionalFormatting sqref="V16">
    <cfRule type="containsText" dxfId="4496" priority="5215" operator="containsText" text="FAT">
      <formula>NOT(ISERROR(SEARCH("FAT",V16)))</formula>
    </cfRule>
    <cfRule type="containsText" dxfId="4495" priority="5216" operator="containsText" text="FIRE">
      <formula>NOT(ISERROR(SEARCH("FIRE",V16)))</formula>
    </cfRule>
    <cfRule type="containsText" dxfId="4494" priority="5217" operator="containsText" text="COSH">
      <formula>NOT(ISERROR(SEARCH("COSH",V16)))</formula>
    </cfRule>
  </conditionalFormatting>
  <conditionalFormatting sqref="V16">
    <cfRule type="containsText" dxfId="4493" priority="5212" operator="containsText" text="FAT">
      <formula>NOT(ISERROR(SEARCH("FAT",V16)))</formula>
    </cfRule>
    <cfRule type="containsText" dxfId="4492" priority="5213" operator="containsText" text="FIRE">
      <formula>NOT(ISERROR(SEARCH("FIRE",V16)))</formula>
    </cfRule>
    <cfRule type="containsText" dxfId="4491" priority="5214" operator="containsText" text="COSH">
      <formula>NOT(ISERROR(SEARCH("COSH",V16)))</formula>
    </cfRule>
  </conditionalFormatting>
  <conditionalFormatting sqref="V16">
    <cfRule type="containsText" dxfId="4490" priority="5209" operator="containsText" text="FAT">
      <formula>NOT(ISERROR(SEARCH("FAT",V16)))</formula>
    </cfRule>
    <cfRule type="containsText" dxfId="4489" priority="5210" operator="containsText" text="FIRE">
      <formula>NOT(ISERROR(SEARCH("FIRE",V16)))</formula>
    </cfRule>
    <cfRule type="containsText" dxfId="4488" priority="5211" operator="containsText" text="COSH">
      <formula>NOT(ISERROR(SEARCH("COSH",V16)))</formula>
    </cfRule>
  </conditionalFormatting>
  <conditionalFormatting sqref="V16">
    <cfRule type="containsText" dxfId="4487" priority="5206" operator="containsText" text="FAT">
      <formula>NOT(ISERROR(SEARCH("FAT",V16)))</formula>
    </cfRule>
    <cfRule type="containsText" dxfId="4486" priority="5207" operator="containsText" text="FIRE">
      <formula>NOT(ISERROR(SEARCH("FIRE",V16)))</formula>
    </cfRule>
    <cfRule type="containsText" dxfId="4485" priority="5208" operator="containsText" text="COSH">
      <formula>NOT(ISERROR(SEARCH("COSH",V16)))</formula>
    </cfRule>
  </conditionalFormatting>
  <conditionalFormatting sqref="V16">
    <cfRule type="containsText" dxfId="4484" priority="5203" operator="containsText" text="FAT">
      <formula>NOT(ISERROR(SEARCH("FAT",V16)))</formula>
    </cfRule>
    <cfRule type="containsText" dxfId="4483" priority="5204" operator="containsText" text="FIRE">
      <formula>NOT(ISERROR(SEARCH("FIRE",V16)))</formula>
    </cfRule>
    <cfRule type="containsText" dxfId="4482" priority="5205" operator="containsText" text="COSH">
      <formula>NOT(ISERROR(SEARCH("COSH",V16)))</formula>
    </cfRule>
  </conditionalFormatting>
  <conditionalFormatting sqref="Z28">
    <cfRule type="containsText" dxfId="4481" priority="5200" operator="containsText" text="FAT">
      <formula>NOT(ISERROR(SEARCH("FAT",Z28)))</formula>
    </cfRule>
    <cfRule type="containsText" dxfId="4480" priority="5201" operator="containsText" text="FIRE">
      <formula>NOT(ISERROR(SEARCH("FIRE",Z28)))</formula>
    </cfRule>
    <cfRule type="containsText" dxfId="4479" priority="5202" operator="containsText" text="COSH">
      <formula>NOT(ISERROR(SEARCH("COSH",Z28)))</formula>
    </cfRule>
  </conditionalFormatting>
  <conditionalFormatting sqref="X28">
    <cfRule type="containsText" dxfId="4478" priority="5197" operator="containsText" text="FAT">
      <formula>NOT(ISERROR(SEARCH("FAT",X28)))</formula>
    </cfRule>
    <cfRule type="containsText" dxfId="4477" priority="5198" operator="containsText" text="FIRE">
      <formula>NOT(ISERROR(SEARCH("FIRE",X28)))</formula>
    </cfRule>
    <cfRule type="containsText" dxfId="4476" priority="5199" operator="containsText" text="COSH">
      <formula>NOT(ISERROR(SEARCH("COSH",X28)))</formula>
    </cfRule>
  </conditionalFormatting>
  <conditionalFormatting sqref="AA28">
    <cfRule type="containsText" dxfId="4475" priority="5194" operator="containsText" text="FAT">
      <formula>NOT(ISERROR(SEARCH("FAT",AA28)))</formula>
    </cfRule>
    <cfRule type="containsText" dxfId="4474" priority="5195" operator="containsText" text="FIRE">
      <formula>NOT(ISERROR(SEARCH("FIRE",AA28)))</formula>
    </cfRule>
    <cfRule type="containsText" dxfId="4473" priority="5196" operator="containsText" text="COSH">
      <formula>NOT(ISERROR(SEARCH("COSH",AA28)))</formula>
    </cfRule>
  </conditionalFormatting>
  <conditionalFormatting sqref="Y28">
    <cfRule type="containsText" dxfId="4472" priority="5191" operator="containsText" text="FAT">
      <formula>NOT(ISERROR(SEARCH("FAT",Y28)))</formula>
    </cfRule>
    <cfRule type="containsText" dxfId="4471" priority="5192" operator="containsText" text="FIRE">
      <formula>NOT(ISERROR(SEARCH("FIRE",Y28)))</formula>
    </cfRule>
    <cfRule type="containsText" dxfId="4470" priority="5193" operator="containsText" text="COSH">
      <formula>NOT(ISERROR(SEARCH("COSH",Y28)))</formula>
    </cfRule>
  </conditionalFormatting>
  <conditionalFormatting sqref="X28">
    <cfRule type="containsText" dxfId="4469" priority="5188" operator="containsText" text="FAT">
      <formula>NOT(ISERROR(SEARCH("FAT",X28)))</formula>
    </cfRule>
    <cfRule type="containsText" dxfId="4468" priority="5189" operator="containsText" text="FIRE">
      <formula>NOT(ISERROR(SEARCH("FIRE",X28)))</formula>
    </cfRule>
    <cfRule type="containsText" dxfId="4467" priority="5190" operator="containsText" text="COSH">
      <formula>NOT(ISERROR(SEARCH("COSH",X28)))</formula>
    </cfRule>
  </conditionalFormatting>
  <conditionalFormatting sqref="V28:W28">
    <cfRule type="containsText" dxfId="4466" priority="5185" operator="containsText" text="FAT">
      <formula>NOT(ISERROR(SEARCH("FAT",V28)))</formula>
    </cfRule>
    <cfRule type="containsText" dxfId="4465" priority="5186" operator="containsText" text="FIRE">
      <formula>NOT(ISERROR(SEARCH("FIRE",V28)))</formula>
    </cfRule>
    <cfRule type="containsText" dxfId="4464" priority="5187" operator="containsText" text="COSH">
      <formula>NOT(ISERROR(SEARCH("COSH",V28)))</formula>
    </cfRule>
  </conditionalFormatting>
  <conditionalFormatting sqref="X28">
    <cfRule type="containsText" dxfId="4463" priority="5182" operator="containsText" text="FAT">
      <formula>NOT(ISERROR(SEARCH("FAT",X28)))</formula>
    </cfRule>
    <cfRule type="containsText" dxfId="4462" priority="5183" operator="containsText" text="FIRE">
      <formula>NOT(ISERROR(SEARCH("FIRE",X28)))</formula>
    </cfRule>
    <cfRule type="containsText" dxfId="4461" priority="5184" operator="containsText" text="COSH">
      <formula>NOT(ISERROR(SEARCH("COSH",X28)))</formula>
    </cfRule>
  </conditionalFormatting>
  <conditionalFormatting sqref="V28:W28">
    <cfRule type="containsText" dxfId="4460" priority="5179" operator="containsText" text="FAT">
      <formula>NOT(ISERROR(SEARCH("FAT",V28)))</formula>
    </cfRule>
    <cfRule type="containsText" dxfId="4459" priority="5180" operator="containsText" text="FIRE">
      <formula>NOT(ISERROR(SEARCH("FIRE",V28)))</formula>
    </cfRule>
    <cfRule type="containsText" dxfId="4458" priority="5181" operator="containsText" text="COSH">
      <formula>NOT(ISERROR(SEARCH("COSH",V28)))</formula>
    </cfRule>
  </conditionalFormatting>
  <conditionalFormatting sqref="X28">
    <cfRule type="containsText" dxfId="4457" priority="5176" operator="containsText" text="FAT">
      <formula>NOT(ISERROR(SEARCH("FAT",X28)))</formula>
    </cfRule>
    <cfRule type="containsText" dxfId="4456" priority="5177" operator="containsText" text="FIRE">
      <formula>NOT(ISERROR(SEARCH("FIRE",X28)))</formula>
    </cfRule>
    <cfRule type="containsText" dxfId="4455" priority="5178" operator="containsText" text="COSH">
      <formula>NOT(ISERROR(SEARCH("COSH",X28)))</formula>
    </cfRule>
  </conditionalFormatting>
  <conditionalFormatting sqref="V28:W28">
    <cfRule type="containsText" dxfId="4454" priority="5173" operator="containsText" text="FAT">
      <formula>NOT(ISERROR(SEARCH("FAT",V28)))</formula>
    </cfRule>
    <cfRule type="containsText" dxfId="4453" priority="5174" operator="containsText" text="FIRE">
      <formula>NOT(ISERROR(SEARCH("FIRE",V28)))</formula>
    </cfRule>
    <cfRule type="containsText" dxfId="4452" priority="5175" operator="containsText" text="COSH">
      <formula>NOT(ISERROR(SEARCH("COSH",V28)))</formula>
    </cfRule>
  </conditionalFormatting>
  <conditionalFormatting sqref="X28">
    <cfRule type="containsText" dxfId="4451" priority="5170" operator="containsText" text="FAT">
      <formula>NOT(ISERROR(SEARCH("FAT",X28)))</formula>
    </cfRule>
    <cfRule type="containsText" dxfId="4450" priority="5171" operator="containsText" text="FIRE">
      <formula>NOT(ISERROR(SEARCH("FIRE",X28)))</formula>
    </cfRule>
    <cfRule type="containsText" dxfId="4449" priority="5172" operator="containsText" text="COSH">
      <formula>NOT(ISERROR(SEARCH("COSH",X28)))</formula>
    </cfRule>
  </conditionalFormatting>
  <conditionalFormatting sqref="V28:W28">
    <cfRule type="containsText" dxfId="4448" priority="5167" operator="containsText" text="FAT">
      <formula>NOT(ISERROR(SEARCH("FAT",V28)))</formula>
    </cfRule>
    <cfRule type="containsText" dxfId="4447" priority="5168" operator="containsText" text="FIRE">
      <formula>NOT(ISERROR(SEARCH("FIRE",V28)))</formula>
    </cfRule>
    <cfRule type="containsText" dxfId="4446" priority="5169" operator="containsText" text="COSH">
      <formula>NOT(ISERROR(SEARCH("COSH",V28)))</formula>
    </cfRule>
  </conditionalFormatting>
  <conditionalFormatting sqref="X28">
    <cfRule type="containsText" dxfId="4445" priority="5164" operator="containsText" text="FAT">
      <formula>NOT(ISERROR(SEARCH("FAT",X28)))</formula>
    </cfRule>
    <cfRule type="containsText" dxfId="4444" priority="5165" operator="containsText" text="FIRE">
      <formula>NOT(ISERROR(SEARCH("FIRE",X28)))</formula>
    </cfRule>
    <cfRule type="containsText" dxfId="4443" priority="5166" operator="containsText" text="COSH">
      <formula>NOT(ISERROR(SEARCH("COSH",X28)))</formula>
    </cfRule>
  </conditionalFormatting>
  <conditionalFormatting sqref="P28">
    <cfRule type="containsText" dxfId="4442" priority="5161" operator="containsText" text="FAT">
      <formula>NOT(ISERROR(SEARCH("FAT",P28)))</formula>
    </cfRule>
    <cfRule type="containsText" dxfId="4441" priority="5162" operator="containsText" text="FIRE">
      <formula>NOT(ISERROR(SEARCH("FIRE",P28)))</formula>
    </cfRule>
    <cfRule type="containsText" dxfId="4440" priority="5163" operator="containsText" text="COSH">
      <formula>NOT(ISERROR(SEARCH("COSH",P28)))</formula>
    </cfRule>
  </conditionalFormatting>
  <conditionalFormatting sqref="P28">
    <cfRule type="containsText" dxfId="4439" priority="5158" operator="containsText" text="FAT">
      <formula>NOT(ISERROR(SEARCH("FAT",P28)))</formula>
    </cfRule>
    <cfRule type="containsText" dxfId="4438" priority="5159" operator="containsText" text="FIRE">
      <formula>NOT(ISERROR(SEARCH("FIRE",P28)))</formula>
    </cfRule>
    <cfRule type="containsText" dxfId="4437" priority="5160" operator="containsText" text="COSH">
      <formula>NOT(ISERROR(SEARCH("COSH",P28)))</formula>
    </cfRule>
  </conditionalFormatting>
  <conditionalFormatting sqref="P28">
    <cfRule type="containsText" dxfId="4436" priority="5155" operator="containsText" text="FAT">
      <formula>NOT(ISERROR(SEARCH("FAT",P28)))</formula>
    </cfRule>
    <cfRule type="containsText" dxfId="4435" priority="5156" operator="containsText" text="FIRE">
      <formula>NOT(ISERROR(SEARCH("FIRE",P28)))</formula>
    </cfRule>
    <cfRule type="containsText" dxfId="4434" priority="5157" operator="containsText" text="COSH">
      <formula>NOT(ISERROR(SEARCH("COSH",P28)))</formula>
    </cfRule>
  </conditionalFormatting>
  <conditionalFormatting sqref="V28">
    <cfRule type="containsText" dxfId="4433" priority="5152" operator="containsText" text="FAT">
      <formula>NOT(ISERROR(SEARCH("FAT",V28)))</formula>
    </cfRule>
    <cfRule type="containsText" dxfId="4432" priority="5153" operator="containsText" text="FIRE">
      <formula>NOT(ISERROR(SEARCH("FIRE",V28)))</formula>
    </cfRule>
    <cfRule type="containsText" dxfId="4431" priority="5154" operator="containsText" text="COSH">
      <formula>NOT(ISERROR(SEARCH("COSH",V28)))</formula>
    </cfRule>
  </conditionalFormatting>
  <conditionalFormatting sqref="V28">
    <cfRule type="containsText" dxfId="4430" priority="5149" operator="containsText" text="FAT">
      <formula>NOT(ISERROR(SEARCH("FAT",V28)))</formula>
    </cfRule>
    <cfRule type="containsText" dxfId="4429" priority="5150" operator="containsText" text="FIRE">
      <formula>NOT(ISERROR(SEARCH("FIRE",V28)))</formula>
    </cfRule>
    <cfRule type="containsText" dxfId="4428" priority="5151" operator="containsText" text="COSH">
      <formula>NOT(ISERROR(SEARCH("COSH",V28)))</formula>
    </cfRule>
  </conditionalFormatting>
  <conditionalFormatting sqref="V28">
    <cfRule type="containsText" dxfId="4427" priority="5146" operator="containsText" text="FAT">
      <formula>NOT(ISERROR(SEARCH("FAT",V28)))</formula>
    </cfRule>
    <cfRule type="containsText" dxfId="4426" priority="5147" operator="containsText" text="FIRE">
      <formula>NOT(ISERROR(SEARCH("FIRE",V28)))</formula>
    </cfRule>
    <cfRule type="containsText" dxfId="4425" priority="5148" operator="containsText" text="COSH">
      <formula>NOT(ISERROR(SEARCH("COSH",V28)))</formula>
    </cfRule>
  </conditionalFormatting>
  <conditionalFormatting sqref="V28">
    <cfRule type="containsText" dxfId="4424" priority="5143" operator="containsText" text="FAT">
      <formula>NOT(ISERROR(SEARCH("FAT",V28)))</formula>
    </cfRule>
    <cfRule type="containsText" dxfId="4423" priority="5144" operator="containsText" text="FIRE">
      <formula>NOT(ISERROR(SEARCH("FIRE",V28)))</formula>
    </cfRule>
    <cfRule type="containsText" dxfId="4422" priority="5145" operator="containsText" text="COSH">
      <formula>NOT(ISERROR(SEARCH("COSH",V28)))</formula>
    </cfRule>
  </conditionalFormatting>
  <conditionalFormatting sqref="V28">
    <cfRule type="containsText" dxfId="4421" priority="5140" operator="containsText" text="FAT">
      <formula>NOT(ISERROR(SEARCH("FAT",V28)))</formula>
    </cfRule>
    <cfRule type="containsText" dxfId="4420" priority="5141" operator="containsText" text="FIRE">
      <formula>NOT(ISERROR(SEARCH("FIRE",V28)))</formula>
    </cfRule>
    <cfRule type="containsText" dxfId="4419" priority="5142" operator="containsText" text="COSH">
      <formula>NOT(ISERROR(SEARCH("COSH",V28)))</formula>
    </cfRule>
  </conditionalFormatting>
  <conditionalFormatting sqref="V28">
    <cfRule type="containsText" dxfId="4418" priority="5137" operator="containsText" text="FAT">
      <formula>NOT(ISERROR(SEARCH("FAT",V28)))</formula>
    </cfRule>
    <cfRule type="containsText" dxfId="4417" priority="5138" operator="containsText" text="FIRE">
      <formula>NOT(ISERROR(SEARCH("FIRE",V28)))</formula>
    </cfRule>
    <cfRule type="containsText" dxfId="4416" priority="5139" operator="containsText" text="COSH">
      <formula>NOT(ISERROR(SEARCH("COSH",V28)))</formula>
    </cfRule>
  </conditionalFormatting>
  <conditionalFormatting sqref="V28">
    <cfRule type="containsText" dxfId="4415" priority="5134" operator="containsText" text="FAT">
      <formula>NOT(ISERROR(SEARCH("FAT",V28)))</formula>
    </cfRule>
    <cfRule type="containsText" dxfId="4414" priority="5135" operator="containsText" text="FIRE">
      <formula>NOT(ISERROR(SEARCH("FIRE",V28)))</formula>
    </cfRule>
    <cfRule type="containsText" dxfId="4413" priority="5136" operator="containsText" text="COSH">
      <formula>NOT(ISERROR(SEARCH("COSH",V28)))</formula>
    </cfRule>
  </conditionalFormatting>
  <conditionalFormatting sqref="V28">
    <cfRule type="containsText" dxfId="4412" priority="5131" operator="containsText" text="FAT">
      <formula>NOT(ISERROR(SEARCH("FAT",V28)))</formula>
    </cfRule>
    <cfRule type="containsText" dxfId="4411" priority="5132" operator="containsText" text="FIRE">
      <formula>NOT(ISERROR(SEARCH("FIRE",V28)))</formula>
    </cfRule>
    <cfRule type="containsText" dxfId="4410" priority="5133" operator="containsText" text="COSH">
      <formula>NOT(ISERROR(SEARCH("COSH",V28)))</formula>
    </cfRule>
  </conditionalFormatting>
  <conditionalFormatting sqref="V28">
    <cfRule type="containsText" dxfId="4409" priority="5128" operator="containsText" text="FAT">
      <formula>NOT(ISERROR(SEARCH("FAT",V28)))</formula>
    </cfRule>
    <cfRule type="containsText" dxfId="4408" priority="5129" operator="containsText" text="FIRE">
      <formula>NOT(ISERROR(SEARCH("FIRE",V28)))</formula>
    </cfRule>
    <cfRule type="containsText" dxfId="4407" priority="5130" operator="containsText" text="COSH">
      <formula>NOT(ISERROR(SEARCH("COSH",V28)))</formula>
    </cfRule>
  </conditionalFormatting>
  <conditionalFormatting sqref="V28">
    <cfRule type="containsText" dxfId="4406" priority="5125" operator="containsText" text="FAT">
      <formula>NOT(ISERROR(SEARCH("FAT",V28)))</formula>
    </cfRule>
    <cfRule type="containsText" dxfId="4405" priority="5126" operator="containsText" text="FIRE">
      <formula>NOT(ISERROR(SEARCH("FIRE",V28)))</formula>
    </cfRule>
    <cfRule type="containsText" dxfId="4404" priority="5127" operator="containsText" text="COSH">
      <formula>NOT(ISERROR(SEARCH("COSH",V28)))</formula>
    </cfRule>
  </conditionalFormatting>
  <conditionalFormatting sqref="Z18">
    <cfRule type="containsText" dxfId="4403" priority="5122" operator="containsText" text="FAT">
      <formula>NOT(ISERROR(SEARCH("FAT",Z18)))</formula>
    </cfRule>
    <cfRule type="containsText" dxfId="4402" priority="5123" operator="containsText" text="FIRE">
      <formula>NOT(ISERROR(SEARCH("FIRE",Z18)))</formula>
    </cfRule>
    <cfRule type="containsText" dxfId="4401" priority="5124" operator="containsText" text="COSH">
      <formula>NOT(ISERROR(SEARCH("COSH",Z18)))</formula>
    </cfRule>
  </conditionalFormatting>
  <conditionalFormatting sqref="X18">
    <cfRule type="containsText" dxfId="4400" priority="5119" operator="containsText" text="FAT">
      <formula>NOT(ISERROR(SEARCH("FAT",X18)))</formula>
    </cfRule>
    <cfRule type="containsText" dxfId="4399" priority="5120" operator="containsText" text="FIRE">
      <formula>NOT(ISERROR(SEARCH("FIRE",X18)))</formula>
    </cfRule>
    <cfRule type="containsText" dxfId="4398" priority="5121" operator="containsText" text="COSH">
      <formula>NOT(ISERROR(SEARCH("COSH",X18)))</formula>
    </cfRule>
  </conditionalFormatting>
  <conditionalFormatting sqref="AA18">
    <cfRule type="containsText" dxfId="4397" priority="5116" operator="containsText" text="FAT">
      <formula>NOT(ISERROR(SEARCH("FAT",AA18)))</formula>
    </cfRule>
    <cfRule type="containsText" dxfId="4396" priority="5117" operator="containsText" text="FIRE">
      <formula>NOT(ISERROR(SEARCH("FIRE",AA18)))</formula>
    </cfRule>
    <cfRule type="containsText" dxfId="4395" priority="5118" operator="containsText" text="COSH">
      <formula>NOT(ISERROR(SEARCH("COSH",AA18)))</formula>
    </cfRule>
  </conditionalFormatting>
  <conditionalFormatting sqref="Y18">
    <cfRule type="containsText" dxfId="4394" priority="5113" operator="containsText" text="FAT">
      <formula>NOT(ISERROR(SEARCH("FAT",Y18)))</formula>
    </cfRule>
    <cfRule type="containsText" dxfId="4393" priority="5114" operator="containsText" text="FIRE">
      <formula>NOT(ISERROR(SEARCH("FIRE",Y18)))</formula>
    </cfRule>
    <cfRule type="containsText" dxfId="4392" priority="5115" operator="containsText" text="COSH">
      <formula>NOT(ISERROR(SEARCH("COSH",Y18)))</formula>
    </cfRule>
  </conditionalFormatting>
  <conditionalFormatting sqref="X18">
    <cfRule type="containsText" dxfId="4391" priority="5110" operator="containsText" text="FAT">
      <formula>NOT(ISERROR(SEARCH("FAT",X18)))</formula>
    </cfRule>
    <cfRule type="containsText" dxfId="4390" priority="5111" operator="containsText" text="FIRE">
      <formula>NOT(ISERROR(SEARCH("FIRE",X18)))</formula>
    </cfRule>
    <cfRule type="containsText" dxfId="4389" priority="5112" operator="containsText" text="COSH">
      <formula>NOT(ISERROR(SEARCH("COSH",X18)))</formula>
    </cfRule>
  </conditionalFormatting>
  <conditionalFormatting sqref="V18:W18">
    <cfRule type="containsText" dxfId="4388" priority="5107" operator="containsText" text="FAT">
      <formula>NOT(ISERROR(SEARCH("FAT",V18)))</formula>
    </cfRule>
    <cfRule type="containsText" dxfId="4387" priority="5108" operator="containsText" text="FIRE">
      <formula>NOT(ISERROR(SEARCH("FIRE",V18)))</formula>
    </cfRule>
    <cfRule type="containsText" dxfId="4386" priority="5109" operator="containsText" text="COSH">
      <formula>NOT(ISERROR(SEARCH("COSH",V18)))</formula>
    </cfRule>
  </conditionalFormatting>
  <conditionalFormatting sqref="X18">
    <cfRule type="containsText" dxfId="4385" priority="5104" operator="containsText" text="FAT">
      <formula>NOT(ISERROR(SEARCH("FAT",X18)))</formula>
    </cfRule>
    <cfRule type="containsText" dxfId="4384" priority="5105" operator="containsText" text="FIRE">
      <formula>NOT(ISERROR(SEARCH("FIRE",X18)))</formula>
    </cfRule>
    <cfRule type="containsText" dxfId="4383" priority="5106" operator="containsText" text="COSH">
      <formula>NOT(ISERROR(SEARCH("COSH",X18)))</formula>
    </cfRule>
  </conditionalFormatting>
  <conditionalFormatting sqref="V18:W18">
    <cfRule type="containsText" dxfId="4382" priority="5101" operator="containsText" text="FAT">
      <formula>NOT(ISERROR(SEARCH("FAT",V18)))</formula>
    </cfRule>
    <cfRule type="containsText" dxfId="4381" priority="5102" operator="containsText" text="FIRE">
      <formula>NOT(ISERROR(SEARCH("FIRE",V18)))</formula>
    </cfRule>
    <cfRule type="containsText" dxfId="4380" priority="5103" operator="containsText" text="COSH">
      <formula>NOT(ISERROR(SEARCH("COSH",V18)))</formula>
    </cfRule>
  </conditionalFormatting>
  <conditionalFormatting sqref="X18">
    <cfRule type="containsText" dxfId="4379" priority="5098" operator="containsText" text="FAT">
      <formula>NOT(ISERROR(SEARCH("FAT",X18)))</formula>
    </cfRule>
    <cfRule type="containsText" dxfId="4378" priority="5099" operator="containsText" text="FIRE">
      <formula>NOT(ISERROR(SEARCH("FIRE",X18)))</formula>
    </cfRule>
    <cfRule type="containsText" dxfId="4377" priority="5100" operator="containsText" text="COSH">
      <formula>NOT(ISERROR(SEARCH("COSH",X18)))</formula>
    </cfRule>
  </conditionalFormatting>
  <conditionalFormatting sqref="V18:W18">
    <cfRule type="containsText" dxfId="4376" priority="5095" operator="containsText" text="FAT">
      <formula>NOT(ISERROR(SEARCH("FAT",V18)))</formula>
    </cfRule>
    <cfRule type="containsText" dxfId="4375" priority="5096" operator="containsText" text="FIRE">
      <formula>NOT(ISERROR(SEARCH("FIRE",V18)))</formula>
    </cfRule>
    <cfRule type="containsText" dxfId="4374" priority="5097" operator="containsText" text="COSH">
      <formula>NOT(ISERROR(SEARCH("COSH",V18)))</formula>
    </cfRule>
  </conditionalFormatting>
  <conditionalFormatting sqref="X18">
    <cfRule type="containsText" dxfId="4373" priority="5092" operator="containsText" text="FAT">
      <formula>NOT(ISERROR(SEARCH("FAT",X18)))</formula>
    </cfRule>
    <cfRule type="containsText" dxfId="4372" priority="5093" operator="containsText" text="FIRE">
      <formula>NOT(ISERROR(SEARCH("FIRE",X18)))</formula>
    </cfRule>
    <cfRule type="containsText" dxfId="4371" priority="5094" operator="containsText" text="COSH">
      <formula>NOT(ISERROR(SEARCH("COSH",X18)))</formula>
    </cfRule>
  </conditionalFormatting>
  <conditionalFormatting sqref="V18:W18">
    <cfRule type="containsText" dxfId="4370" priority="5089" operator="containsText" text="FAT">
      <formula>NOT(ISERROR(SEARCH("FAT",V18)))</formula>
    </cfRule>
    <cfRule type="containsText" dxfId="4369" priority="5090" operator="containsText" text="FIRE">
      <formula>NOT(ISERROR(SEARCH("FIRE",V18)))</formula>
    </cfRule>
    <cfRule type="containsText" dxfId="4368" priority="5091" operator="containsText" text="COSH">
      <formula>NOT(ISERROR(SEARCH("COSH",V18)))</formula>
    </cfRule>
  </conditionalFormatting>
  <conditionalFormatting sqref="X18">
    <cfRule type="containsText" dxfId="4367" priority="5086" operator="containsText" text="FAT">
      <formula>NOT(ISERROR(SEARCH("FAT",X18)))</formula>
    </cfRule>
    <cfRule type="containsText" dxfId="4366" priority="5087" operator="containsText" text="FIRE">
      <formula>NOT(ISERROR(SEARCH("FIRE",X18)))</formula>
    </cfRule>
    <cfRule type="containsText" dxfId="4365" priority="5088" operator="containsText" text="COSH">
      <formula>NOT(ISERROR(SEARCH("COSH",X18)))</formula>
    </cfRule>
  </conditionalFormatting>
  <conditionalFormatting sqref="V18">
    <cfRule type="containsText" dxfId="4364" priority="5083" operator="containsText" text="FAT">
      <formula>NOT(ISERROR(SEARCH("FAT",V18)))</formula>
    </cfRule>
    <cfRule type="containsText" dxfId="4363" priority="5084" operator="containsText" text="FIRE">
      <formula>NOT(ISERROR(SEARCH("FIRE",V18)))</formula>
    </cfRule>
    <cfRule type="containsText" dxfId="4362" priority="5085" operator="containsText" text="COSH">
      <formula>NOT(ISERROR(SEARCH("COSH",V18)))</formula>
    </cfRule>
  </conditionalFormatting>
  <conditionalFormatting sqref="V18">
    <cfRule type="containsText" dxfId="4361" priority="5080" operator="containsText" text="FAT">
      <formula>NOT(ISERROR(SEARCH("FAT",V18)))</formula>
    </cfRule>
    <cfRule type="containsText" dxfId="4360" priority="5081" operator="containsText" text="FIRE">
      <formula>NOT(ISERROR(SEARCH("FIRE",V18)))</formula>
    </cfRule>
    <cfRule type="containsText" dxfId="4359" priority="5082" operator="containsText" text="COSH">
      <formula>NOT(ISERROR(SEARCH("COSH",V18)))</formula>
    </cfRule>
  </conditionalFormatting>
  <conditionalFormatting sqref="V18">
    <cfRule type="containsText" dxfId="4358" priority="5077" operator="containsText" text="FAT">
      <formula>NOT(ISERROR(SEARCH("FAT",V18)))</formula>
    </cfRule>
    <cfRule type="containsText" dxfId="4357" priority="5078" operator="containsText" text="FIRE">
      <formula>NOT(ISERROR(SEARCH("FIRE",V18)))</formula>
    </cfRule>
    <cfRule type="containsText" dxfId="4356" priority="5079" operator="containsText" text="COSH">
      <formula>NOT(ISERROR(SEARCH("COSH",V18)))</formula>
    </cfRule>
  </conditionalFormatting>
  <conditionalFormatting sqref="V18">
    <cfRule type="containsText" dxfId="4355" priority="5074" operator="containsText" text="FAT">
      <formula>NOT(ISERROR(SEARCH("FAT",V18)))</formula>
    </cfRule>
    <cfRule type="containsText" dxfId="4354" priority="5075" operator="containsText" text="FIRE">
      <formula>NOT(ISERROR(SEARCH("FIRE",V18)))</formula>
    </cfRule>
    <cfRule type="containsText" dxfId="4353" priority="5076" operator="containsText" text="COSH">
      <formula>NOT(ISERROR(SEARCH("COSH",V18)))</formula>
    </cfRule>
  </conditionalFormatting>
  <conditionalFormatting sqref="V18">
    <cfRule type="containsText" dxfId="4352" priority="5071" operator="containsText" text="FAT">
      <formula>NOT(ISERROR(SEARCH("FAT",V18)))</formula>
    </cfRule>
    <cfRule type="containsText" dxfId="4351" priority="5072" operator="containsText" text="FIRE">
      <formula>NOT(ISERROR(SEARCH("FIRE",V18)))</formula>
    </cfRule>
    <cfRule type="containsText" dxfId="4350" priority="5073" operator="containsText" text="COSH">
      <formula>NOT(ISERROR(SEARCH("COSH",V18)))</formula>
    </cfRule>
  </conditionalFormatting>
  <conditionalFormatting sqref="V18">
    <cfRule type="containsText" dxfId="4349" priority="5068" operator="containsText" text="FAT">
      <formula>NOT(ISERROR(SEARCH("FAT",V18)))</formula>
    </cfRule>
    <cfRule type="containsText" dxfId="4348" priority="5069" operator="containsText" text="FIRE">
      <formula>NOT(ISERROR(SEARCH("FIRE",V18)))</formula>
    </cfRule>
    <cfRule type="containsText" dxfId="4347" priority="5070" operator="containsText" text="COSH">
      <formula>NOT(ISERROR(SEARCH("COSH",V18)))</formula>
    </cfRule>
  </conditionalFormatting>
  <conditionalFormatting sqref="V18">
    <cfRule type="containsText" dxfId="4346" priority="5065" operator="containsText" text="FAT">
      <formula>NOT(ISERROR(SEARCH("FAT",V18)))</formula>
    </cfRule>
    <cfRule type="containsText" dxfId="4345" priority="5066" operator="containsText" text="FIRE">
      <formula>NOT(ISERROR(SEARCH("FIRE",V18)))</formula>
    </cfRule>
    <cfRule type="containsText" dxfId="4344" priority="5067" operator="containsText" text="COSH">
      <formula>NOT(ISERROR(SEARCH("COSH",V18)))</formula>
    </cfRule>
  </conditionalFormatting>
  <conditionalFormatting sqref="V18">
    <cfRule type="containsText" dxfId="4343" priority="5062" operator="containsText" text="FAT">
      <formula>NOT(ISERROR(SEARCH("FAT",V18)))</formula>
    </cfRule>
    <cfRule type="containsText" dxfId="4342" priority="5063" operator="containsText" text="FIRE">
      <formula>NOT(ISERROR(SEARCH("FIRE",V18)))</formula>
    </cfRule>
    <cfRule type="containsText" dxfId="4341" priority="5064" operator="containsText" text="COSH">
      <formula>NOT(ISERROR(SEARCH("COSH",V18)))</formula>
    </cfRule>
  </conditionalFormatting>
  <conditionalFormatting sqref="V18">
    <cfRule type="containsText" dxfId="4340" priority="5059" operator="containsText" text="FAT">
      <formula>NOT(ISERROR(SEARCH("FAT",V18)))</formula>
    </cfRule>
    <cfRule type="containsText" dxfId="4339" priority="5060" operator="containsText" text="FIRE">
      <formula>NOT(ISERROR(SEARCH("FIRE",V18)))</formula>
    </cfRule>
    <cfRule type="containsText" dxfId="4338" priority="5061" operator="containsText" text="COSH">
      <formula>NOT(ISERROR(SEARCH("COSH",V18)))</formula>
    </cfRule>
  </conditionalFormatting>
  <conditionalFormatting sqref="V18">
    <cfRule type="containsText" dxfId="4337" priority="5056" operator="containsText" text="FAT">
      <formula>NOT(ISERROR(SEARCH("FAT",V18)))</formula>
    </cfRule>
    <cfRule type="containsText" dxfId="4336" priority="5057" operator="containsText" text="FIRE">
      <formula>NOT(ISERROR(SEARCH("FIRE",V18)))</formula>
    </cfRule>
    <cfRule type="containsText" dxfId="4335" priority="5058" operator="containsText" text="COSH">
      <formula>NOT(ISERROR(SEARCH("COSH",V18)))</formula>
    </cfRule>
  </conditionalFormatting>
  <conditionalFormatting sqref="X27:X31">
    <cfRule type="containsText" dxfId="4334" priority="5053" operator="containsText" text="FAT">
      <formula>NOT(ISERROR(SEARCH("FAT",X27)))</formula>
    </cfRule>
    <cfRule type="containsText" dxfId="4333" priority="5054" operator="containsText" text="FIRE">
      <formula>NOT(ISERROR(SEARCH("FIRE",X27)))</formula>
    </cfRule>
    <cfRule type="containsText" dxfId="4332" priority="5055" operator="containsText" text="COSH">
      <formula>NOT(ISERROR(SEARCH("COSH",X27)))</formula>
    </cfRule>
  </conditionalFormatting>
  <conditionalFormatting sqref="X27:X31">
    <cfRule type="containsText" dxfId="4331" priority="5050" operator="containsText" text="FAT">
      <formula>NOT(ISERROR(SEARCH("FAT",X27)))</formula>
    </cfRule>
    <cfRule type="containsText" dxfId="4330" priority="5051" operator="containsText" text="FIRE">
      <formula>NOT(ISERROR(SEARCH("FIRE",X27)))</formula>
    </cfRule>
    <cfRule type="containsText" dxfId="4329" priority="5052" operator="containsText" text="COSH">
      <formula>NOT(ISERROR(SEARCH("COSH",X27)))</formula>
    </cfRule>
  </conditionalFormatting>
  <conditionalFormatting sqref="X27:X31">
    <cfRule type="containsText" dxfId="4328" priority="5047" operator="containsText" text="FAT">
      <formula>NOT(ISERROR(SEARCH("FAT",X27)))</formula>
    </cfRule>
    <cfRule type="containsText" dxfId="4327" priority="5048" operator="containsText" text="FIRE">
      <formula>NOT(ISERROR(SEARCH("FIRE",X27)))</formula>
    </cfRule>
    <cfRule type="containsText" dxfId="4326" priority="5049" operator="containsText" text="COSH">
      <formula>NOT(ISERROR(SEARCH("COSH",X27)))</formula>
    </cfRule>
  </conditionalFormatting>
  <conditionalFormatting sqref="X27:X31">
    <cfRule type="containsText" dxfId="4325" priority="5044" operator="containsText" text="FAT">
      <formula>NOT(ISERROR(SEARCH("FAT",X27)))</formula>
    </cfRule>
    <cfRule type="containsText" dxfId="4324" priority="5045" operator="containsText" text="FIRE">
      <formula>NOT(ISERROR(SEARCH("FIRE",X27)))</formula>
    </cfRule>
    <cfRule type="containsText" dxfId="4323" priority="5046" operator="containsText" text="COSH">
      <formula>NOT(ISERROR(SEARCH("COSH",X27)))</formula>
    </cfRule>
  </conditionalFormatting>
  <conditionalFormatting sqref="X27:X31">
    <cfRule type="containsText" dxfId="4322" priority="5041" operator="containsText" text="FAT">
      <formula>NOT(ISERROR(SEARCH("FAT",X27)))</formula>
    </cfRule>
    <cfRule type="containsText" dxfId="4321" priority="5042" operator="containsText" text="FIRE">
      <formula>NOT(ISERROR(SEARCH("FIRE",X27)))</formula>
    </cfRule>
    <cfRule type="containsText" dxfId="4320" priority="5043" operator="containsText" text="COSH">
      <formula>NOT(ISERROR(SEARCH("COSH",X27)))</formula>
    </cfRule>
  </conditionalFormatting>
  <conditionalFormatting sqref="X27:X31">
    <cfRule type="containsText" dxfId="4319" priority="5038" operator="containsText" text="FAT">
      <formula>NOT(ISERROR(SEARCH("FAT",X27)))</formula>
    </cfRule>
    <cfRule type="containsText" dxfId="4318" priority="5039" operator="containsText" text="FIRE">
      <formula>NOT(ISERROR(SEARCH("FIRE",X27)))</formula>
    </cfRule>
    <cfRule type="containsText" dxfId="4317" priority="5040" operator="containsText" text="COSH">
      <formula>NOT(ISERROR(SEARCH("COSH",X27)))</formula>
    </cfRule>
  </conditionalFormatting>
  <conditionalFormatting sqref="P26:S26 U26:AB26">
    <cfRule type="containsText" dxfId="4316" priority="5035" operator="containsText" text="FAT">
      <formula>NOT(ISERROR(SEARCH("FAT",P26)))</formula>
    </cfRule>
    <cfRule type="containsText" dxfId="4315" priority="5036" operator="containsText" text="FIRE">
      <formula>NOT(ISERROR(SEARCH("FIRE",P26)))</formula>
    </cfRule>
    <cfRule type="containsText" dxfId="4314" priority="5037" operator="containsText" text="COSH">
      <formula>NOT(ISERROR(SEARCH("COSH",P26)))</formula>
    </cfRule>
  </conditionalFormatting>
  <conditionalFormatting sqref="P26:S26 U26:AB26">
    <cfRule type="containsText" dxfId="4313" priority="5032" operator="containsText" text="FAT">
      <formula>NOT(ISERROR(SEARCH("FAT",P26)))</formula>
    </cfRule>
    <cfRule type="containsText" dxfId="4312" priority="5033" operator="containsText" text="FIRE">
      <formula>NOT(ISERROR(SEARCH("FIRE",P26)))</formula>
    </cfRule>
    <cfRule type="containsText" dxfId="4311" priority="5034" operator="containsText" text="COSH">
      <formula>NOT(ISERROR(SEARCH("COSH",P26)))</formula>
    </cfRule>
  </conditionalFormatting>
  <conditionalFormatting sqref="P26:S26 U26:AB26">
    <cfRule type="containsText" dxfId="4310" priority="5029" operator="containsText" text="FAT">
      <formula>NOT(ISERROR(SEARCH("FAT",P26)))</formula>
    </cfRule>
    <cfRule type="containsText" dxfId="4309" priority="5030" operator="containsText" text="FIRE">
      <formula>NOT(ISERROR(SEARCH("FIRE",P26)))</formula>
    </cfRule>
    <cfRule type="containsText" dxfId="4308" priority="5031" operator="containsText" text="COSH">
      <formula>NOT(ISERROR(SEARCH("COSH",P26)))</formula>
    </cfRule>
  </conditionalFormatting>
  <conditionalFormatting sqref="U23:W23 N23:P23">
    <cfRule type="containsText" dxfId="4307" priority="5026" operator="containsText" text="FAT">
      <formula>NOT(ISERROR(SEARCH("FAT",N23)))</formula>
    </cfRule>
    <cfRule type="containsText" dxfId="4306" priority="5027" operator="containsText" text="FIRE">
      <formula>NOT(ISERROR(SEARCH("FIRE",N23)))</formula>
    </cfRule>
    <cfRule type="containsText" dxfId="4305" priority="5028" operator="containsText" text="COSH">
      <formula>NOT(ISERROR(SEARCH("COSH",N23)))</formula>
    </cfRule>
  </conditionalFormatting>
  <conditionalFormatting sqref="Z23">
    <cfRule type="containsText" dxfId="4304" priority="5023" operator="containsText" text="FAT">
      <formula>NOT(ISERROR(SEARCH("FAT",Z23)))</formula>
    </cfRule>
    <cfRule type="containsText" dxfId="4303" priority="5024" operator="containsText" text="FIRE">
      <formula>NOT(ISERROR(SEARCH("FIRE",Z23)))</formula>
    </cfRule>
    <cfRule type="containsText" dxfId="4302" priority="5025" operator="containsText" text="COSH">
      <formula>NOT(ISERROR(SEARCH("COSH",Z23)))</formula>
    </cfRule>
  </conditionalFormatting>
  <conditionalFormatting sqref="X23">
    <cfRule type="containsText" dxfId="4301" priority="5020" operator="containsText" text="FAT">
      <formula>NOT(ISERROR(SEARCH("FAT",X23)))</formula>
    </cfRule>
    <cfRule type="containsText" dxfId="4300" priority="5021" operator="containsText" text="FIRE">
      <formula>NOT(ISERROR(SEARCH("FIRE",X23)))</formula>
    </cfRule>
    <cfRule type="containsText" dxfId="4299" priority="5022" operator="containsText" text="COSH">
      <formula>NOT(ISERROR(SEARCH("COSH",X23)))</formula>
    </cfRule>
  </conditionalFormatting>
  <conditionalFormatting sqref="AA23">
    <cfRule type="containsText" dxfId="4298" priority="5017" operator="containsText" text="FAT">
      <formula>NOT(ISERROR(SEARCH("FAT",AA23)))</formula>
    </cfRule>
    <cfRule type="containsText" dxfId="4297" priority="5018" operator="containsText" text="FIRE">
      <formula>NOT(ISERROR(SEARCH("FIRE",AA23)))</formula>
    </cfRule>
    <cfRule type="containsText" dxfId="4296" priority="5019" operator="containsText" text="COSH">
      <formula>NOT(ISERROR(SEARCH("COSH",AA23)))</formula>
    </cfRule>
  </conditionalFormatting>
  <conditionalFormatting sqref="Y23">
    <cfRule type="containsText" dxfId="4295" priority="5014" operator="containsText" text="FAT">
      <formula>NOT(ISERROR(SEARCH("FAT",Y23)))</formula>
    </cfRule>
    <cfRule type="containsText" dxfId="4294" priority="5015" operator="containsText" text="FIRE">
      <formula>NOT(ISERROR(SEARCH("FIRE",Y23)))</formula>
    </cfRule>
    <cfRule type="containsText" dxfId="4293" priority="5016" operator="containsText" text="COSH">
      <formula>NOT(ISERROR(SEARCH("COSH",Y23)))</formula>
    </cfRule>
  </conditionalFormatting>
  <conditionalFormatting sqref="X23">
    <cfRule type="containsText" dxfId="4292" priority="5011" operator="containsText" text="FAT">
      <formula>NOT(ISERROR(SEARCH("FAT",X23)))</formula>
    </cfRule>
    <cfRule type="containsText" dxfId="4291" priority="5012" operator="containsText" text="FIRE">
      <formula>NOT(ISERROR(SEARCH("FIRE",X23)))</formula>
    </cfRule>
    <cfRule type="containsText" dxfId="4290" priority="5013" operator="containsText" text="COSH">
      <formula>NOT(ISERROR(SEARCH("COSH",X23)))</formula>
    </cfRule>
  </conditionalFormatting>
  <conditionalFormatting sqref="V23:W23">
    <cfRule type="containsText" dxfId="4289" priority="5008" operator="containsText" text="FAT">
      <formula>NOT(ISERROR(SEARCH("FAT",V23)))</formula>
    </cfRule>
    <cfRule type="containsText" dxfId="4288" priority="5009" operator="containsText" text="FIRE">
      <formula>NOT(ISERROR(SEARCH("FIRE",V23)))</formula>
    </cfRule>
    <cfRule type="containsText" dxfId="4287" priority="5010" operator="containsText" text="COSH">
      <formula>NOT(ISERROR(SEARCH("COSH",V23)))</formula>
    </cfRule>
  </conditionalFormatting>
  <conditionalFormatting sqref="X23">
    <cfRule type="containsText" dxfId="4286" priority="5005" operator="containsText" text="FAT">
      <formula>NOT(ISERROR(SEARCH("FAT",X23)))</formula>
    </cfRule>
    <cfRule type="containsText" dxfId="4285" priority="5006" operator="containsText" text="FIRE">
      <formula>NOT(ISERROR(SEARCH("FIRE",X23)))</formula>
    </cfRule>
    <cfRule type="containsText" dxfId="4284" priority="5007" operator="containsText" text="COSH">
      <formula>NOT(ISERROR(SEARCH("COSH",X23)))</formula>
    </cfRule>
  </conditionalFormatting>
  <conditionalFormatting sqref="V23:W23">
    <cfRule type="containsText" dxfId="4283" priority="5002" operator="containsText" text="FAT">
      <formula>NOT(ISERROR(SEARCH("FAT",V23)))</formula>
    </cfRule>
    <cfRule type="containsText" dxfId="4282" priority="5003" operator="containsText" text="FIRE">
      <formula>NOT(ISERROR(SEARCH("FIRE",V23)))</formula>
    </cfRule>
    <cfRule type="containsText" dxfId="4281" priority="5004" operator="containsText" text="COSH">
      <formula>NOT(ISERROR(SEARCH("COSH",V23)))</formula>
    </cfRule>
  </conditionalFormatting>
  <conditionalFormatting sqref="X23">
    <cfRule type="containsText" dxfId="4280" priority="4999" operator="containsText" text="FAT">
      <formula>NOT(ISERROR(SEARCH("FAT",X23)))</formula>
    </cfRule>
    <cfRule type="containsText" dxfId="4279" priority="5000" operator="containsText" text="FIRE">
      <formula>NOT(ISERROR(SEARCH("FIRE",X23)))</formula>
    </cfRule>
    <cfRule type="containsText" dxfId="4278" priority="5001" operator="containsText" text="COSH">
      <formula>NOT(ISERROR(SEARCH("COSH",X23)))</formula>
    </cfRule>
  </conditionalFormatting>
  <conditionalFormatting sqref="V23:W23">
    <cfRule type="containsText" dxfId="4277" priority="4996" operator="containsText" text="FAT">
      <formula>NOT(ISERROR(SEARCH("FAT",V23)))</formula>
    </cfRule>
    <cfRule type="containsText" dxfId="4276" priority="4997" operator="containsText" text="FIRE">
      <formula>NOT(ISERROR(SEARCH("FIRE",V23)))</formula>
    </cfRule>
    <cfRule type="containsText" dxfId="4275" priority="4998" operator="containsText" text="COSH">
      <formula>NOT(ISERROR(SEARCH("COSH",V23)))</formula>
    </cfRule>
  </conditionalFormatting>
  <conditionalFormatting sqref="X23">
    <cfRule type="containsText" dxfId="4274" priority="4993" operator="containsText" text="FAT">
      <formula>NOT(ISERROR(SEARCH("FAT",X23)))</formula>
    </cfRule>
    <cfRule type="containsText" dxfId="4273" priority="4994" operator="containsText" text="FIRE">
      <formula>NOT(ISERROR(SEARCH("FIRE",X23)))</formula>
    </cfRule>
    <cfRule type="containsText" dxfId="4272" priority="4995" operator="containsText" text="COSH">
      <formula>NOT(ISERROR(SEARCH("COSH",X23)))</formula>
    </cfRule>
  </conditionalFormatting>
  <conditionalFormatting sqref="V23:W23">
    <cfRule type="containsText" dxfId="4271" priority="4990" operator="containsText" text="FAT">
      <formula>NOT(ISERROR(SEARCH("FAT",V23)))</formula>
    </cfRule>
    <cfRule type="containsText" dxfId="4270" priority="4991" operator="containsText" text="FIRE">
      <formula>NOT(ISERROR(SEARCH("FIRE",V23)))</formula>
    </cfRule>
    <cfRule type="containsText" dxfId="4269" priority="4992" operator="containsText" text="COSH">
      <formula>NOT(ISERROR(SEARCH("COSH",V23)))</formula>
    </cfRule>
  </conditionalFormatting>
  <conditionalFormatting sqref="X23">
    <cfRule type="containsText" dxfId="4268" priority="4987" operator="containsText" text="FAT">
      <formula>NOT(ISERROR(SEARCH("FAT",X23)))</formula>
    </cfRule>
    <cfRule type="containsText" dxfId="4267" priority="4988" operator="containsText" text="FIRE">
      <formula>NOT(ISERROR(SEARCH("FIRE",X23)))</formula>
    </cfRule>
    <cfRule type="containsText" dxfId="4266" priority="4989" operator="containsText" text="COSH">
      <formula>NOT(ISERROR(SEARCH("COSH",X23)))</formula>
    </cfRule>
  </conditionalFormatting>
  <conditionalFormatting sqref="P23">
    <cfRule type="containsText" dxfId="4265" priority="4984" operator="containsText" text="FAT">
      <formula>NOT(ISERROR(SEARCH("FAT",P23)))</formula>
    </cfRule>
    <cfRule type="containsText" dxfId="4264" priority="4985" operator="containsText" text="FIRE">
      <formula>NOT(ISERROR(SEARCH("FIRE",P23)))</formula>
    </cfRule>
    <cfRule type="containsText" dxfId="4263" priority="4986" operator="containsText" text="COSH">
      <formula>NOT(ISERROR(SEARCH("COSH",P23)))</formula>
    </cfRule>
  </conditionalFormatting>
  <conditionalFormatting sqref="P23">
    <cfRule type="containsText" dxfId="4262" priority="4981" operator="containsText" text="FAT">
      <formula>NOT(ISERROR(SEARCH("FAT",P23)))</formula>
    </cfRule>
    <cfRule type="containsText" dxfId="4261" priority="4982" operator="containsText" text="FIRE">
      <formula>NOT(ISERROR(SEARCH("FIRE",P23)))</formula>
    </cfRule>
    <cfRule type="containsText" dxfId="4260" priority="4983" operator="containsText" text="COSH">
      <formula>NOT(ISERROR(SEARCH("COSH",P23)))</formula>
    </cfRule>
  </conditionalFormatting>
  <conditionalFormatting sqref="P23">
    <cfRule type="containsText" dxfId="4259" priority="4978" operator="containsText" text="FAT">
      <formula>NOT(ISERROR(SEARCH("FAT",P23)))</formula>
    </cfRule>
    <cfRule type="containsText" dxfId="4258" priority="4979" operator="containsText" text="FIRE">
      <formula>NOT(ISERROR(SEARCH("FIRE",P23)))</formula>
    </cfRule>
    <cfRule type="containsText" dxfId="4257" priority="4980" operator="containsText" text="COSH">
      <formula>NOT(ISERROR(SEARCH("COSH",P23)))</formula>
    </cfRule>
  </conditionalFormatting>
  <conditionalFormatting sqref="V23">
    <cfRule type="containsText" dxfId="4256" priority="4975" operator="containsText" text="FAT">
      <formula>NOT(ISERROR(SEARCH("FAT",V23)))</formula>
    </cfRule>
    <cfRule type="containsText" dxfId="4255" priority="4976" operator="containsText" text="FIRE">
      <formula>NOT(ISERROR(SEARCH("FIRE",V23)))</formula>
    </cfRule>
    <cfRule type="containsText" dxfId="4254" priority="4977" operator="containsText" text="COSH">
      <formula>NOT(ISERROR(SEARCH("COSH",V23)))</formula>
    </cfRule>
  </conditionalFormatting>
  <conditionalFormatting sqref="V23">
    <cfRule type="containsText" dxfId="4253" priority="4972" operator="containsText" text="FAT">
      <formula>NOT(ISERROR(SEARCH("FAT",V23)))</formula>
    </cfRule>
    <cfRule type="containsText" dxfId="4252" priority="4973" operator="containsText" text="FIRE">
      <formula>NOT(ISERROR(SEARCH("FIRE",V23)))</formula>
    </cfRule>
    <cfRule type="containsText" dxfId="4251" priority="4974" operator="containsText" text="COSH">
      <formula>NOT(ISERROR(SEARCH("COSH",V23)))</formula>
    </cfRule>
  </conditionalFormatting>
  <conditionalFormatting sqref="V23">
    <cfRule type="containsText" dxfId="4250" priority="4969" operator="containsText" text="FAT">
      <formula>NOT(ISERROR(SEARCH("FAT",V23)))</formula>
    </cfRule>
    <cfRule type="containsText" dxfId="4249" priority="4970" operator="containsText" text="FIRE">
      <formula>NOT(ISERROR(SEARCH("FIRE",V23)))</formula>
    </cfRule>
    <cfRule type="containsText" dxfId="4248" priority="4971" operator="containsText" text="COSH">
      <formula>NOT(ISERROR(SEARCH("COSH",V23)))</formula>
    </cfRule>
  </conditionalFormatting>
  <conditionalFormatting sqref="V23">
    <cfRule type="containsText" dxfId="4247" priority="4966" operator="containsText" text="FAT">
      <formula>NOT(ISERROR(SEARCH("FAT",V23)))</formula>
    </cfRule>
    <cfRule type="containsText" dxfId="4246" priority="4967" operator="containsText" text="FIRE">
      <formula>NOT(ISERROR(SEARCH("FIRE",V23)))</formula>
    </cfRule>
    <cfRule type="containsText" dxfId="4245" priority="4968" operator="containsText" text="COSH">
      <formula>NOT(ISERROR(SEARCH("COSH",V23)))</formula>
    </cfRule>
  </conditionalFormatting>
  <conditionalFormatting sqref="V23">
    <cfRule type="containsText" dxfId="4244" priority="4963" operator="containsText" text="FAT">
      <formula>NOT(ISERROR(SEARCH("FAT",V23)))</formula>
    </cfRule>
    <cfRule type="containsText" dxfId="4243" priority="4964" operator="containsText" text="FIRE">
      <formula>NOT(ISERROR(SEARCH("FIRE",V23)))</formula>
    </cfRule>
    <cfRule type="containsText" dxfId="4242" priority="4965" operator="containsText" text="COSH">
      <formula>NOT(ISERROR(SEARCH("COSH",V23)))</formula>
    </cfRule>
  </conditionalFormatting>
  <conditionalFormatting sqref="V23">
    <cfRule type="containsText" dxfId="4241" priority="4960" operator="containsText" text="FAT">
      <formula>NOT(ISERROR(SEARCH("FAT",V23)))</formula>
    </cfRule>
    <cfRule type="containsText" dxfId="4240" priority="4961" operator="containsText" text="FIRE">
      <formula>NOT(ISERROR(SEARCH("FIRE",V23)))</formula>
    </cfRule>
    <cfRule type="containsText" dxfId="4239" priority="4962" operator="containsText" text="COSH">
      <formula>NOT(ISERROR(SEARCH("COSH",V23)))</formula>
    </cfRule>
  </conditionalFormatting>
  <conditionalFormatting sqref="V23">
    <cfRule type="containsText" dxfId="4238" priority="4957" operator="containsText" text="FAT">
      <formula>NOT(ISERROR(SEARCH("FAT",V23)))</formula>
    </cfRule>
    <cfRule type="containsText" dxfId="4237" priority="4958" operator="containsText" text="FIRE">
      <formula>NOT(ISERROR(SEARCH("FIRE",V23)))</formula>
    </cfRule>
    <cfRule type="containsText" dxfId="4236" priority="4959" operator="containsText" text="COSH">
      <formula>NOT(ISERROR(SEARCH("COSH",V23)))</formula>
    </cfRule>
  </conditionalFormatting>
  <conditionalFormatting sqref="V23">
    <cfRule type="containsText" dxfId="4235" priority="4954" operator="containsText" text="FAT">
      <formula>NOT(ISERROR(SEARCH("FAT",V23)))</formula>
    </cfRule>
    <cfRule type="containsText" dxfId="4234" priority="4955" operator="containsText" text="FIRE">
      <formula>NOT(ISERROR(SEARCH("FIRE",V23)))</formula>
    </cfRule>
    <cfRule type="containsText" dxfId="4233" priority="4956" operator="containsText" text="COSH">
      <formula>NOT(ISERROR(SEARCH("COSH",V23)))</formula>
    </cfRule>
  </conditionalFormatting>
  <conditionalFormatting sqref="V23">
    <cfRule type="containsText" dxfId="4232" priority="4951" operator="containsText" text="FAT">
      <formula>NOT(ISERROR(SEARCH("FAT",V23)))</formula>
    </cfRule>
    <cfRule type="containsText" dxfId="4231" priority="4952" operator="containsText" text="FIRE">
      <formula>NOT(ISERROR(SEARCH("FIRE",V23)))</formula>
    </cfRule>
    <cfRule type="containsText" dxfId="4230" priority="4953" operator="containsText" text="COSH">
      <formula>NOT(ISERROR(SEARCH("COSH",V23)))</formula>
    </cfRule>
  </conditionalFormatting>
  <conditionalFormatting sqref="V23">
    <cfRule type="containsText" dxfId="4229" priority="4948" operator="containsText" text="FAT">
      <formula>NOT(ISERROR(SEARCH("FAT",V23)))</formula>
    </cfRule>
    <cfRule type="containsText" dxfId="4228" priority="4949" operator="containsText" text="FIRE">
      <formula>NOT(ISERROR(SEARCH("FIRE",V23)))</formula>
    </cfRule>
    <cfRule type="containsText" dxfId="4227" priority="4950" operator="containsText" text="COSH">
      <formula>NOT(ISERROR(SEARCH("COSH",V23)))</formula>
    </cfRule>
  </conditionalFormatting>
  <conditionalFormatting sqref="Z27:Z31">
    <cfRule type="containsText" dxfId="4226" priority="4945" operator="containsText" text="FAT">
      <formula>NOT(ISERROR(SEARCH("FAT",Z27)))</formula>
    </cfRule>
    <cfRule type="containsText" dxfId="4225" priority="4946" operator="containsText" text="FIRE">
      <formula>NOT(ISERROR(SEARCH("FIRE",Z27)))</formula>
    </cfRule>
    <cfRule type="containsText" dxfId="4224" priority="4947" operator="containsText" text="COSH">
      <formula>NOT(ISERROR(SEARCH("COSH",Z27)))</formula>
    </cfRule>
  </conditionalFormatting>
  <conditionalFormatting sqref="X27:X31">
    <cfRule type="containsText" dxfId="4223" priority="4942" operator="containsText" text="FAT">
      <formula>NOT(ISERROR(SEARCH("FAT",X27)))</formula>
    </cfRule>
    <cfRule type="containsText" dxfId="4222" priority="4943" operator="containsText" text="FIRE">
      <formula>NOT(ISERROR(SEARCH("FIRE",X27)))</formula>
    </cfRule>
    <cfRule type="containsText" dxfId="4221" priority="4944" operator="containsText" text="COSH">
      <formula>NOT(ISERROR(SEARCH("COSH",X27)))</formula>
    </cfRule>
  </conditionalFormatting>
  <conditionalFormatting sqref="Y27:Y31">
    <cfRule type="containsText" dxfId="4220" priority="4939" operator="containsText" text="FAT">
      <formula>NOT(ISERROR(SEARCH("FAT",Y27)))</formula>
    </cfRule>
    <cfRule type="containsText" dxfId="4219" priority="4940" operator="containsText" text="FIRE">
      <formula>NOT(ISERROR(SEARCH("FIRE",Y27)))</formula>
    </cfRule>
    <cfRule type="containsText" dxfId="4218" priority="4941" operator="containsText" text="COSH">
      <formula>NOT(ISERROR(SEARCH("COSH",Y27)))</formula>
    </cfRule>
  </conditionalFormatting>
  <conditionalFormatting sqref="X27:X31">
    <cfRule type="containsText" dxfId="4217" priority="4936" operator="containsText" text="FAT">
      <formula>NOT(ISERROR(SEARCH("FAT",X27)))</formula>
    </cfRule>
    <cfRule type="containsText" dxfId="4216" priority="4937" operator="containsText" text="FIRE">
      <formula>NOT(ISERROR(SEARCH("FIRE",X27)))</formula>
    </cfRule>
    <cfRule type="containsText" dxfId="4215" priority="4938" operator="containsText" text="COSH">
      <formula>NOT(ISERROR(SEARCH("COSH",X27)))</formula>
    </cfRule>
  </conditionalFormatting>
  <conditionalFormatting sqref="V27:W31">
    <cfRule type="containsText" dxfId="4214" priority="4933" operator="containsText" text="FAT">
      <formula>NOT(ISERROR(SEARCH("FAT",V27)))</formula>
    </cfRule>
    <cfRule type="containsText" dxfId="4213" priority="4934" operator="containsText" text="FIRE">
      <formula>NOT(ISERROR(SEARCH("FIRE",V27)))</formula>
    </cfRule>
    <cfRule type="containsText" dxfId="4212" priority="4935" operator="containsText" text="COSH">
      <formula>NOT(ISERROR(SEARCH("COSH",V27)))</formula>
    </cfRule>
  </conditionalFormatting>
  <conditionalFormatting sqref="X27:X31">
    <cfRule type="containsText" dxfId="4211" priority="4930" operator="containsText" text="FAT">
      <formula>NOT(ISERROR(SEARCH("FAT",X27)))</formula>
    </cfRule>
    <cfRule type="containsText" dxfId="4210" priority="4931" operator="containsText" text="FIRE">
      <formula>NOT(ISERROR(SEARCH("FIRE",X27)))</formula>
    </cfRule>
    <cfRule type="containsText" dxfId="4209" priority="4932" operator="containsText" text="COSH">
      <formula>NOT(ISERROR(SEARCH("COSH",X27)))</formula>
    </cfRule>
  </conditionalFormatting>
  <conditionalFormatting sqref="V27:W31">
    <cfRule type="containsText" dxfId="4208" priority="4927" operator="containsText" text="FAT">
      <formula>NOT(ISERROR(SEARCH("FAT",V27)))</formula>
    </cfRule>
    <cfRule type="containsText" dxfId="4207" priority="4928" operator="containsText" text="FIRE">
      <formula>NOT(ISERROR(SEARCH("FIRE",V27)))</formula>
    </cfRule>
    <cfRule type="containsText" dxfId="4206" priority="4929" operator="containsText" text="COSH">
      <formula>NOT(ISERROR(SEARCH("COSH",V27)))</formula>
    </cfRule>
  </conditionalFormatting>
  <conditionalFormatting sqref="X27:X31">
    <cfRule type="containsText" dxfId="4205" priority="4924" operator="containsText" text="FAT">
      <formula>NOT(ISERROR(SEARCH("FAT",X27)))</formula>
    </cfRule>
    <cfRule type="containsText" dxfId="4204" priority="4925" operator="containsText" text="FIRE">
      <formula>NOT(ISERROR(SEARCH("FIRE",X27)))</formula>
    </cfRule>
    <cfRule type="containsText" dxfId="4203" priority="4926" operator="containsText" text="COSH">
      <formula>NOT(ISERROR(SEARCH("COSH",X27)))</formula>
    </cfRule>
  </conditionalFormatting>
  <conditionalFormatting sqref="V27:W31">
    <cfRule type="containsText" dxfId="4202" priority="4921" operator="containsText" text="FAT">
      <formula>NOT(ISERROR(SEARCH("FAT",V27)))</formula>
    </cfRule>
    <cfRule type="containsText" dxfId="4201" priority="4922" operator="containsText" text="FIRE">
      <formula>NOT(ISERROR(SEARCH("FIRE",V27)))</formula>
    </cfRule>
    <cfRule type="containsText" dxfId="4200" priority="4923" operator="containsText" text="COSH">
      <formula>NOT(ISERROR(SEARCH("COSH",V27)))</formula>
    </cfRule>
  </conditionalFormatting>
  <conditionalFormatting sqref="X27:X31">
    <cfRule type="containsText" dxfId="4199" priority="4918" operator="containsText" text="FAT">
      <formula>NOT(ISERROR(SEARCH("FAT",X27)))</formula>
    </cfRule>
    <cfRule type="containsText" dxfId="4198" priority="4919" operator="containsText" text="FIRE">
      <formula>NOT(ISERROR(SEARCH("FIRE",X27)))</formula>
    </cfRule>
    <cfRule type="containsText" dxfId="4197" priority="4920" operator="containsText" text="COSH">
      <formula>NOT(ISERROR(SEARCH("COSH",X27)))</formula>
    </cfRule>
  </conditionalFormatting>
  <conditionalFormatting sqref="V27:W31">
    <cfRule type="containsText" dxfId="4196" priority="4915" operator="containsText" text="FAT">
      <formula>NOT(ISERROR(SEARCH("FAT",V27)))</formula>
    </cfRule>
    <cfRule type="containsText" dxfId="4195" priority="4916" operator="containsText" text="FIRE">
      <formula>NOT(ISERROR(SEARCH("FIRE",V27)))</formula>
    </cfRule>
    <cfRule type="containsText" dxfId="4194" priority="4917" operator="containsText" text="COSH">
      <formula>NOT(ISERROR(SEARCH("COSH",V27)))</formula>
    </cfRule>
  </conditionalFormatting>
  <conditionalFormatting sqref="X27:X31">
    <cfRule type="containsText" dxfId="4193" priority="4912" operator="containsText" text="FAT">
      <formula>NOT(ISERROR(SEARCH("FAT",X27)))</formula>
    </cfRule>
    <cfRule type="containsText" dxfId="4192" priority="4913" operator="containsText" text="FIRE">
      <formula>NOT(ISERROR(SEARCH("FIRE",X27)))</formula>
    </cfRule>
    <cfRule type="containsText" dxfId="4191" priority="4914" operator="containsText" text="COSH">
      <formula>NOT(ISERROR(SEARCH("COSH",X27)))</formula>
    </cfRule>
  </conditionalFormatting>
  <conditionalFormatting sqref="P27:P33">
    <cfRule type="containsText" dxfId="4190" priority="4909" operator="containsText" text="FAT">
      <formula>NOT(ISERROR(SEARCH("FAT",P27)))</formula>
    </cfRule>
    <cfRule type="containsText" dxfId="4189" priority="4910" operator="containsText" text="FIRE">
      <formula>NOT(ISERROR(SEARCH("FIRE",P27)))</formula>
    </cfRule>
    <cfRule type="containsText" dxfId="4188" priority="4911" operator="containsText" text="COSH">
      <formula>NOT(ISERROR(SEARCH("COSH",P27)))</formula>
    </cfRule>
  </conditionalFormatting>
  <conditionalFormatting sqref="P27:P33">
    <cfRule type="containsText" dxfId="4187" priority="4906" operator="containsText" text="FAT">
      <formula>NOT(ISERROR(SEARCH("FAT",P27)))</formula>
    </cfRule>
    <cfRule type="containsText" dxfId="4186" priority="4907" operator="containsText" text="FIRE">
      <formula>NOT(ISERROR(SEARCH("FIRE",P27)))</formula>
    </cfRule>
    <cfRule type="containsText" dxfId="4185" priority="4908" operator="containsText" text="COSH">
      <formula>NOT(ISERROR(SEARCH("COSH",P27)))</formula>
    </cfRule>
  </conditionalFormatting>
  <conditionalFormatting sqref="P27:P33">
    <cfRule type="containsText" dxfId="4184" priority="4903" operator="containsText" text="FAT">
      <formula>NOT(ISERROR(SEARCH("FAT",P27)))</formula>
    </cfRule>
    <cfRule type="containsText" dxfId="4183" priority="4904" operator="containsText" text="FIRE">
      <formula>NOT(ISERROR(SEARCH("FIRE",P27)))</formula>
    </cfRule>
    <cfRule type="containsText" dxfId="4182" priority="4905" operator="containsText" text="COSH">
      <formula>NOT(ISERROR(SEARCH("COSH",P27)))</formula>
    </cfRule>
  </conditionalFormatting>
  <conditionalFormatting sqref="V27:V31">
    <cfRule type="containsText" dxfId="4181" priority="4900" operator="containsText" text="FAT">
      <formula>NOT(ISERROR(SEARCH("FAT",V27)))</formula>
    </cfRule>
    <cfRule type="containsText" dxfId="4180" priority="4901" operator="containsText" text="FIRE">
      <formula>NOT(ISERROR(SEARCH("FIRE",V27)))</formula>
    </cfRule>
    <cfRule type="containsText" dxfId="4179" priority="4902" operator="containsText" text="COSH">
      <formula>NOT(ISERROR(SEARCH("COSH",V27)))</formula>
    </cfRule>
  </conditionalFormatting>
  <conditionalFormatting sqref="V27:V31">
    <cfRule type="containsText" dxfId="4178" priority="4897" operator="containsText" text="FAT">
      <formula>NOT(ISERROR(SEARCH("FAT",V27)))</formula>
    </cfRule>
    <cfRule type="containsText" dxfId="4177" priority="4898" operator="containsText" text="FIRE">
      <formula>NOT(ISERROR(SEARCH("FIRE",V27)))</formula>
    </cfRule>
    <cfRule type="containsText" dxfId="4176" priority="4899" operator="containsText" text="COSH">
      <formula>NOT(ISERROR(SEARCH("COSH",V27)))</formula>
    </cfRule>
  </conditionalFormatting>
  <conditionalFormatting sqref="V27:V31">
    <cfRule type="containsText" dxfId="4175" priority="4894" operator="containsText" text="FAT">
      <formula>NOT(ISERROR(SEARCH("FAT",V27)))</formula>
    </cfRule>
    <cfRule type="containsText" dxfId="4174" priority="4895" operator="containsText" text="FIRE">
      <formula>NOT(ISERROR(SEARCH("FIRE",V27)))</formula>
    </cfRule>
    <cfRule type="containsText" dxfId="4173" priority="4896" operator="containsText" text="COSH">
      <formula>NOT(ISERROR(SEARCH("COSH",V27)))</formula>
    </cfRule>
  </conditionalFormatting>
  <conditionalFormatting sqref="V27:V31">
    <cfRule type="containsText" dxfId="4172" priority="4891" operator="containsText" text="FAT">
      <formula>NOT(ISERROR(SEARCH("FAT",V27)))</formula>
    </cfRule>
    <cfRule type="containsText" dxfId="4171" priority="4892" operator="containsText" text="FIRE">
      <formula>NOT(ISERROR(SEARCH("FIRE",V27)))</formula>
    </cfRule>
    <cfRule type="containsText" dxfId="4170" priority="4893" operator="containsText" text="COSH">
      <formula>NOT(ISERROR(SEARCH("COSH",V27)))</formula>
    </cfRule>
  </conditionalFormatting>
  <conditionalFormatting sqref="V27:V31">
    <cfRule type="containsText" dxfId="4169" priority="4888" operator="containsText" text="FAT">
      <formula>NOT(ISERROR(SEARCH("FAT",V27)))</formula>
    </cfRule>
    <cfRule type="containsText" dxfId="4168" priority="4889" operator="containsText" text="FIRE">
      <formula>NOT(ISERROR(SEARCH("FIRE",V27)))</formula>
    </cfRule>
    <cfRule type="containsText" dxfId="4167" priority="4890" operator="containsText" text="COSH">
      <formula>NOT(ISERROR(SEARCH("COSH",V27)))</formula>
    </cfRule>
  </conditionalFormatting>
  <conditionalFormatting sqref="V27:V31">
    <cfRule type="containsText" dxfId="4166" priority="4885" operator="containsText" text="FAT">
      <formula>NOT(ISERROR(SEARCH("FAT",V27)))</formula>
    </cfRule>
    <cfRule type="containsText" dxfId="4165" priority="4886" operator="containsText" text="FIRE">
      <formula>NOT(ISERROR(SEARCH("FIRE",V27)))</formula>
    </cfRule>
    <cfRule type="containsText" dxfId="4164" priority="4887" operator="containsText" text="COSH">
      <formula>NOT(ISERROR(SEARCH("COSH",V27)))</formula>
    </cfRule>
  </conditionalFormatting>
  <conditionalFormatting sqref="V27:V31">
    <cfRule type="containsText" dxfId="4163" priority="4882" operator="containsText" text="FAT">
      <formula>NOT(ISERROR(SEARCH("FAT",V27)))</formula>
    </cfRule>
    <cfRule type="containsText" dxfId="4162" priority="4883" operator="containsText" text="FIRE">
      <formula>NOT(ISERROR(SEARCH("FIRE",V27)))</formula>
    </cfRule>
    <cfRule type="containsText" dxfId="4161" priority="4884" operator="containsText" text="COSH">
      <formula>NOT(ISERROR(SEARCH("COSH",V27)))</formula>
    </cfRule>
  </conditionalFormatting>
  <conditionalFormatting sqref="V27:V31">
    <cfRule type="containsText" dxfId="4160" priority="4879" operator="containsText" text="FAT">
      <formula>NOT(ISERROR(SEARCH("FAT",V27)))</formula>
    </cfRule>
    <cfRule type="containsText" dxfId="4159" priority="4880" operator="containsText" text="FIRE">
      <formula>NOT(ISERROR(SEARCH("FIRE",V27)))</formula>
    </cfRule>
    <cfRule type="containsText" dxfId="4158" priority="4881" operator="containsText" text="COSH">
      <formula>NOT(ISERROR(SEARCH("COSH",V27)))</formula>
    </cfRule>
  </conditionalFormatting>
  <conditionalFormatting sqref="V27:V31">
    <cfRule type="containsText" dxfId="4157" priority="4876" operator="containsText" text="FAT">
      <formula>NOT(ISERROR(SEARCH("FAT",V27)))</formula>
    </cfRule>
    <cfRule type="containsText" dxfId="4156" priority="4877" operator="containsText" text="FIRE">
      <formula>NOT(ISERROR(SEARCH("FIRE",V27)))</formula>
    </cfRule>
    <cfRule type="containsText" dxfId="4155" priority="4878" operator="containsText" text="COSH">
      <formula>NOT(ISERROR(SEARCH("COSH",V27)))</formula>
    </cfRule>
  </conditionalFormatting>
  <conditionalFormatting sqref="V27:V31">
    <cfRule type="containsText" dxfId="4154" priority="4873" operator="containsText" text="FAT">
      <formula>NOT(ISERROR(SEARCH("FAT",V27)))</formula>
    </cfRule>
    <cfRule type="containsText" dxfId="4153" priority="4874" operator="containsText" text="FIRE">
      <formula>NOT(ISERROR(SEARCH("FIRE",V27)))</formula>
    </cfRule>
    <cfRule type="containsText" dxfId="4152" priority="4875" operator="containsText" text="COSH">
      <formula>NOT(ISERROR(SEARCH("COSH",V27)))</formula>
    </cfRule>
  </conditionalFormatting>
  <conditionalFormatting sqref="N32:AJ33 N13:P31 Q26:S26 O11:AJ11 Q25:AJ25 T12:AJ24 T26:AJ31 G11:M33">
    <cfRule type="cellIs" dxfId="4151" priority="4872" operator="equal">
      <formula>0</formula>
    </cfRule>
  </conditionalFormatting>
  <conditionalFormatting sqref="AI20">
    <cfRule type="containsText" dxfId="4150" priority="4869" operator="containsText" text="FAT">
      <formula>NOT(ISERROR(SEARCH("FAT",AI20)))</formula>
    </cfRule>
    <cfRule type="containsText" dxfId="4149" priority="4870" operator="containsText" text="FIRE">
      <formula>NOT(ISERROR(SEARCH("FIRE",AI20)))</formula>
    </cfRule>
    <cfRule type="containsText" dxfId="4148" priority="4871" operator="containsText" text="COSH">
      <formula>NOT(ISERROR(SEARCH("COSH",AI20)))</formula>
    </cfRule>
  </conditionalFormatting>
  <conditionalFormatting sqref="AI20">
    <cfRule type="containsText" dxfId="4147" priority="4866" operator="containsText" text="FAT">
      <formula>NOT(ISERROR(SEARCH("FAT",AI20)))</formula>
    </cfRule>
    <cfRule type="containsText" dxfId="4146" priority="4867" operator="containsText" text="FIRE">
      <formula>NOT(ISERROR(SEARCH("FIRE",AI20)))</formula>
    </cfRule>
    <cfRule type="containsText" dxfId="4145" priority="4868" operator="containsText" text="COSH">
      <formula>NOT(ISERROR(SEARCH("COSH",AI20)))</formula>
    </cfRule>
  </conditionalFormatting>
  <conditionalFormatting sqref="AI20">
    <cfRule type="containsText" dxfId="4144" priority="4863" operator="containsText" text="FAT">
      <formula>NOT(ISERROR(SEARCH("FAT",AI20)))</formula>
    </cfRule>
    <cfRule type="containsText" dxfId="4143" priority="4864" operator="containsText" text="FIRE">
      <formula>NOT(ISERROR(SEARCH("FIRE",AI20)))</formula>
    </cfRule>
    <cfRule type="containsText" dxfId="4142" priority="4865" operator="containsText" text="COSH">
      <formula>NOT(ISERROR(SEARCH("COSH",AI20)))</formula>
    </cfRule>
  </conditionalFormatting>
  <conditionalFormatting sqref="AI20">
    <cfRule type="containsText" dxfId="4141" priority="4860" operator="containsText" text="FAT">
      <formula>NOT(ISERROR(SEARCH("FAT",AI20)))</formula>
    </cfRule>
    <cfRule type="containsText" dxfId="4140" priority="4861" operator="containsText" text="FIRE">
      <formula>NOT(ISERROR(SEARCH("FIRE",AI20)))</formula>
    </cfRule>
    <cfRule type="containsText" dxfId="4139" priority="4862" operator="containsText" text="COSH">
      <formula>NOT(ISERROR(SEARCH("COSH",AI20)))</formula>
    </cfRule>
  </conditionalFormatting>
  <conditionalFormatting sqref="AI20">
    <cfRule type="containsText" dxfId="4138" priority="4857" operator="containsText" text="FAT">
      <formula>NOT(ISERROR(SEARCH("FAT",AI20)))</formula>
    </cfRule>
    <cfRule type="containsText" dxfId="4137" priority="4858" operator="containsText" text="FIRE">
      <formula>NOT(ISERROR(SEARCH("FIRE",AI20)))</formula>
    </cfRule>
    <cfRule type="containsText" dxfId="4136" priority="4859" operator="containsText" text="COSH">
      <formula>NOT(ISERROR(SEARCH("COSH",AI20)))</formula>
    </cfRule>
  </conditionalFormatting>
  <conditionalFormatting sqref="AI20">
    <cfRule type="containsText" dxfId="4135" priority="4854" operator="containsText" text="FAT">
      <formula>NOT(ISERROR(SEARCH("FAT",AI20)))</formula>
    </cfRule>
    <cfRule type="containsText" dxfId="4134" priority="4855" operator="containsText" text="FIRE">
      <formula>NOT(ISERROR(SEARCH("FIRE",AI20)))</formula>
    </cfRule>
    <cfRule type="containsText" dxfId="4133" priority="4856" operator="containsText" text="COSH">
      <formula>NOT(ISERROR(SEARCH("COSH",AI20)))</formula>
    </cfRule>
  </conditionalFormatting>
  <conditionalFormatting sqref="AI20">
    <cfRule type="containsText" dxfId="4132" priority="4851" operator="containsText" text="FAT">
      <formula>NOT(ISERROR(SEARCH("FAT",AI20)))</formula>
    </cfRule>
    <cfRule type="containsText" dxfId="4131" priority="4852" operator="containsText" text="FIRE">
      <formula>NOT(ISERROR(SEARCH("FIRE",AI20)))</formula>
    </cfRule>
    <cfRule type="containsText" dxfId="4130" priority="4853" operator="containsText" text="COSH">
      <formula>NOT(ISERROR(SEARCH("COSH",AI20)))</formula>
    </cfRule>
  </conditionalFormatting>
  <conditionalFormatting sqref="AI20">
    <cfRule type="containsText" dxfId="4129" priority="4848" operator="containsText" text="FAT">
      <formula>NOT(ISERROR(SEARCH("FAT",AI20)))</formula>
    </cfRule>
    <cfRule type="containsText" dxfId="4128" priority="4849" operator="containsText" text="FIRE">
      <formula>NOT(ISERROR(SEARCH("FIRE",AI20)))</formula>
    </cfRule>
    <cfRule type="containsText" dxfId="4127" priority="4850" operator="containsText" text="COSH">
      <formula>NOT(ISERROR(SEARCH("COSH",AI20)))</formula>
    </cfRule>
  </conditionalFormatting>
  <conditionalFormatting sqref="AI20">
    <cfRule type="containsText" dxfId="4126" priority="4845" operator="containsText" text="FAT">
      <formula>NOT(ISERROR(SEARCH("FAT",AI20)))</formula>
    </cfRule>
    <cfRule type="containsText" dxfId="4125" priority="4846" operator="containsText" text="FIRE">
      <formula>NOT(ISERROR(SEARCH("FIRE",AI20)))</formula>
    </cfRule>
    <cfRule type="containsText" dxfId="4124" priority="4847" operator="containsText" text="COSH">
      <formula>NOT(ISERROR(SEARCH("COSH",AI20)))</formula>
    </cfRule>
  </conditionalFormatting>
  <conditionalFormatting sqref="AI20">
    <cfRule type="containsText" dxfId="4123" priority="4842" operator="containsText" text="FAT">
      <formula>NOT(ISERROR(SEARCH("FAT",AI20)))</formula>
    </cfRule>
    <cfRule type="containsText" dxfId="4122" priority="4843" operator="containsText" text="FIRE">
      <formula>NOT(ISERROR(SEARCH("FIRE",AI20)))</formula>
    </cfRule>
    <cfRule type="containsText" dxfId="4121" priority="4844" operator="containsText" text="COSH">
      <formula>NOT(ISERROR(SEARCH("COSH",AI20)))</formula>
    </cfRule>
  </conditionalFormatting>
  <conditionalFormatting sqref="AI20">
    <cfRule type="containsText" dxfId="4120" priority="4839" operator="containsText" text="FAT">
      <formula>NOT(ISERROR(SEARCH("FAT",AI20)))</formula>
    </cfRule>
    <cfRule type="containsText" dxfId="4119" priority="4840" operator="containsText" text="FIRE">
      <formula>NOT(ISERROR(SEARCH("FIRE",AI20)))</formula>
    </cfRule>
    <cfRule type="containsText" dxfId="4118" priority="4841" operator="containsText" text="COSH">
      <formula>NOT(ISERROR(SEARCH("COSH",AI20)))</formula>
    </cfRule>
  </conditionalFormatting>
  <conditionalFormatting sqref="AI20">
    <cfRule type="containsText" dxfId="4117" priority="4836" operator="containsText" text="FAT">
      <formula>NOT(ISERROR(SEARCH("FAT",AI20)))</formula>
    </cfRule>
    <cfRule type="containsText" dxfId="4116" priority="4837" operator="containsText" text="FIRE">
      <formula>NOT(ISERROR(SEARCH("FIRE",AI20)))</formula>
    </cfRule>
    <cfRule type="containsText" dxfId="4115" priority="4838" operator="containsText" text="COSH">
      <formula>NOT(ISERROR(SEARCH("COSH",AI20)))</formula>
    </cfRule>
  </conditionalFormatting>
  <conditionalFormatting sqref="AI20">
    <cfRule type="containsText" dxfId="4114" priority="4833" operator="containsText" text="FAT">
      <formula>NOT(ISERROR(SEARCH("FAT",AI20)))</formula>
    </cfRule>
    <cfRule type="containsText" dxfId="4113" priority="4834" operator="containsText" text="FIRE">
      <formula>NOT(ISERROR(SEARCH("FIRE",AI20)))</formula>
    </cfRule>
    <cfRule type="containsText" dxfId="4112" priority="4835" operator="containsText" text="COSH">
      <formula>NOT(ISERROR(SEARCH("COSH",AI20)))</formula>
    </cfRule>
  </conditionalFormatting>
  <conditionalFormatting sqref="AI20">
    <cfRule type="containsText" dxfId="4111" priority="4830" operator="containsText" text="FAT">
      <formula>NOT(ISERROR(SEARCH("FAT",AI20)))</formula>
    </cfRule>
    <cfRule type="containsText" dxfId="4110" priority="4831" operator="containsText" text="FIRE">
      <formula>NOT(ISERROR(SEARCH("FIRE",AI20)))</formula>
    </cfRule>
    <cfRule type="containsText" dxfId="4109" priority="4832" operator="containsText" text="COSH">
      <formula>NOT(ISERROR(SEARCH("COSH",AI20)))</formula>
    </cfRule>
  </conditionalFormatting>
  <conditionalFormatting sqref="AI20">
    <cfRule type="containsText" dxfId="4108" priority="4827" operator="containsText" text="FAT">
      <formula>NOT(ISERROR(SEARCH("FAT",AI20)))</formula>
    </cfRule>
    <cfRule type="containsText" dxfId="4107" priority="4828" operator="containsText" text="FIRE">
      <formula>NOT(ISERROR(SEARCH("FIRE",AI20)))</formula>
    </cfRule>
    <cfRule type="containsText" dxfId="4106" priority="4829" operator="containsText" text="COSH">
      <formula>NOT(ISERROR(SEARCH("COSH",AI20)))</formula>
    </cfRule>
  </conditionalFormatting>
  <conditionalFormatting sqref="AI20">
    <cfRule type="containsText" dxfId="4105" priority="4824" operator="containsText" text="FAT">
      <formula>NOT(ISERROR(SEARCH("FAT",AI20)))</formula>
    </cfRule>
    <cfRule type="containsText" dxfId="4104" priority="4825" operator="containsText" text="FIRE">
      <formula>NOT(ISERROR(SEARCH("FIRE",AI20)))</formula>
    </cfRule>
    <cfRule type="containsText" dxfId="4103" priority="4826" operator="containsText" text="COSH">
      <formula>NOT(ISERROR(SEARCH("COSH",AI20)))</formula>
    </cfRule>
  </conditionalFormatting>
  <conditionalFormatting sqref="N11">
    <cfRule type="containsText" dxfId="4102" priority="4821" operator="containsText" text="FAT">
      <formula>NOT(ISERROR(SEARCH("FAT",N11)))</formula>
    </cfRule>
    <cfRule type="containsText" dxfId="4101" priority="4822" operator="containsText" text="FIRE">
      <formula>NOT(ISERROR(SEARCH("FIRE",N11)))</formula>
    </cfRule>
    <cfRule type="containsText" dxfId="4100" priority="4823" operator="containsText" text="COSH">
      <formula>NOT(ISERROR(SEARCH("COSH",N11)))</formula>
    </cfRule>
  </conditionalFormatting>
  <conditionalFormatting sqref="N11">
    <cfRule type="containsText" dxfId="4099" priority="4818" operator="containsText" text="FAT">
      <formula>NOT(ISERROR(SEARCH("FAT",N11)))</formula>
    </cfRule>
    <cfRule type="containsText" dxfId="4098" priority="4819" operator="containsText" text="FIRE">
      <formula>NOT(ISERROR(SEARCH("FIRE",N11)))</formula>
    </cfRule>
    <cfRule type="containsText" dxfId="4097" priority="4820" operator="containsText" text="COSH">
      <formula>NOT(ISERROR(SEARCH("COSH",N11)))</formula>
    </cfRule>
  </conditionalFormatting>
  <conditionalFormatting sqref="N11">
    <cfRule type="cellIs" dxfId="4096" priority="4817" operator="between">
      <formula>1</formula>
      <formula>3</formula>
    </cfRule>
  </conditionalFormatting>
  <conditionalFormatting sqref="N11">
    <cfRule type="cellIs" dxfId="4095" priority="4816" operator="equal">
      <formula>0</formula>
    </cfRule>
  </conditionalFormatting>
  <conditionalFormatting sqref="U22:AA22">
    <cfRule type="containsText" dxfId="4094" priority="4813" operator="containsText" text="FAT">
      <formula>NOT(ISERROR(SEARCH("FAT",U22)))</formula>
    </cfRule>
    <cfRule type="containsText" dxfId="4093" priority="4814" operator="containsText" text="FIRE">
      <formula>NOT(ISERROR(SEARCH("FIRE",U22)))</formula>
    </cfRule>
    <cfRule type="containsText" dxfId="4092" priority="4815" operator="containsText" text="COSH">
      <formula>NOT(ISERROR(SEARCH("COSH",U22)))</formula>
    </cfRule>
  </conditionalFormatting>
  <conditionalFormatting sqref="U22:AA22">
    <cfRule type="containsText" dxfId="4091" priority="4810" operator="containsText" text="FAT">
      <formula>NOT(ISERROR(SEARCH("FAT",U22)))</formula>
    </cfRule>
    <cfRule type="containsText" dxfId="4090" priority="4811" operator="containsText" text="FIRE">
      <formula>NOT(ISERROR(SEARCH("FIRE",U22)))</formula>
    </cfRule>
    <cfRule type="containsText" dxfId="4089" priority="4812" operator="containsText" text="COSH">
      <formula>NOT(ISERROR(SEARCH("COSH",U22)))</formula>
    </cfRule>
  </conditionalFormatting>
  <conditionalFormatting sqref="U22:AA22">
    <cfRule type="containsText" dxfId="4088" priority="4807" operator="containsText" text="FAT">
      <formula>NOT(ISERROR(SEARCH("FAT",U22)))</formula>
    </cfRule>
    <cfRule type="containsText" dxfId="4087" priority="4808" operator="containsText" text="FIRE">
      <formula>NOT(ISERROR(SEARCH("FIRE",U22)))</formula>
    </cfRule>
    <cfRule type="containsText" dxfId="4086" priority="4809" operator="containsText" text="COSH">
      <formula>NOT(ISERROR(SEARCH("COSH",U22)))</formula>
    </cfRule>
  </conditionalFormatting>
  <conditionalFormatting sqref="AI11:AI12">
    <cfRule type="containsText" dxfId="4085" priority="4804" operator="containsText" text="FAT">
      <formula>NOT(ISERROR(SEARCH("FAT",AI11)))</formula>
    </cfRule>
    <cfRule type="containsText" dxfId="4084" priority="4805" operator="containsText" text="FIRE">
      <formula>NOT(ISERROR(SEARCH("FIRE",AI11)))</formula>
    </cfRule>
    <cfRule type="containsText" dxfId="4083" priority="4806" operator="containsText" text="COSH">
      <formula>NOT(ISERROR(SEARCH("COSH",AI11)))</formula>
    </cfRule>
  </conditionalFormatting>
  <conditionalFormatting sqref="AI16:AI17">
    <cfRule type="containsText" dxfId="4082" priority="4801" operator="containsText" text="FAT">
      <formula>NOT(ISERROR(SEARCH("FAT",AI16)))</formula>
    </cfRule>
    <cfRule type="containsText" dxfId="4081" priority="4802" operator="containsText" text="FIRE">
      <formula>NOT(ISERROR(SEARCH("FIRE",AI16)))</formula>
    </cfRule>
    <cfRule type="containsText" dxfId="4080" priority="4803" operator="containsText" text="COSH">
      <formula>NOT(ISERROR(SEARCH("COSH",AI16)))</formula>
    </cfRule>
  </conditionalFormatting>
  <conditionalFormatting sqref="AI18:AI20">
    <cfRule type="containsText" dxfId="4079" priority="4798" operator="containsText" text="FAT">
      <formula>NOT(ISERROR(SEARCH("FAT",AI18)))</formula>
    </cfRule>
    <cfRule type="containsText" dxfId="4078" priority="4799" operator="containsText" text="FIRE">
      <formula>NOT(ISERROR(SEARCH("FIRE",AI18)))</formula>
    </cfRule>
    <cfRule type="containsText" dxfId="4077" priority="4800" operator="containsText" text="COSH">
      <formula>NOT(ISERROR(SEARCH("COSH",AI18)))</formula>
    </cfRule>
  </conditionalFormatting>
  <conditionalFormatting sqref="AI28">
    <cfRule type="containsText" dxfId="4076" priority="4795" operator="containsText" text="FAT">
      <formula>NOT(ISERROR(SEARCH("FAT",AI28)))</formula>
    </cfRule>
    <cfRule type="containsText" dxfId="4075" priority="4796" operator="containsText" text="FIRE">
      <formula>NOT(ISERROR(SEARCH("FIRE",AI28)))</formula>
    </cfRule>
    <cfRule type="containsText" dxfId="4074" priority="4797" operator="containsText" text="COSH">
      <formula>NOT(ISERROR(SEARCH("COSH",AI28)))</formula>
    </cfRule>
  </conditionalFormatting>
  <conditionalFormatting sqref="AI27">
    <cfRule type="containsText" dxfId="4073" priority="4792" operator="containsText" text="FAT">
      <formula>NOT(ISERROR(SEARCH("FAT",AI27)))</formula>
    </cfRule>
    <cfRule type="containsText" dxfId="4072" priority="4793" operator="containsText" text="FIRE">
      <formula>NOT(ISERROR(SEARCH("FIRE",AI27)))</formula>
    </cfRule>
    <cfRule type="containsText" dxfId="4071" priority="4794" operator="containsText" text="COSH">
      <formula>NOT(ISERROR(SEARCH("COSH",AI27)))</formula>
    </cfRule>
  </conditionalFormatting>
  <conditionalFormatting sqref="N13:P26 U13:AJ13 Q26:S26 U26:AB26 Q25:AA25">
    <cfRule type="containsText" dxfId="4070" priority="4789" operator="containsText" text="FAT">
      <formula>NOT(ISERROR(SEARCH("FAT",N13)))</formula>
    </cfRule>
    <cfRule type="containsText" dxfId="4069" priority="4790" operator="containsText" text="FIRE">
      <formula>NOT(ISERROR(SEARCH("FIRE",N13)))</formula>
    </cfRule>
    <cfRule type="containsText" dxfId="4068" priority="4791" operator="containsText" text="COSH">
      <formula>NOT(ISERROR(SEARCH("COSH",N13)))</formula>
    </cfRule>
  </conditionalFormatting>
  <conditionalFormatting sqref="N13:P26 U13:AJ13 Q26:S26 U26:AB26 Q25:AA25">
    <cfRule type="containsText" dxfId="4067" priority="4786" operator="containsText" text="FAT">
      <formula>NOT(ISERROR(SEARCH("FAT",N13)))</formula>
    </cfRule>
    <cfRule type="containsText" dxfId="4066" priority="4787" operator="containsText" text="FIRE">
      <formula>NOT(ISERROR(SEARCH("FIRE",N13)))</formula>
    </cfRule>
    <cfRule type="containsText" dxfId="4065" priority="4788" operator="containsText" text="COSH">
      <formula>NOT(ISERROR(SEARCH("COSH",N13)))</formula>
    </cfRule>
  </conditionalFormatting>
  <conditionalFormatting sqref="D67:D87">
    <cfRule type="containsText" dxfId="4064" priority="4783" operator="containsText" text="FAT">
      <formula>NOT(ISERROR(SEARCH("FAT",D67)))</formula>
    </cfRule>
    <cfRule type="containsText" dxfId="4063" priority="4784" operator="containsText" text="FIRE">
      <formula>NOT(ISERROR(SEARCH("FIRE",D67)))</formula>
    </cfRule>
    <cfRule type="containsText" dxfId="4062" priority="4785" operator="containsText" text="COSH">
      <formula>NOT(ISERROR(SEARCH("COSH",D67)))</formula>
    </cfRule>
  </conditionalFormatting>
  <conditionalFormatting sqref="AF70 P70 W70 I70:K70 R70 AO70:AQ70 I72 I74 I76 I78 I80 I82 I84 I86 I88">
    <cfRule type="containsText" dxfId="4061" priority="4780" operator="containsText" text="FAT">
      <formula>NOT(ISERROR(SEARCH("FAT",I70)))</formula>
    </cfRule>
    <cfRule type="containsText" dxfId="4060" priority="4781" operator="containsText" text="FIRE">
      <formula>NOT(ISERROR(SEARCH("FIRE",I70)))</formula>
    </cfRule>
    <cfRule type="containsText" dxfId="4059" priority="4782" operator="containsText" text="COSH">
      <formula>NOT(ISERROR(SEARCH("COSH",I70)))</formula>
    </cfRule>
  </conditionalFormatting>
  <conditionalFormatting sqref="J70">
    <cfRule type="containsText" dxfId="4058" priority="4777" operator="containsText" text="FAT">
      <formula>NOT(ISERROR(SEARCH("FAT",J70)))</formula>
    </cfRule>
    <cfRule type="containsText" dxfId="4057" priority="4778" operator="containsText" text="FIRE">
      <formula>NOT(ISERROR(SEARCH("FIRE",J70)))</formula>
    </cfRule>
    <cfRule type="containsText" dxfId="4056" priority="4779" operator="containsText" text="COSH">
      <formula>NOT(ISERROR(SEARCH("COSH",J70)))</formula>
    </cfRule>
  </conditionalFormatting>
  <conditionalFormatting sqref="X70">
    <cfRule type="containsText" dxfId="4055" priority="4774" operator="containsText" text="FAT">
      <formula>NOT(ISERROR(SEARCH("FAT",X70)))</formula>
    </cfRule>
    <cfRule type="containsText" dxfId="4054" priority="4775" operator="containsText" text="FIRE">
      <formula>NOT(ISERROR(SEARCH("FIRE",X70)))</formula>
    </cfRule>
    <cfRule type="containsText" dxfId="4053" priority="4776" operator="containsText" text="COSH">
      <formula>NOT(ISERROR(SEARCH("COSH",X70)))</formula>
    </cfRule>
  </conditionalFormatting>
  <conditionalFormatting sqref="X70">
    <cfRule type="containsText" dxfId="4052" priority="4771" operator="containsText" text="FAT">
      <formula>NOT(ISERROR(SEARCH("FAT",X70)))</formula>
    </cfRule>
    <cfRule type="containsText" dxfId="4051" priority="4772" operator="containsText" text="FIRE">
      <formula>NOT(ISERROR(SEARCH("FIRE",X70)))</formula>
    </cfRule>
    <cfRule type="containsText" dxfId="4050" priority="4773" operator="containsText" text="COSH">
      <formula>NOT(ISERROR(SEARCH("COSH",X70)))</formula>
    </cfRule>
  </conditionalFormatting>
  <conditionalFormatting sqref="AD70">
    <cfRule type="containsText" dxfId="4049" priority="4768" operator="containsText" text="FAT">
      <formula>NOT(ISERROR(SEARCH("FAT",AD70)))</formula>
    </cfRule>
    <cfRule type="containsText" dxfId="4048" priority="4769" operator="containsText" text="FIRE">
      <formula>NOT(ISERROR(SEARCH("FIRE",AD70)))</formula>
    </cfRule>
    <cfRule type="containsText" dxfId="4047" priority="4770" operator="containsText" text="COSH">
      <formula>NOT(ISERROR(SEARCH("COSH",AD70)))</formula>
    </cfRule>
  </conditionalFormatting>
  <conditionalFormatting sqref="AD70">
    <cfRule type="containsText" dxfId="4046" priority="4765" operator="containsText" text="FAT">
      <formula>NOT(ISERROR(SEARCH("FAT",AD70)))</formula>
    </cfRule>
    <cfRule type="containsText" dxfId="4045" priority="4766" operator="containsText" text="FIRE">
      <formula>NOT(ISERROR(SEARCH("FIRE",AD70)))</formula>
    </cfRule>
    <cfRule type="containsText" dxfId="4044" priority="4767" operator="containsText" text="COSH">
      <formula>NOT(ISERROR(SEARCH("COSH",AD70)))</formula>
    </cfRule>
  </conditionalFormatting>
  <conditionalFormatting sqref="AF70">
    <cfRule type="containsText" dxfId="4043" priority="4762" operator="containsText" text="FAT">
      <formula>NOT(ISERROR(SEARCH("FAT",AF70)))</formula>
    </cfRule>
    <cfRule type="containsText" dxfId="4042" priority="4763" operator="containsText" text="FIRE">
      <formula>NOT(ISERROR(SEARCH("FIRE",AF70)))</formula>
    </cfRule>
    <cfRule type="containsText" dxfId="4041" priority="4764" operator="containsText" text="COSH">
      <formula>NOT(ISERROR(SEARCH("COSH",AF70)))</formula>
    </cfRule>
  </conditionalFormatting>
  <conditionalFormatting sqref="F70">
    <cfRule type="containsText" dxfId="4040" priority="4759" operator="containsText" text="FAT">
      <formula>NOT(ISERROR(SEARCH("FAT",#REF!)))</formula>
    </cfRule>
    <cfRule type="containsText" dxfId="4039" priority="4760" operator="containsText" text="FIRE">
      <formula>NOT(ISERROR(SEARCH("FIRE",#REF!)))</formula>
    </cfRule>
    <cfRule type="containsText" dxfId="4038" priority="4761" operator="containsText" text="COSH">
      <formula>NOT(ISERROR(SEARCH("COSH",#REF!)))</formula>
    </cfRule>
  </conditionalFormatting>
  <conditionalFormatting sqref="G70">
    <cfRule type="containsText" dxfId="4037" priority="4756" operator="containsText" text="FAT">
      <formula>NOT(ISERROR(SEARCH("FAT",G70)))</formula>
    </cfRule>
    <cfRule type="containsText" dxfId="4036" priority="4757" operator="containsText" text="FIRE">
      <formula>NOT(ISERROR(SEARCH("FIRE",G70)))</formula>
    </cfRule>
    <cfRule type="containsText" dxfId="4035" priority="4758" operator="containsText" text="COSH">
      <formula>NOT(ISERROR(SEARCH("COSH",G70)))</formula>
    </cfRule>
  </conditionalFormatting>
  <conditionalFormatting sqref="N70">
    <cfRule type="containsText" dxfId="4034" priority="4753" operator="containsText" text="FAT">
      <formula>NOT(ISERROR(SEARCH("FAT",N70)))</formula>
    </cfRule>
    <cfRule type="containsText" dxfId="4033" priority="4754" operator="containsText" text="FIRE">
      <formula>NOT(ISERROR(SEARCH("FIRE",N70)))</formula>
    </cfRule>
    <cfRule type="containsText" dxfId="4032" priority="4755" operator="containsText" text="COSH">
      <formula>NOT(ISERROR(SEARCH("COSH",N70)))</formula>
    </cfRule>
  </conditionalFormatting>
  <conditionalFormatting sqref="T70:U70">
    <cfRule type="containsText" dxfId="4031" priority="4750" operator="containsText" text="FAT">
      <formula>NOT(ISERROR(SEARCH("FAT",T70)))</formula>
    </cfRule>
    <cfRule type="containsText" dxfId="4030" priority="4751" operator="containsText" text="FIRE">
      <formula>NOT(ISERROR(SEARCH("FIRE",T70)))</formula>
    </cfRule>
    <cfRule type="containsText" dxfId="4029" priority="4752" operator="containsText" text="COSH">
      <formula>NOT(ISERROR(SEARCH("COSH",T70)))</formula>
    </cfRule>
  </conditionalFormatting>
  <conditionalFormatting sqref="AA70:AB70">
    <cfRule type="containsText" dxfId="4028" priority="4747" operator="containsText" text="FAT">
      <formula>NOT(ISERROR(SEARCH("FAT",AA70)))</formula>
    </cfRule>
    <cfRule type="containsText" dxfId="4027" priority="4748" operator="containsText" text="FIRE">
      <formula>NOT(ISERROR(SEARCH("FIRE",AA70)))</formula>
    </cfRule>
    <cfRule type="containsText" dxfId="4026" priority="4749" operator="containsText" text="COSH">
      <formula>NOT(ISERROR(SEARCH("COSH",AA70)))</formula>
    </cfRule>
  </conditionalFormatting>
  <conditionalFormatting sqref="AI70">
    <cfRule type="containsText" dxfId="4025" priority="4744" operator="containsText" text="FAT">
      <formula>NOT(ISERROR(SEARCH("FAT",AI70)))</formula>
    </cfRule>
    <cfRule type="containsText" dxfId="4024" priority="4745" operator="containsText" text="FIRE">
      <formula>NOT(ISERROR(SEARCH("FIRE",AI70)))</formula>
    </cfRule>
    <cfRule type="containsText" dxfId="4023" priority="4746" operator="containsText" text="COSH">
      <formula>NOT(ISERROR(SEARCH("COSH",AI70)))</formula>
    </cfRule>
  </conditionalFormatting>
  <conditionalFormatting sqref="L70:M70">
    <cfRule type="containsText" dxfId="4022" priority="4741" operator="containsText" text="FAT">
      <formula>NOT(ISERROR(SEARCH("FAT",L70)))</formula>
    </cfRule>
    <cfRule type="containsText" dxfId="4021" priority="4742" operator="containsText" text="FIRE">
      <formula>NOT(ISERROR(SEARCH("FIRE",L70)))</formula>
    </cfRule>
    <cfRule type="containsText" dxfId="4020" priority="4743" operator="containsText" text="COSH">
      <formula>NOT(ISERROR(SEARCH("COSH",L70)))</formula>
    </cfRule>
  </conditionalFormatting>
  <conditionalFormatting sqref="L70">
    <cfRule type="containsText" dxfId="4019" priority="4738" operator="containsText" text="FAT">
      <formula>NOT(ISERROR(SEARCH("FAT",L70)))</formula>
    </cfRule>
    <cfRule type="containsText" dxfId="4018" priority="4739" operator="containsText" text="FIRE">
      <formula>NOT(ISERROR(SEARCH("FIRE",L70)))</formula>
    </cfRule>
    <cfRule type="containsText" dxfId="4017" priority="4740" operator="containsText" text="COSH">
      <formula>NOT(ISERROR(SEARCH("COSH",L70)))</formula>
    </cfRule>
  </conditionalFormatting>
  <conditionalFormatting sqref="S70">
    <cfRule type="containsText" dxfId="4016" priority="4735" operator="containsText" text="FAT">
      <formula>NOT(ISERROR(SEARCH("FAT",S70)))</formula>
    </cfRule>
    <cfRule type="containsText" dxfId="4015" priority="4736" operator="containsText" text="FIRE">
      <formula>NOT(ISERROR(SEARCH("FIRE",S70)))</formula>
    </cfRule>
    <cfRule type="containsText" dxfId="4014" priority="4737" operator="containsText" text="COSH">
      <formula>NOT(ISERROR(SEARCH("COSH",S70)))</formula>
    </cfRule>
  </conditionalFormatting>
  <conditionalFormatting sqref="Y70">
    <cfRule type="containsText" dxfId="4013" priority="4732" operator="containsText" text="FAT">
      <formula>NOT(ISERROR(SEARCH("FAT",Y70)))</formula>
    </cfRule>
    <cfRule type="containsText" dxfId="4012" priority="4733" operator="containsText" text="FIRE">
      <formula>NOT(ISERROR(SEARCH("FIRE",Y70)))</formula>
    </cfRule>
    <cfRule type="containsText" dxfId="4011" priority="4734" operator="containsText" text="COSH">
      <formula>NOT(ISERROR(SEARCH("COSH",Y70)))</formula>
    </cfRule>
  </conditionalFormatting>
  <conditionalFormatting sqref="AG70">
    <cfRule type="containsText" dxfId="4010" priority="4729" operator="containsText" text="FAT">
      <formula>NOT(ISERROR(SEARCH("FAT",AG70)))</formula>
    </cfRule>
    <cfRule type="containsText" dxfId="4009" priority="4730" operator="containsText" text="FIRE">
      <formula>NOT(ISERROR(SEARCH("FIRE",AG70)))</formula>
    </cfRule>
    <cfRule type="containsText" dxfId="4008" priority="4731" operator="containsText" text="COSH">
      <formula>NOT(ISERROR(SEARCH("COSH",AG70)))</formula>
    </cfRule>
  </conditionalFormatting>
  <conditionalFormatting sqref="V70">
    <cfRule type="containsText" dxfId="4007" priority="4726" operator="containsText" text="FAT">
      <formula>NOT(ISERROR(SEARCH("FAT",V70)))</formula>
    </cfRule>
    <cfRule type="containsText" dxfId="4006" priority="4727" operator="containsText" text="FIRE">
      <formula>NOT(ISERROR(SEARCH("FIRE",V70)))</formula>
    </cfRule>
    <cfRule type="containsText" dxfId="4005" priority="4728" operator="containsText" text="COSH">
      <formula>NOT(ISERROR(SEARCH("COSH",V70)))</formula>
    </cfRule>
  </conditionalFormatting>
  <conditionalFormatting sqref="AC70">
    <cfRule type="containsText" dxfId="4004" priority="4723" operator="containsText" text="FAT">
      <formula>NOT(ISERROR(SEARCH("FAT",AC70)))</formula>
    </cfRule>
    <cfRule type="containsText" dxfId="4003" priority="4724" operator="containsText" text="FIRE">
      <formula>NOT(ISERROR(SEARCH("FIRE",AC70)))</formula>
    </cfRule>
    <cfRule type="containsText" dxfId="4002" priority="4725" operator="containsText" text="COSH">
      <formula>NOT(ISERROR(SEARCH("COSH",AC70)))</formula>
    </cfRule>
  </conditionalFormatting>
  <conditionalFormatting sqref="AK70">
    <cfRule type="containsText" dxfId="4001" priority="4720" operator="containsText" text="FAT">
      <formula>NOT(ISERROR(SEARCH("FAT",AK70)))</formula>
    </cfRule>
    <cfRule type="containsText" dxfId="4000" priority="4721" operator="containsText" text="FIRE">
      <formula>NOT(ISERROR(SEARCH("FIRE",AK70)))</formula>
    </cfRule>
    <cfRule type="containsText" dxfId="3999" priority="4722" operator="containsText" text="COSH">
      <formula>NOT(ISERROR(SEARCH("COSH",AK70)))</formula>
    </cfRule>
  </conditionalFormatting>
  <conditionalFormatting sqref="M70">
    <cfRule type="containsText" dxfId="3998" priority="4717" operator="containsText" text="FAT">
      <formula>NOT(ISERROR(SEARCH("FAT",M70)))</formula>
    </cfRule>
    <cfRule type="containsText" dxfId="3997" priority="4718" operator="containsText" text="FIRE">
      <formula>NOT(ISERROR(SEARCH("FIRE",M70)))</formula>
    </cfRule>
    <cfRule type="containsText" dxfId="3996" priority="4719" operator="containsText" text="COSH">
      <formula>NOT(ISERROR(SEARCH("COSH",M70)))</formula>
    </cfRule>
  </conditionalFormatting>
  <conditionalFormatting sqref="T70">
    <cfRule type="containsText" dxfId="3995" priority="4714" operator="containsText" text="FAT">
      <formula>NOT(ISERROR(SEARCH("FAT",T70)))</formula>
    </cfRule>
    <cfRule type="containsText" dxfId="3994" priority="4715" operator="containsText" text="FIRE">
      <formula>NOT(ISERROR(SEARCH("FIRE",T70)))</formula>
    </cfRule>
    <cfRule type="containsText" dxfId="3993" priority="4716" operator="containsText" text="COSH">
      <formula>NOT(ISERROR(SEARCH("COSH",T70)))</formula>
    </cfRule>
  </conditionalFormatting>
  <conditionalFormatting sqref="AA70">
    <cfRule type="containsText" dxfId="3992" priority="4711" operator="containsText" text="FAT">
      <formula>NOT(ISERROR(SEARCH("FAT",AA70)))</formula>
    </cfRule>
    <cfRule type="containsText" dxfId="3991" priority="4712" operator="containsText" text="FIRE">
      <formula>NOT(ISERROR(SEARCH("FIRE",AA70)))</formula>
    </cfRule>
    <cfRule type="containsText" dxfId="3990" priority="4713" operator="containsText" text="COSH">
      <formula>NOT(ISERROR(SEARCH("COSH",AA70)))</formula>
    </cfRule>
  </conditionalFormatting>
  <conditionalFormatting sqref="AH70">
    <cfRule type="containsText" dxfId="3989" priority="4708" operator="containsText" text="FAT">
      <formula>NOT(ISERROR(SEARCH("FAT",AH70)))</formula>
    </cfRule>
    <cfRule type="containsText" dxfId="3988" priority="4709" operator="containsText" text="FIRE">
      <formula>NOT(ISERROR(SEARCH("FIRE",AH70)))</formula>
    </cfRule>
    <cfRule type="containsText" dxfId="3987" priority="4710" operator="containsText" text="COSH">
      <formula>NOT(ISERROR(SEARCH("COSH",AH70)))</formula>
    </cfRule>
  </conditionalFormatting>
  <conditionalFormatting sqref="AD70">
    <cfRule type="containsText" dxfId="3986" priority="4704" operator="containsText" text="FAT">
      <formula>NOT(ISERROR(SEARCH("FAT",AD70)))</formula>
    </cfRule>
    <cfRule type="containsText" dxfId="3985" priority="4705" operator="containsText" text="FIRE">
      <formula>NOT(ISERROR(SEARCH("FIRE",AD70)))</formula>
    </cfRule>
    <cfRule type="containsText" dxfId="3984" priority="4706" operator="containsText" text="COSH">
      <formula>NOT(ISERROR(SEARCH("COSH",AD70)))</formula>
    </cfRule>
  </conditionalFormatting>
  <conditionalFormatting sqref="AD70">
    <cfRule type="containsText" dxfId="3983" priority="4701" operator="containsText" text="FAT">
      <formula>NOT(ISERROR(SEARCH("FAT",AD70)))</formula>
    </cfRule>
    <cfRule type="containsText" dxfId="3982" priority="4702" operator="containsText" text="FIRE">
      <formula>NOT(ISERROR(SEARCH("FIRE",AD70)))</formula>
    </cfRule>
    <cfRule type="containsText" dxfId="3981" priority="4703" operator="containsText" text="COSH">
      <formula>NOT(ISERROR(SEARCH("COSH",AD70)))</formula>
    </cfRule>
  </conditionalFormatting>
  <conditionalFormatting sqref="AD70">
    <cfRule type="containsText" dxfId="3980" priority="4698" operator="containsText" text="FAT">
      <formula>NOT(ISERROR(SEARCH("FAT",AD70)))</formula>
    </cfRule>
    <cfRule type="containsText" dxfId="3979" priority="4699" operator="containsText" text="FIRE">
      <formula>NOT(ISERROR(SEARCH("FIRE",AD70)))</formula>
    </cfRule>
    <cfRule type="containsText" dxfId="3978" priority="4700" operator="containsText" text="COSH">
      <formula>NOT(ISERROR(SEARCH("COSH",AD70)))</formula>
    </cfRule>
  </conditionalFormatting>
  <conditionalFormatting sqref="AD70">
    <cfRule type="containsText" dxfId="3977" priority="4695" operator="containsText" text="FAT">
      <formula>NOT(ISERROR(SEARCH("FAT",AD70)))</formula>
    </cfRule>
    <cfRule type="containsText" dxfId="3976" priority="4696" operator="containsText" text="FIRE">
      <formula>NOT(ISERROR(SEARCH("FIRE",AD70)))</formula>
    </cfRule>
    <cfRule type="containsText" dxfId="3975" priority="4697" operator="containsText" text="COSH">
      <formula>NOT(ISERROR(SEARCH("COSH",AD70)))</formula>
    </cfRule>
  </conditionalFormatting>
  <conditionalFormatting sqref="AD70">
    <cfRule type="containsText" dxfId="3974" priority="4692" operator="containsText" text="FAT">
      <formula>NOT(ISERROR(SEARCH("FAT",AD70)))</formula>
    </cfRule>
    <cfRule type="containsText" dxfId="3973" priority="4693" operator="containsText" text="FIRE">
      <formula>NOT(ISERROR(SEARCH("FIRE",AD70)))</formula>
    </cfRule>
    <cfRule type="containsText" dxfId="3972" priority="4694" operator="containsText" text="COSH">
      <formula>NOT(ISERROR(SEARCH("COSH",AD70)))</formula>
    </cfRule>
  </conditionalFormatting>
  <conditionalFormatting sqref="AD70">
    <cfRule type="containsText" dxfId="3971" priority="4689" operator="containsText" text="FAT">
      <formula>NOT(ISERROR(SEARCH("FAT",AD70)))</formula>
    </cfRule>
    <cfRule type="containsText" dxfId="3970" priority="4690" operator="containsText" text="FIRE">
      <formula>NOT(ISERROR(SEARCH("FIRE",AD70)))</formula>
    </cfRule>
    <cfRule type="containsText" dxfId="3969" priority="4691" operator="containsText" text="COSH">
      <formula>NOT(ISERROR(SEARCH("COSH",AD70)))</formula>
    </cfRule>
  </conditionalFormatting>
  <conditionalFormatting sqref="AD70">
    <cfRule type="containsText" dxfId="3968" priority="4686" operator="containsText" text="FAT">
      <formula>NOT(ISERROR(SEARCH("FAT",AD70)))</formula>
    </cfRule>
    <cfRule type="containsText" dxfId="3967" priority="4687" operator="containsText" text="FIRE">
      <formula>NOT(ISERROR(SEARCH("FIRE",AD70)))</formula>
    </cfRule>
    <cfRule type="containsText" dxfId="3966" priority="4688" operator="containsText" text="COSH">
      <formula>NOT(ISERROR(SEARCH("COSH",AD70)))</formula>
    </cfRule>
  </conditionalFormatting>
  <conditionalFormatting sqref="AD70">
    <cfRule type="containsText" dxfId="3965" priority="4683" operator="containsText" text="FAT">
      <formula>NOT(ISERROR(SEARCH("FAT",AD70)))</formula>
    </cfRule>
    <cfRule type="containsText" dxfId="3964" priority="4684" operator="containsText" text="FIRE">
      <formula>NOT(ISERROR(SEARCH("FIRE",AD70)))</formula>
    </cfRule>
    <cfRule type="containsText" dxfId="3963" priority="4685" operator="containsText" text="COSH">
      <formula>NOT(ISERROR(SEARCH("COSH",AD70)))</formula>
    </cfRule>
  </conditionalFormatting>
  <conditionalFormatting sqref="AD70">
    <cfRule type="containsText" dxfId="3962" priority="4680" operator="containsText" text="FAT">
      <formula>NOT(ISERROR(SEARCH("FAT",AD70)))</formula>
    </cfRule>
    <cfRule type="containsText" dxfId="3961" priority="4681" operator="containsText" text="FIRE">
      <formula>NOT(ISERROR(SEARCH("FIRE",AD70)))</formula>
    </cfRule>
    <cfRule type="containsText" dxfId="3960" priority="4682" operator="containsText" text="COSH">
      <formula>NOT(ISERROR(SEARCH("COSH",AD70)))</formula>
    </cfRule>
  </conditionalFormatting>
  <conditionalFormatting sqref="AD70">
    <cfRule type="containsText" dxfId="3959" priority="4677" operator="containsText" text="FAT">
      <formula>NOT(ISERROR(SEARCH("FAT",AD70)))</formula>
    </cfRule>
    <cfRule type="containsText" dxfId="3958" priority="4678" operator="containsText" text="FIRE">
      <formula>NOT(ISERROR(SEARCH("FIRE",AD70)))</formula>
    </cfRule>
    <cfRule type="containsText" dxfId="3957" priority="4679" operator="containsText" text="COSH">
      <formula>NOT(ISERROR(SEARCH("COSH",AD70)))</formula>
    </cfRule>
  </conditionalFormatting>
  <conditionalFormatting sqref="R70">
    <cfRule type="containsText" dxfId="3956" priority="4674" operator="containsText" text="FAT">
      <formula>NOT(ISERROR(SEARCH("FAT",R70)))</formula>
    </cfRule>
    <cfRule type="containsText" dxfId="3955" priority="4675" operator="containsText" text="FIRE">
      <formula>NOT(ISERROR(SEARCH("FIRE",R70)))</formula>
    </cfRule>
    <cfRule type="containsText" dxfId="3954" priority="4676" operator="containsText" text="COSH">
      <formula>NOT(ISERROR(SEARCH("COSH",R70)))</formula>
    </cfRule>
  </conditionalFormatting>
  <conditionalFormatting sqref="S70">
    <cfRule type="containsText" dxfId="3953" priority="4671" operator="containsText" text="FAT">
      <formula>NOT(ISERROR(SEARCH("FAT",S70)))</formula>
    </cfRule>
    <cfRule type="containsText" dxfId="3952" priority="4672" operator="containsText" text="FIRE">
      <formula>NOT(ISERROR(SEARCH("FIRE",S70)))</formula>
    </cfRule>
    <cfRule type="containsText" dxfId="3951" priority="4673" operator="containsText" text="COSH">
      <formula>NOT(ISERROR(SEARCH("COSH",S70)))</formula>
    </cfRule>
  </conditionalFormatting>
  <conditionalFormatting sqref="T70">
    <cfRule type="containsText" dxfId="3950" priority="4668" operator="containsText" text="FAT">
      <formula>NOT(ISERROR(SEARCH("FAT",T70)))</formula>
    </cfRule>
    <cfRule type="containsText" dxfId="3949" priority="4669" operator="containsText" text="FIRE">
      <formula>NOT(ISERROR(SEARCH("FIRE",T70)))</formula>
    </cfRule>
    <cfRule type="containsText" dxfId="3948" priority="4670" operator="containsText" text="COSH">
      <formula>NOT(ISERROR(SEARCH("COSH",T70)))</formula>
    </cfRule>
  </conditionalFormatting>
  <conditionalFormatting sqref="R70:S70">
    <cfRule type="containsText" dxfId="3947" priority="4665" operator="containsText" text="FAT">
      <formula>NOT(ISERROR(SEARCH("FAT",R70)))</formula>
    </cfRule>
    <cfRule type="containsText" dxfId="3946" priority="4666" operator="containsText" text="FIRE">
      <formula>NOT(ISERROR(SEARCH("FIRE",R70)))</formula>
    </cfRule>
    <cfRule type="containsText" dxfId="3945" priority="4667" operator="containsText" text="COSH">
      <formula>NOT(ISERROR(SEARCH("COSH",R70)))</formula>
    </cfRule>
  </conditionalFormatting>
  <conditionalFormatting sqref="R70:S70">
    <cfRule type="containsText" dxfId="3944" priority="4662" operator="containsText" text="FAT">
      <formula>NOT(ISERROR(SEARCH("FAT",R70)))</formula>
    </cfRule>
    <cfRule type="containsText" dxfId="3943" priority="4663" operator="containsText" text="FIRE">
      <formula>NOT(ISERROR(SEARCH("FIRE",R70)))</formula>
    </cfRule>
    <cfRule type="containsText" dxfId="3942" priority="4664" operator="containsText" text="COSH">
      <formula>NOT(ISERROR(SEARCH("COSH",R70)))</formula>
    </cfRule>
  </conditionalFormatting>
  <conditionalFormatting sqref="R70:S70">
    <cfRule type="containsText" dxfId="3941" priority="4659" operator="containsText" text="FAT">
      <formula>NOT(ISERROR(SEARCH("FAT",R70)))</formula>
    </cfRule>
    <cfRule type="containsText" dxfId="3940" priority="4660" operator="containsText" text="FIRE">
      <formula>NOT(ISERROR(SEARCH("FIRE",R70)))</formula>
    </cfRule>
    <cfRule type="containsText" dxfId="3939" priority="4661" operator="containsText" text="COSH">
      <formula>NOT(ISERROR(SEARCH("COSH",R70)))</formula>
    </cfRule>
  </conditionalFormatting>
  <conditionalFormatting sqref="R70:S70">
    <cfRule type="containsText" dxfId="3938" priority="4656" operator="containsText" text="FAT">
      <formula>NOT(ISERROR(SEARCH("FAT",R70)))</formula>
    </cfRule>
    <cfRule type="containsText" dxfId="3937" priority="4657" operator="containsText" text="FIRE">
      <formula>NOT(ISERROR(SEARCH("FIRE",R70)))</formula>
    </cfRule>
    <cfRule type="containsText" dxfId="3936" priority="4658" operator="containsText" text="COSH">
      <formula>NOT(ISERROR(SEARCH("COSH",R70)))</formula>
    </cfRule>
  </conditionalFormatting>
  <conditionalFormatting sqref="R70:S70">
    <cfRule type="containsText" dxfId="3935" priority="4653" operator="containsText" text="FAT">
      <formula>NOT(ISERROR(SEARCH("FAT",R70)))</formula>
    </cfRule>
    <cfRule type="containsText" dxfId="3934" priority="4654" operator="containsText" text="FIRE">
      <formula>NOT(ISERROR(SEARCH("FIRE",R70)))</formula>
    </cfRule>
    <cfRule type="containsText" dxfId="3933" priority="4655" operator="containsText" text="COSH">
      <formula>NOT(ISERROR(SEARCH("COSH",R70)))</formula>
    </cfRule>
  </conditionalFormatting>
  <conditionalFormatting sqref="R70:S70">
    <cfRule type="containsText" dxfId="3932" priority="4650" operator="containsText" text="FAT">
      <formula>NOT(ISERROR(SEARCH("FAT",R70)))</formula>
    </cfRule>
    <cfRule type="containsText" dxfId="3931" priority="4651" operator="containsText" text="FIRE">
      <formula>NOT(ISERROR(SEARCH("FIRE",R70)))</formula>
    </cfRule>
    <cfRule type="containsText" dxfId="3930" priority="4652" operator="containsText" text="COSH">
      <formula>NOT(ISERROR(SEARCH("COSH",R70)))</formula>
    </cfRule>
  </conditionalFormatting>
  <conditionalFormatting sqref="R70:S70">
    <cfRule type="containsText" dxfId="3929" priority="4647" operator="containsText" text="FAT">
      <formula>NOT(ISERROR(SEARCH("FAT",R70)))</formula>
    </cfRule>
    <cfRule type="containsText" dxfId="3928" priority="4648" operator="containsText" text="FIRE">
      <formula>NOT(ISERROR(SEARCH("FIRE",R70)))</formula>
    </cfRule>
    <cfRule type="containsText" dxfId="3927" priority="4649" operator="containsText" text="COSH">
      <formula>NOT(ISERROR(SEARCH("COSH",R70)))</formula>
    </cfRule>
  </conditionalFormatting>
  <conditionalFormatting sqref="R70:S70">
    <cfRule type="containsText" dxfId="3926" priority="4644" operator="containsText" text="FAT">
      <formula>NOT(ISERROR(SEARCH("FAT",R70)))</formula>
    </cfRule>
    <cfRule type="containsText" dxfId="3925" priority="4645" operator="containsText" text="FIRE">
      <formula>NOT(ISERROR(SEARCH("FIRE",R70)))</formula>
    </cfRule>
    <cfRule type="containsText" dxfId="3924" priority="4646" operator="containsText" text="COSH">
      <formula>NOT(ISERROR(SEARCH("COSH",R70)))</formula>
    </cfRule>
  </conditionalFormatting>
  <conditionalFormatting sqref="R70:S70">
    <cfRule type="containsText" dxfId="3923" priority="4641" operator="containsText" text="FAT">
      <formula>NOT(ISERROR(SEARCH("FAT",R70)))</formula>
    </cfRule>
    <cfRule type="containsText" dxfId="3922" priority="4642" operator="containsText" text="FIRE">
      <formula>NOT(ISERROR(SEARCH("FIRE",R70)))</formula>
    </cfRule>
    <cfRule type="containsText" dxfId="3921" priority="4643" operator="containsText" text="COSH">
      <formula>NOT(ISERROR(SEARCH("COSH",R70)))</formula>
    </cfRule>
  </conditionalFormatting>
  <conditionalFormatting sqref="AA70">
    <cfRule type="containsText" dxfId="3920" priority="4638" operator="containsText" text="FAT">
      <formula>NOT(ISERROR(SEARCH("FAT",AA70)))</formula>
    </cfRule>
    <cfRule type="containsText" dxfId="3919" priority="4639" operator="containsText" text="FIRE">
      <formula>NOT(ISERROR(SEARCH("FIRE",AA70)))</formula>
    </cfRule>
    <cfRule type="containsText" dxfId="3918" priority="4640" operator="containsText" text="COSH">
      <formula>NOT(ISERROR(SEARCH("COSH",AA70)))</formula>
    </cfRule>
  </conditionalFormatting>
  <conditionalFormatting sqref="AA70">
    <cfRule type="containsText" dxfId="3917" priority="4635" operator="containsText" text="FAT">
      <formula>NOT(ISERROR(SEARCH("FAT",AA70)))</formula>
    </cfRule>
    <cfRule type="containsText" dxfId="3916" priority="4636" operator="containsText" text="FIRE">
      <formula>NOT(ISERROR(SEARCH("FIRE",AA70)))</formula>
    </cfRule>
    <cfRule type="containsText" dxfId="3915" priority="4637" operator="containsText" text="COSH">
      <formula>NOT(ISERROR(SEARCH("COSH",AA70)))</formula>
    </cfRule>
  </conditionalFormatting>
  <conditionalFormatting sqref="AH70">
    <cfRule type="containsText" dxfId="3914" priority="4632" operator="containsText" text="FAT">
      <formula>NOT(ISERROR(SEARCH("FAT",AH70)))</formula>
    </cfRule>
    <cfRule type="containsText" dxfId="3913" priority="4633" operator="containsText" text="FIRE">
      <formula>NOT(ISERROR(SEARCH("FIRE",AH70)))</formula>
    </cfRule>
    <cfRule type="containsText" dxfId="3912" priority="4634" operator="containsText" text="COSH">
      <formula>NOT(ISERROR(SEARCH("COSH",AH70)))</formula>
    </cfRule>
  </conditionalFormatting>
  <conditionalFormatting sqref="AG70">
    <cfRule type="containsText" dxfId="3911" priority="4629" operator="containsText" text="FAT">
      <formula>NOT(ISERROR(SEARCH("FAT",AG70)))</formula>
    </cfRule>
    <cfRule type="containsText" dxfId="3910" priority="4630" operator="containsText" text="FIRE">
      <formula>NOT(ISERROR(SEARCH("FIRE",AG70)))</formula>
    </cfRule>
    <cfRule type="containsText" dxfId="3909" priority="4631" operator="containsText" text="COSH">
      <formula>NOT(ISERROR(SEARCH("COSH",AG70)))</formula>
    </cfRule>
  </conditionalFormatting>
  <conditionalFormatting sqref="AH70">
    <cfRule type="containsText" dxfId="3908" priority="4626" operator="containsText" text="FAT">
      <formula>NOT(ISERROR(SEARCH("FAT",AH70)))</formula>
    </cfRule>
    <cfRule type="containsText" dxfId="3907" priority="4627" operator="containsText" text="FIRE">
      <formula>NOT(ISERROR(SEARCH("FIRE",AH70)))</formula>
    </cfRule>
    <cfRule type="containsText" dxfId="3906" priority="4628" operator="containsText" text="COSH">
      <formula>NOT(ISERROR(SEARCH("COSH",AH70)))</formula>
    </cfRule>
  </conditionalFormatting>
  <conditionalFormatting sqref="AF70">
    <cfRule type="containsText" dxfId="3905" priority="4623" operator="containsText" text="FAT">
      <formula>NOT(ISERROR(SEARCH("FAT",AF70)))</formula>
    </cfRule>
    <cfRule type="containsText" dxfId="3904" priority="4624" operator="containsText" text="FIRE">
      <formula>NOT(ISERROR(SEARCH("FIRE",AF70)))</formula>
    </cfRule>
    <cfRule type="containsText" dxfId="3903" priority="4625" operator="containsText" text="COSH">
      <formula>NOT(ISERROR(SEARCH("COSH",AF70)))</formula>
    </cfRule>
  </conditionalFormatting>
  <conditionalFormatting sqref="AG70">
    <cfRule type="containsText" dxfId="3902" priority="4620" operator="containsText" text="FAT">
      <formula>NOT(ISERROR(SEARCH("FAT",AG70)))</formula>
    </cfRule>
    <cfRule type="containsText" dxfId="3901" priority="4621" operator="containsText" text="FIRE">
      <formula>NOT(ISERROR(SEARCH("FIRE",AG70)))</formula>
    </cfRule>
    <cfRule type="containsText" dxfId="3900" priority="4622" operator="containsText" text="COSH">
      <formula>NOT(ISERROR(SEARCH("COSH",AG70)))</formula>
    </cfRule>
  </conditionalFormatting>
  <conditionalFormatting sqref="AH70">
    <cfRule type="containsText" dxfId="3899" priority="4617" operator="containsText" text="FAT">
      <formula>NOT(ISERROR(SEARCH("FAT",AH70)))</formula>
    </cfRule>
    <cfRule type="containsText" dxfId="3898" priority="4618" operator="containsText" text="FIRE">
      <formula>NOT(ISERROR(SEARCH("FIRE",AH70)))</formula>
    </cfRule>
    <cfRule type="containsText" dxfId="3897" priority="4619" operator="containsText" text="COSH">
      <formula>NOT(ISERROR(SEARCH("COSH",AH70)))</formula>
    </cfRule>
  </conditionalFormatting>
  <conditionalFormatting sqref="AF70:AG70">
    <cfRule type="containsText" dxfId="3896" priority="4614" operator="containsText" text="FAT">
      <formula>NOT(ISERROR(SEARCH("FAT",AF70)))</formula>
    </cfRule>
    <cfRule type="containsText" dxfId="3895" priority="4615" operator="containsText" text="FIRE">
      <formula>NOT(ISERROR(SEARCH("FIRE",AF70)))</formula>
    </cfRule>
    <cfRule type="containsText" dxfId="3894" priority="4616" operator="containsText" text="COSH">
      <formula>NOT(ISERROR(SEARCH("COSH",AF70)))</formula>
    </cfRule>
  </conditionalFormatting>
  <conditionalFormatting sqref="AF70:AG70">
    <cfRule type="containsText" dxfId="3893" priority="4611" operator="containsText" text="FAT">
      <formula>NOT(ISERROR(SEARCH("FAT",AF70)))</formula>
    </cfRule>
    <cfRule type="containsText" dxfId="3892" priority="4612" operator="containsText" text="FIRE">
      <formula>NOT(ISERROR(SEARCH("FIRE",AF70)))</formula>
    </cfRule>
    <cfRule type="containsText" dxfId="3891" priority="4613" operator="containsText" text="COSH">
      <formula>NOT(ISERROR(SEARCH("COSH",AF70)))</formula>
    </cfRule>
  </conditionalFormatting>
  <conditionalFormatting sqref="AF70:AG70">
    <cfRule type="containsText" dxfId="3890" priority="4608" operator="containsText" text="FAT">
      <formula>NOT(ISERROR(SEARCH("FAT",AF70)))</formula>
    </cfRule>
    <cfRule type="containsText" dxfId="3889" priority="4609" operator="containsText" text="FIRE">
      <formula>NOT(ISERROR(SEARCH("FIRE",AF70)))</formula>
    </cfRule>
    <cfRule type="containsText" dxfId="3888" priority="4610" operator="containsText" text="COSH">
      <formula>NOT(ISERROR(SEARCH("COSH",AF70)))</formula>
    </cfRule>
  </conditionalFormatting>
  <conditionalFormatting sqref="AF70:AG70">
    <cfRule type="containsText" dxfId="3887" priority="4605" operator="containsText" text="FAT">
      <formula>NOT(ISERROR(SEARCH("FAT",AF70)))</formula>
    </cfRule>
    <cfRule type="containsText" dxfId="3886" priority="4606" operator="containsText" text="FIRE">
      <formula>NOT(ISERROR(SEARCH("FIRE",AF70)))</formula>
    </cfRule>
    <cfRule type="containsText" dxfId="3885" priority="4607" operator="containsText" text="COSH">
      <formula>NOT(ISERROR(SEARCH("COSH",AF70)))</formula>
    </cfRule>
  </conditionalFormatting>
  <conditionalFormatting sqref="AF70:AG70">
    <cfRule type="containsText" dxfId="3884" priority="4602" operator="containsText" text="FAT">
      <formula>NOT(ISERROR(SEARCH("FAT",AF70)))</formula>
    </cfRule>
    <cfRule type="containsText" dxfId="3883" priority="4603" operator="containsText" text="FIRE">
      <formula>NOT(ISERROR(SEARCH("FIRE",AF70)))</formula>
    </cfRule>
    <cfRule type="containsText" dxfId="3882" priority="4604" operator="containsText" text="COSH">
      <formula>NOT(ISERROR(SEARCH("COSH",AF70)))</formula>
    </cfRule>
  </conditionalFormatting>
  <conditionalFormatting sqref="AF70:AG70">
    <cfRule type="containsText" dxfId="3881" priority="4599" operator="containsText" text="FAT">
      <formula>NOT(ISERROR(SEARCH("FAT",AF70)))</formula>
    </cfRule>
    <cfRule type="containsText" dxfId="3880" priority="4600" operator="containsText" text="FIRE">
      <formula>NOT(ISERROR(SEARCH("FIRE",AF70)))</formula>
    </cfRule>
    <cfRule type="containsText" dxfId="3879" priority="4601" operator="containsText" text="COSH">
      <formula>NOT(ISERROR(SEARCH("COSH",AF70)))</formula>
    </cfRule>
  </conditionalFormatting>
  <conditionalFormatting sqref="AF70:AG70">
    <cfRule type="containsText" dxfId="3878" priority="4596" operator="containsText" text="FAT">
      <formula>NOT(ISERROR(SEARCH("FAT",AF70)))</formula>
    </cfRule>
    <cfRule type="containsText" dxfId="3877" priority="4597" operator="containsText" text="FIRE">
      <formula>NOT(ISERROR(SEARCH("FIRE",AF70)))</formula>
    </cfRule>
    <cfRule type="containsText" dxfId="3876" priority="4598" operator="containsText" text="COSH">
      <formula>NOT(ISERROR(SEARCH("COSH",AF70)))</formula>
    </cfRule>
  </conditionalFormatting>
  <conditionalFormatting sqref="AF70:AG70">
    <cfRule type="containsText" dxfId="3875" priority="4593" operator="containsText" text="FAT">
      <formula>NOT(ISERROR(SEARCH("FAT",AF70)))</formula>
    </cfRule>
    <cfRule type="containsText" dxfId="3874" priority="4594" operator="containsText" text="FIRE">
      <formula>NOT(ISERROR(SEARCH("FIRE",AF70)))</formula>
    </cfRule>
    <cfRule type="containsText" dxfId="3873" priority="4595" operator="containsText" text="COSH">
      <formula>NOT(ISERROR(SEARCH("COSH",AF70)))</formula>
    </cfRule>
  </conditionalFormatting>
  <conditionalFormatting sqref="AF70:AG70">
    <cfRule type="containsText" dxfId="3872" priority="4590" operator="containsText" text="FAT">
      <formula>NOT(ISERROR(SEARCH("FAT",AF70)))</formula>
    </cfRule>
    <cfRule type="containsText" dxfId="3871" priority="4591" operator="containsText" text="FIRE">
      <formula>NOT(ISERROR(SEARCH("FIRE",AF70)))</formula>
    </cfRule>
    <cfRule type="containsText" dxfId="3870" priority="4592" operator="containsText" text="COSH">
      <formula>NOT(ISERROR(SEARCH("COSH",AF70)))</formula>
    </cfRule>
  </conditionalFormatting>
  <conditionalFormatting sqref="G70 R70:Y70 I70:N70 P70 AA70:AD70 AF70:AI70 AK70 I72 I74 I76 I78 I80 I82 I84 I86 I88">
    <cfRule type="cellIs" dxfId="3869" priority="4707" operator="between">
      <formula>1</formula>
      <formula>3</formula>
    </cfRule>
  </conditionalFormatting>
  <conditionalFormatting sqref="E70">
    <cfRule type="duplicateValues" dxfId="3868" priority="4589"/>
  </conditionalFormatting>
  <conditionalFormatting sqref="N12:S12 Q13:S24 Q27:S31">
    <cfRule type="containsText" dxfId="3867" priority="4586" operator="containsText" text="FAT">
      <formula>NOT(ISERROR(SEARCH("FAT",N12)))</formula>
    </cfRule>
    <cfRule type="containsText" dxfId="3866" priority="4587" operator="containsText" text="FIRE">
      <formula>NOT(ISERROR(SEARCH("FIRE",N12)))</formula>
    </cfRule>
    <cfRule type="containsText" dxfId="3865" priority="4588" operator="containsText" text="COSH">
      <formula>NOT(ISERROR(SEARCH("COSH",N12)))</formula>
    </cfRule>
  </conditionalFormatting>
  <conditionalFormatting sqref="P12:S12 Q13:S24 Q27:S31">
    <cfRule type="containsText" dxfId="3864" priority="4582" operator="containsText" text="FAT">
      <formula>NOT(ISERROR(SEARCH("FAT",P12)))</formula>
    </cfRule>
    <cfRule type="containsText" dxfId="3863" priority="4583" operator="containsText" text="FIRE">
      <formula>NOT(ISERROR(SEARCH("FIRE",P12)))</formula>
    </cfRule>
    <cfRule type="containsText" dxfId="3862" priority="4584" operator="containsText" text="COSH">
      <formula>NOT(ISERROR(SEARCH("COSH",P12)))</formula>
    </cfRule>
  </conditionalFormatting>
  <conditionalFormatting sqref="P12:S12 Q13:S24 Q27:S31">
    <cfRule type="containsText" dxfId="3861" priority="4579" operator="containsText" text="FAT">
      <formula>NOT(ISERROR(SEARCH("FAT",P12)))</formula>
    </cfRule>
    <cfRule type="containsText" dxfId="3860" priority="4580" operator="containsText" text="FIRE">
      <formula>NOT(ISERROR(SEARCH("FIRE",P12)))</formula>
    </cfRule>
    <cfRule type="containsText" dxfId="3859" priority="4581" operator="containsText" text="COSH">
      <formula>NOT(ISERROR(SEARCH("COSH",P12)))</formula>
    </cfRule>
  </conditionalFormatting>
  <conditionalFormatting sqref="P12:S12 Q13:S24 Q27:S31">
    <cfRule type="containsText" dxfId="3858" priority="4576" operator="containsText" text="FAT">
      <formula>NOT(ISERROR(SEARCH("FAT",P12)))</formula>
    </cfRule>
    <cfRule type="containsText" dxfId="3857" priority="4577" operator="containsText" text="FIRE">
      <formula>NOT(ISERROR(SEARCH("FIRE",P12)))</formula>
    </cfRule>
    <cfRule type="containsText" dxfId="3856" priority="4578" operator="containsText" text="COSH">
      <formula>NOT(ISERROR(SEARCH("COSH",P12)))</formula>
    </cfRule>
  </conditionalFormatting>
  <conditionalFormatting sqref="P12:S12 Q13:S24 Q27:S31">
    <cfRule type="containsText" dxfId="3855" priority="4573" operator="containsText" text="FAT">
      <formula>NOT(ISERROR(SEARCH("FAT",P12)))</formula>
    </cfRule>
    <cfRule type="containsText" dxfId="3854" priority="4574" operator="containsText" text="FIRE">
      <formula>NOT(ISERROR(SEARCH("FIRE",P12)))</formula>
    </cfRule>
    <cfRule type="containsText" dxfId="3853" priority="4575" operator="containsText" text="COSH">
      <formula>NOT(ISERROR(SEARCH("COSH",P12)))</formula>
    </cfRule>
  </conditionalFormatting>
  <conditionalFormatting sqref="N12:S12 Q13:S24 Q27:S31">
    <cfRule type="cellIs" dxfId="3852" priority="4585" operator="between">
      <formula>1</formula>
      <formula>3</formula>
    </cfRule>
  </conditionalFormatting>
  <conditionalFormatting sqref="P12:S12 Q13:S24 Q27:S31">
    <cfRule type="containsText" dxfId="3851" priority="4570" operator="containsText" text="FAT">
      <formula>NOT(ISERROR(SEARCH("FAT",P12)))</formula>
    </cfRule>
    <cfRule type="containsText" dxfId="3850" priority="4571" operator="containsText" text="FIRE">
      <formula>NOT(ISERROR(SEARCH("FIRE",P12)))</formula>
    </cfRule>
    <cfRule type="containsText" dxfId="3849" priority="4572" operator="containsText" text="COSH">
      <formula>NOT(ISERROR(SEARCH("COSH",P12)))</formula>
    </cfRule>
  </conditionalFormatting>
  <conditionalFormatting sqref="P12:S12 Q13:S24 Q27:S31">
    <cfRule type="containsText" dxfId="3848" priority="4567" operator="containsText" text="FAT">
      <formula>NOT(ISERROR(SEARCH("FAT",P12)))</formula>
    </cfRule>
    <cfRule type="containsText" dxfId="3847" priority="4568" operator="containsText" text="FIRE">
      <formula>NOT(ISERROR(SEARCH("FIRE",P12)))</formula>
    </cfRule>
    <cfRule type="containsText" dxfId="3846" priority="4569" operator="containsText" text="COSH">
      <formula>NOT(ISERROR(SEARCH("COSH",P12)))</formula>
    </cfRule>
  </conditionalFormatting>
  <conditionalFormatting sqref="P12:S12 Q13:S24 Q27:S31">
    <cfRule type="containsText" dxfId="3845" priority="4564" operator="containsText" text="FAT">
      <formula>NOT(ISERROR(SEARCH("FAT",P12)))</formula>
    </cfRule>
    <cfRule type="containsText" dxfId="3844" priority="4565" operator="containsText" text="FIRE">
      <formula>NOT(ISERROR(SEARCH("FIRE",P12)))</formula>
    </cfRule>
    <cfRule type="containsText" dxfId="3843" priority="4566" operator="containsText" text="COSH">
      <formula>NOT(ISERROR(SEARCH("COSH",P12)))</formula>
    </cfRule>
  </conditionalFormatting>
  <conditionalFormatting sqref="N12:S12 Q13:S24 Q27:S31">
    <cfRule type="cellIs" dxfId="3842" priority="4563" operator="equal">
      <formula>0</formula>
    </cfRule>
  </conditionalFormatting>
  <conditionalFormatting sqref="Y102:Z102 Y105:Z105 Y94:Z100 Y107:Z108 Z101 Z103:Z104 Z106 Z113 U102:U108 R105:S108 Y114:Z116 G94:Q94 R94:S103 O100:Q103 O104:R104 K111 G110:G111 O105:Q106 N97:Q97 G107:G108 H108:K108 O108:Q108 J113:K113 O113:S113 G113:I114 G116:U116 T94:X96 H98:K98 G97:G98 I109:I111 M98:Q99 M112:N113 M100:N108 G95:K96 M95:Q96 L95:L101 L103:L115 U97:X101 U113 T97:T115">
    <cfRule type="containsText" dxfId="3841" priority="4560" operator="containsText" text="FAT">
      <formula>NOT(ISERROR(SEARCH("FAT",G94)))</formula>
    </cfRule>
    <cfRule type="containsText" dxfId="3840" priority="4561" operator="containsText" text="FIRE">
      <formula>NOT(ISERROR(SEARCH("FIRE",G94)))</formula>
    </cfRule>
    <cfRule type="containsText" dxfId="3839" priority="4562" operator="containsText" text="COSH">
      <formula>NOT(ISERROR(SEARCH("COSH",G94)))</formula>
    </cfRule>
  </conditionalFormatting>
  <conditionalFormatting sqref="I112 K112 M112">
    <cfRule type="containsText" dxfId="3838" priority="4557" operator="containsText" text="FAT">
      <formula>NOT(ISERROR(SEARCH("FAT",I112)))</formula>
    </cfRule>
    <cfRule type="containsText" dxfId="3837" priority="4558" operator="containsText" text="FIRE">
      <formula>NOT(ISERROR(SEARCH("FIRE",I112)))</formula>
    </cfRule>
    <cfRule type="containsText" dxfId="3836" priority="4559" operator="containsText" text="COSH">
      <formula>NOT(ISERROR(SEARCH("COSH",I112)))</formula>
    </cfRule>
  </conditionalFormatting>
  <conditionalFormatting sqref="I104 K104 R104:S104 Y104:Z104 M104">
    <cfRule type="containsText" dxfId="3835" priority="4554" operator="containsText" text="FAT">
      <formula>NOT(ISERROR(SEARCH("FAT",I104)))</formula>
    </cfRule>
    <cfRule type="containsText" dxfId="3834" priority="4555" operator="containsText" text="FIRE">
      <formula>NOT(ISERROR(SEARCH("FIRE",I104)))</formula>
    </cfRule>
    <cfRule type="containsText" dxfId="3833" priority="4556" operator="containsText" text="COSH">
      <formula>NOT(ISERROR(SEARCH("COSH",I104)))</formula>
    </cfRule>
  </conditionalFormatting>
  <conditionalFormatting sqref="Y101:Z101">
    <cfRule type="containsText" dxfId="3832" priority="4551" operator="containsText" text="FAT">
      <formula>NOT(ISERROR(SEARCH("FAT",Y101)))</formula>
    </cfRule>
    <cfRule type="containsText" dxfId="3831" priority="4552" operator="containsText" text="FIRE">
      <formula>NOT(ISERROR(SEARCH("FIRE",Y101)))</formula>
    </cfRule>
    <cfRule type="containsText" dxfId="3830" priority="4553" operator="containsText" text="COSH">
      <formula>NOT(ISERROR(SEARCH("COSH",Y101)))</formula>
    </cfRule>
  </conditionalFormatting>
  <conditionalFormatting sqref="I102 L102:M102">
    <cfRule type="containsText" dxfId="3829" priority="4548" operator="containsText" text="FAT">
      <formula>NOT(ISERROR(SEARCH("FAT",I102)))</formula>
    </cfRule>
    <cfRule type="containsText" dxfId="3828" priority="4549" operator="containsText" text="FIRE">
      <formula>NOT(ISERROR(SEARCH("FIRE",I102)))</formula>
    </cfRule>
    <cfRule type="containsText" dxfId="3827" priority="4550" operator="containsText" text="COSH">
      <formula>NOT(ISERROR(SEARCH("COSH",I102)))</formula>
    </cfRule>
  </conditionalFormatting>
  <conditionalFormatting sqref="Y106:Z106">
    <cfRule type="containsText" dxfId="3826" priority="4545" operator="containsText" text="FAT">
      <formula>NOT(ISERROR(SEARCH("FAT",Y106)))</formula>
    </cfRule>
    <cfRule type="containsText" dxfId="3825" priority="4546" operator="containsText" text="FIRE">
      <formula>NOT(ISERROR(SEARCH("FIRE",Y106)))</formula>
    </cfRule>
    <cfRule type="containsText" dxfId="3824" priority="4547" operator="containsText" text="COSH">
      <formula>NOT(ISERROR(SEARCH("COSH",Y106)))</formula>
    </cfRule>
  </conditionalFormatting>
  <conditionalFormatting sqref="I107 K107 M107">
    <cfRule type="containsText" dxfId="3823" priority="4542" operator="containsText" text="FAT">
      <formula>NOT(ISERROR(SEARCH("FAT",I107)))</formula>
    </cfRule>
    <cfRule type="containsText" dxfId="3822" priority="4543" operator="containsText" text="FIRE">
      <formula>NOT(ISERROR(SEARCH("FIRE",I107)))</formula>
    </cfRule>
    <cfRule type="containsText" dxfId="3821" priority="4544" operator="containsText" text="COSH">
      <formula>NOT(ISERROR(SEARCH("COSH",I107)))</formula>
    </cfRule>
  </conditionalFormatting>
  <conditionalFormatting sqref="Y113:Z113">
    <cfRule type="containsText" dxfId="3820" priority="4539" operator="containsText" text="FAT">
      <formula>NOT(ISERROR(SEARCH("FAT",Y113)))</formula>
    </cfRule>
    <cfRule type="containsText" dxfId="3819" priority="4540" operator="containsText" text="FIRE">
      <formula>NOT(ISERROR(SEARCH("FIRE",Y113)))</formula>
    </cfRule>
    <cfRule type="containsText" dxfId="3818" priority="4541" operator="containsText" text="COSH">
      <formula>NOT(ISERROR(SEARCH("COSH",Y113)))</formula>
    </cfRule>
  </conditionalFormatting>
  <conditionalFormatting sqref="P105:P106 P108 P113 P116">
    <cfRule type="containsText" dxfId="3817" priority="4536" operator="containsText" text="FAT">
      <formula>NOT(ISERROR(SEARCH("FAT",P105)))</formula>
    </cfRule>
    <cfRule type="containsText" dxfId="3816" priority="4537" operator="containsText" text="FIRE">
      <formula>NOT(ISERROR(SEARCH("FIRE",P105)))</formula>
    </cfRule>
    <cfRule type="containsText" dxfId="3815" priority="4538" operator="containsText" text="COSH">
      <formula>NOT(ISERROR(SEARCH("COSH",P105)))</formula>
    </cfRule>
  </conditionalFormatting>
  <conditionalFormatting sqref="P104">
    <cfRule type="containsText" dxfId="3814" priority="4533" operator="containsText" text="FAT">
      <formula>NOT(ISERROR(SEARCH("FAT",P104)))</formula>
    </cfRule>
    <cfRule type="containsText" dxfId="3813" priority="4534" operator="containsText" text="FIRE">
      <formula>NOT(ISERROR(SEARCH("FIRE",P104)))</formula>
    </cfRule>
    <cfRule type="containsText" dxfId="3812" priority="4535" operator="containsText" text="COSH">
      <formula>NOT(ISERROR(SEARCH("COSH",P104)))</formula>
    </cfRule>
  </conditionalFormatting>
  <conditionalFormatting sqref="P102">
    <cfRule type="containsText" dxfId="3811" priority="4530" operator="containsText" text="FAT">
      <formula>NOT(ISERROR(SEARCH("FAT",P102)))</formula>
    </cfRule>
    <cfRule type="containsText" dxfId="3810" priority="4531" operator="containsText" text="FIRE">
      <formula>NOT(ISERROR(SEARCH("FIRE",P102)))</formula>
    </cfRule>
    <cfRule type="containsText" dxfId="3809" priority="4532" operator="containsText" text="COSH">
      <formula>NOT(ISERROR(SEARCH("COSH",P102)))</formula>
    </cfRule>
  </conditionalFormatting>
  <conditionalFormatting sqref="P107">
    <cfRule type="containsText" dxfId="3808" priority="4527" operator="containsText" text="FAT">
      <formula>NOT(ISERROR(SEARCH("FAT",P107)))</formula>
    </cfRule>
    <cfRule type="containsText" dxfId="3807" priority="4528" operator="containsText" text="FIRE">
      <formula>NOT(ISERROR(SEARCH("FIRE",P107)))</formula>
    </cfRule>
    <cfRule type="containsText" dxfId="3806" priority="4529" operator="containsText" text="COSH">
      <formula>NOT(ISERROR(SEARCH("COSH",P107)))</formula>
    </cfRule>
  </conditionalFormatting>
  <conditionalFormatting sqref="W105:W106 W108 W113:W116">
    <cfRule type="containsText" dxfId="3805" priority="4524" operator="containsText" text="FAT">
      <formula>NOT(ISERROR(SEARCH("FAT",W105)))</formula>
    </cfRule>
    <cfRule type="containsText" dxfId="3804" priority="4525" operator="containsText" text="FIRE">
      <formula>NOT(ISERROR(SEARCH("FIRE",W105)))</formula>
    </cfRule>
    <cfRule type="containsText" dxfId="3803" priority="4526" operator="containsText" text="COSH">
      <formula>NOT(ISERROR(SEARCH("COSH",W105)))</formula>
    </cfRule>
  </conditionalFormatting>
  <conditionalFormatting sqref="W104">
    <cfRule type="containsText" dxfId="3802" priority="4521" operator="containsText" text="FAT">
      <formula>NOT(ISERROR(SEARCH("FAT",W104)))</formula>
    </cfRule>
    <cfRule type="containsText" dxfId="3801" priority="4522" operator="containsText" text="FIRE">
      <formula>NOT(ISERROR(SEARCH("FIRE",W104)))</formula>
    </cfRule>
    <cfRule type="containsText" dxfId="3800" priority="4523" operator="containsText" text="COSH">
      <formula>NOT(ISERROR(SEARCH("COSH",W104)))</formula>
    </cfRule>
  </conditionalFormatting>
  <conditionalFormatting sqref="W102">
    <cfRule type="containsText" dxfId="3799" priority="4518" operator="containsText" text="FAT">
      <formula>NOT(ISERROR(SEARCH("FAT",W102)))</formula>
    </cfRule>
    <cfRule type="containsText" dxfId="3798" priority="4519" operator="containsText" text="FIRE">
      <formula>NOT(ISERROR(SEARCH("FIRE",W102)))</formula>
    </cfRule>
    <cfRule type="containsText" dxfId="3797" priority="4520" operator="containsText" text="COSH">
      <formula>NOT(ISERROR(SEARCH("COSH",W102)))</formula>
    </cfRule>
  </conditionalFormatting>
  <conditionalFormatting sqref="W107">
    <cfRule type="containsText" dxfId="3796" priority="4515" operator="containsText" text="FAT">
      <formula>NOT(ISERROR(SEARCH("FAT",W107)))</formula>
    </cfRule>
    <cfRule type="containsText" dxfId="3795" priority="4516" operator="containsText" text="FIRE">
      <formula>NOT(ISERROR(SEARCH("FIRE",W107)))</formula>
    </cfRule>
    <cfRule type="containsText" dxfId="3794" priority="4517" operator="containsText" text="COSH">
      <formula>NOT(ISERROR(SEARCH("COSH",W107)))</formula>
    </cfRule>
  </conditionalFormatting>
  <conditionalFormatting sqref="I103 K103 R103:S103 Y103:Z103 M103">
    <cfRule type="containsText" dxfId="3793" priority="4512" operator="containsText" text="FAT">
      <formula>NOT(ISERROR(SEARCH("FAT",I103)))</formula>
    </cfRule>
    <cfRule type="containsText" dxfId="3792" priority="4513" operator="containsText" text="FIRE">
      <formula>NOT(ISERROR(SEARCH("FIRE",I103)))</formula>
    </cfRule>
    <cfRule type="containsText" dxfId="3791" priority="4514" operator="containsText" text="COSH">
      <formula>NOT(ISERROR(SEARCH("COSH",I103)))</formula>
    </cfRule>
  </conditionalFormatting>
  <conditionalFormatting sqref="P103">
    <cfRule type="containsText" dxfId="3790" priority="4509" operator="containsText" text="FAT">
      <formula>NOT(ISERROR(SEARCH("FAT",P103)))</formula>
    </cfRule>
    <cfRule type="containsText" dxfId="3789" priority="4510" operator="containsText" text="FIRE">
      <formula>NOT(ISERROR(SEARCH("FIRE",P103)))</formula>
    </cfRule>
    <cfRule type="containsText" dxfId="3788" priority="4511" operator="containsText" text="COSH">
      <formula>NOT(ISERROR(SEARCH("COSH",P103)))</formula>
    </cfRule>
  </conditionalFormatting>
  <conditionalFormatting sqref="W103">
    <cfRule type="containsText" dxfId="3787" priority="4506" operator="containsText" text="FAT">
      <formula>NOT(ISERROR(SEARCH("FAT",W103)))</formula>
    </cfRule>
    <cfRule type="containsText" dxfId="3786" priority="4507" operator="containsText" text="FIRE">
      <formula>NOT(ISERROR(SEARCH("FIRE",W103)))</formula>
    </cfRule>
    <cfRule type="containsText" dxfId="3785" priority="4508" operator="containsText" text="COSH">
      <formula>NOT(ISERROR(SEARCH("COSH",W103)))</formula>
    </cfRule>
  </conditionalFormatting>
  <conditionalFormatting sqref="G105:G106 G110 G108">
    <cfRule type="containsText" dxfId="3784" priority="4503" operator="containsText" text="FAT">
      <formula>NOT(ISERROR(SEARCH("FAT",G105)))</formula>
    </cfRule>
    <cfRule type="containsText" dxfId="3783" priority="4504" operator="containsText" text="FIRE">
      <formula>NOT(ISERROR(SEARCH("FIRE",G105)))</formula>
    </cfRule>
    <cfRule type="containsText" dxfId="3782" priority="4505" operator="containsText" text="COSH">
      <formula>NOT(ISERROR(SEARCH("COSH",G105)))</formula>
    </cfRule>
  </conditionalFormatting>
  <conditionalFormatting sqref="G104">
    <cfRule type="containsText" dxfId="3781" priority="4500" operator="containsText" text="FAT">
      <formula>NOT(ISERROR(SEARCH("FAT",G104)))</formula>
    </cfRule>
    <cfRule type="containsText" dxfId="3780" priority="4501" operator="containsText" text="FIRE">
      <formula>NOT(ISERROR(SEARCH("FIRE",G104)))</formula>
    </cfRule>
    <cfRule type="containsText" dxfId="3779" priority="4502" operator="containsText" text="COSH">
      <formula>NOT(ISERROR(SEARCH("COSH",G104)))</formula>
    </cfRule>
  </conditionalFormatting>
  <conditionalFormatting sqref="G102">
    <cfRule type="containsText" dxfId="3778" priority="4497" operator="containsText" text="FAT">
      <formula>NOT(ISERROR(SEARCH("FAT",G102)))</formula>
    </cfRule>
    <cfRule type="containsText" dxfId="3777" priority="4498" operator="containsText" text="FIRE">
      <formula>NOT(ISERROR(SEARCH("FIRE",G102)))</formula>
    </cfRule>
    <cfRule type="containsText" dxfId="3776" priority="4499" operator="containsText" text="COSH">
      <formula>NOT(ISERROR(SEARCH("COSH",G102)))</formula>
    </cfRule>
  </conditionalFormatting>
  <conditionalFormatting sqref="G107">
    <cfRule type="containsText" dxfId="3775" priority="4494" operator="containsText" text="FAT">
      <formula>NOT(ISERROR(SEARCH("FAT",G107)))</formula>
    </cfRule>
    <cfRule type="containsText" dxfId="3774" priority="4495" operator="containsText" text="FIRE">
      <formula>NOT(ISERROR(SEARCH("FIRE",G107)))</formula>
    </cfRule>
    <cfRule type="containsText" dxfId="3773" priority="4496" operator="containsText" text="COSH">
      <formula>NOT(ISERROR(SEARCH("COSH",G107)))</formula>
    </cfRule>
  </conditionalFormatting>
  <conditionalFormatting sqref="G103">
    <cfRule type="containsText" dxfId="3772" priority="4491" operator="containsText" text="FAT">
      <formula>NOT(ISERROR(SEARCH("FAT",G103)))</formula>
    </cfRule>
    <cfRule type="containsText" dxfId="3771" priority="4492" operator="containsText" text="FIRE">
      <formula>NOT(ISERROR(SEARCH("FIRE",G103)))</formula>
    </cfRule>
    <cfRule type="containsText" dxfId="3770" priority="4493" operator="containsText" text="COSH">
      <formula>NOT(ISERROR(SEARCH("COSH",G103)))</formula>
    </cfRule>
  </conditionalFormatting>
  <conditionalFormatting sqref="N105:N106 N108 N113 N116">
    <cfRule type="containsText" dxfId="3769" priority="4488" operator="containsText" text="FAT">
      <formula>NOT(ISERROR(SEARCH("FAT",N105)))</formula>
    </cfRule>
    <cfRule type="containsText" dxfId="3768" priority="4489" operator="containsText" text="FIRE">
      <formula>NOT(ISERROR(SEARCH("FIRE",N105)))</formula>
    </cfRule>
    <cfRule type="containsText" dxfId="3767" priority="4490" operator="containsText" text="COSH">
      <formula>NOT(ISERROR(SEARCH("COSH",N105)))</formula>
    </cfRule>
  </conditionalFormatting>
  <conditionalFormatting sqref="N112">
    <cfRule type="containsText" dxfId="3766" priority="4485" operator="containsText" text="FAT">
      <formula>NOT(ISERROR(SEARCH("FAT",N112)))</formula>
    </cfRule>
    <cfRule type="containsText" dxfId="3765" priority="4486" operator="containsText" text="FIRE">
      <formula>NOT(ISERROR(SEARCH("FIRE",N112)))</formula>
    </cfRule>
    <cfRule type="containsText" dxfId="3764" priority="4487" operator="containsText" text="COSH">
      <formula>NOT(ISERROR(SEARCH("COSH",N112)))</formula>
    </cfRule>
  </conditionalFormatting>
  <conditionalFormatting sqref="N104">
    <cfRule type="containsText" dxfId="3763" priority="4482" operator="containsText" text="FAT">
      <formula>NOT(ISERROR(SEARCH("FAT",N104)))</formula>
    </cfRule>
    <cfRule type="containsText" dxfId="3762" priority="4483" operator="containsText" text="FIRE">
      <formula>NOT(ISERROR(SEARCH("FIRE",N104)))</formula>
    </cfRule>
    <cfRule type="containsText" dxfId="3761" priority="4484" operator="containsText" text="COSH">
      <formula>NOT(ISERROR(SEARCH("COSH",N104)))</formula>
    </cfRule>
  </conditionalFormatting>
  <conditionalFormatting sqref="N102">
    <cfRule type="containsText" dxfId="3760" priority="4479" operator="containsText" text="FAT">
      <formula>NOT(ISERROR(SEARCH("FAT",N102)))</formula>
    </cfRule>
    <cfRule type="containsText" dxfId="3759" priority="4480" operator="containsText" text="FIRE">
      <formula>NOT(ISERROR(SEARCH("FIRE",N102)))</formula>
    </cfRule>
    <cfRule type="containsText" dxfId="3758" priority="4481" operator="containsText" text="COSH">
      <formula>NOT(ISERROR(SEARCH("COSH",N102)))</formula>
    </cfRule>
  </conditionalFormatting>
  <conditionalFormatting sqref="N107">
    <cfRule type="containsText" dxfId="3757" priority="4476" operator="containsText" text="FAT">
      <formula>NOT(ISERROR(SEARCH("FAT",N107)))</formula>
    </cfRule>
    <cfRule type="containsText" dxfId="3756" priority="4477" operator="containsText" text="FIRE">
      <formula>NOT(ISERROR(SEARCH("FIRE",N107)))</formula>
    </cfRule>
    <cfRule type="containsText" dxfId="3755" priority="4478" operator="containsText" text="COSH">
      <formula>NOT(ISERROR(SEARCH("COSH",N107)))</formula>
    </cfRule>
  </conditionalFormatting>
  <conditionalFormatting sqref="N103">
    <cfRule type="containsText" dxfId="3754" priority="4473" operator="containsText" text="FAT">
      <formula>NOT(ISERROR(SEARCH("FAT",N103)))</formula>
    </cfRule>
    <cfRule type="containsText" dxfId="3753" priority="4474" operator="containsText" text="FIRE">
      <formula>NOT(ISERROR(SEARCH("FIRE",N103)))</formula>
    </cfRule>
    <cfRule type="containsText" dxfId="3752" priority="4475" operator="containsText" text="COSH">
      <formula>NOT(ISERROR(SEARCH("COSH",N103)))</formula>
    </cfRule>
  </conditionalFormatting>
  <conditionalFormatting sqref="U105:U106 U108 U113 U116">
    <cfRule type="containsText" dxfId="3751" priority="4470" operator="containsText" text="FAT">
      <formula>NOT(ISERROR(SEARCH("FAT",U105)))</formula>
    </cfRule>
    <cfRule type="containsText" dxfId="3750" priority="4471" operator="containsText" text="FIRE">
      <formula>NOT(ISERROR(SEARCH("FIRE",U105)))</formula>
    </cfRule>
    <cfRule type="containsText" dxfId="3749" priority="4472" operator="containsText" text="COSH">
      <formula>NOT(ISERROR(SEARCH("COSH",U105)))</formula>
    </cfRule>
  </conditionalFormatting>
  <conditionalFormatting sqref="U104">
    <cfRule type="containsText" dxfId="3748" priority="4467" operator="containsText" text="FAT">
      <formula>NOT(ISERROR(SEARCH("FAT",U104)))</formula>
    </cfRule>
    <cfRule type="containsText" dxfId="3747" priority="4468" operator="containsText" text="FIRE">
      <formula>NOT(ISERROR(SEARCH("FIRE",U104)))</formula>
    </cfRule>
    <cfRule type="containsText" dxfId="3746" priority="4469" operator="containsText" text="COSH">
      <formula>NOT(ISERROR(SEARCH("COSH",U104)))</formula>
    </cfRule>
  </conditionalFormatting>
  <conditionalFormatting sqref="U102">
    <cfRule type="containsText" dxfId="3745" priority="4464" operator="containsText" text="FAT">
      <formula>NOT(ISERROR(SEARCH("FAT",U102)))</formula>
    </cfRule>
    <cfRule type="containsText" dxfId="3744" priority="4465" operator="containsText" text="FIRE">
      <formula>NOT(ISERROR(SEARCH("FIRE",U102)))</formula>
    </cfRule>
    <cfRule type="containsText" dxfId="3743" priority="4466" operator="containsText" text="COSH">
      <formula>NOT(ISERROR(SEARCH("COSH",U102)))</formula>
    </cfRule>
  </conditionalFormatting>
  <conditionalFormatting sqref="U107">
    <cfRule type="containsText" dxfId="3742" priority="4461" operator="containsText" text="FAT">
      <formula>NOT(ISERROR(SEARCH("FAT",U107)))</formula>
    </cfRule>
    <cfRule type="containsText" dxfId="3741" priority="4462" operator="containsText" text="FIRE">
      <formula>NOT(ISERROR(SEARCH("FIRE",U107)))</formula>
    </cfRule>
    <cfRule type="containsText" dxfId="3740" priority="4463" operator="containsText" text="COSH">
      <formula>NOT(ISERROR(SEARCH("COSH",U107)))</formula>
    </cfRule>
  </conditionalFormatting>
  <conditionalFormatting sqref="U103 T116">
    <cfRule type="containsText" dxfId="3739" priority="4458" operator="containsText" text="FAT">
      <formula>NOT(ISERROR(SEARCH("FAT",T103)))</formula>
    </cfRule>
    <cfRule type="containsText" dxfId="3738" priority="4459" operator="containsText" text="FIRE">
      <formula>NOT(ISERROR(SEARCH("FIRE",T103)))</formula>
    </cfRule>
    <cfRule type="containsText" dxfId="3737" priority="4460" operator="containsText" text="COSH">
      <formula>NOT(ISERROR(SEARCH("COSH",T103)))</formula>
    </cfRule>
  </conditionalFormatting>
  <conditionalFormatting sqref="J105:J106 J111 J108 J113 J116">
    <cfRule type="containsText" dxfId="3736" priority="4455" operator="containsText" text="FAT">
      <formula>NOT(ISERROR(SEARCH("FAT",J105)))</formula>
    </cfRule>
    <cfRule type="containsText" dxfId="3735" priority="4456" operator="containsText" text="FIRE">
      <formula>NOT(ISERROR(SEARCH("FIRE",J105)))</formula>
    </cfRule>
    <cfRule type="containsText" dxfId="3734" priority="4457" operator="containsText" text="COSH">
      <formula>NOT(ISERROR(SEARCH("COSH",J105)))</formula>
    </cfRule>
  </conditionalFormatting>
  <conditionalFormatting sqref="J112">
    <cfRule type="containsText" dxfId="3733" priority="4452" operator="containsText" text="FAT">
      <formula>NOT(ISERROR(SEARCH("FAT",J112)))</formula>
    </cfRule>
    <cfRule type="containsText" dxfId="3732" priority="4453" operator="containsText" text="FIRE">
      <formula>NOT(ISERROR(SEARCH("FIRE",J112)))</formula>
    </cfRule>
    <cfRule type="containsText" dxfId="3731" priority="4454" operator="containsText" text="COSH">
      <formula>NOT(ISERROR(SEARCH("COSH",J112)))</formula>
    </cfRule>
  </conditionalFormatting>
  <conditionalFormatting sqref="J104">
    <cfRule type="containsText" dxfId="3730" priority="4449" operator="containsText" text="FAT">
      <formula>NOT(ISERROR(SEARCH("FAT",J104)))</formula>
    </cfRule>
    <cfRule type="containsText" dxfId="3729" priority="4450" operator="containsText" text="FIRE">
      <formula>NOT(ISERROR(SEARCH("FIRE",J104)))</formula>
    </cfRule>
    <cfRule type="containsText" dxfId="3728" priority="4451" operator="containsText" text="COSH">
      <formula>NOT(ISERROR(SEARCH("COSH",J104)))</formula>
    </cfRule>
  </conditionalFormatting>
  <conditionalFormatting sqref="J102:K102">
    <cfRule type="containsText" dxfId="3727" priority="4446" operator="containsText" text="FAT">
      <formula>NOT(ISERROR(SEARCH("FAT",J102)))</formula>
    </cfRule>
    <cfRule type="containsText" dxfId="3726" priority="4447" operator="containsText" text="FIRE">
      <formula>NOT(ISERROR(SEARCH("FIRE",J102)))</formula>
    </cfRule>
    <cfRule type="containsText" dxfId="3725" priority="4448" operator="containsText" text="COSH">
      <formula>NOT(ISERROR(SEARCH("COSH",J102)))</formula>
    </cfRule>
  </conditionalFormatting>
  <conditionalFormatting sqref="J107">
    <cfRule type="containsText" dxfId="3724" priority="4443" operator="containsText" text="FAT">
      <formula>NOT(ISERROR(SEARCH("FAT",J107)))</formula>
    </cfRule>
    <cfRule type="containsText" dxfId="3723" priority="4444" operator="containsText" text="FIRE">
      <formula>NOT(ISERROR(SEARCH("FIRE",J107)))</formula>
    </cfRule>
    <cfRule type="containsText" dxfId="3722" priority="4445" operator="containsText" text="COSH">
      <formula>NOT(ISERROR(SEARCH("COSH",J107)))</formula>
    </cfRule>
  </conditionalFormatting>
  <conditionalFormatting sqref="J103">
    <cfRule type="containsText" dxfId="3721" priority="4440" operator="containsText" text="FAT">
      <formula>NOT(ISERROR(SEARCH("FAT",J103)))</formula>
    </cfRule>
    <cfRule type="containsText" dxfId="3720" priority="4441" operator="containsText" text="FIRE">
      <formula>NOT(ISERROR(SEARCH("FIRE",J103)))</formula>
    </cfRule>
    <cfRule type="containsText" dxfId="3719" priority="4442" operator="containsText" text="COSH">
      <formula>NOT(ISERROR(SEARCH("COSH",J103)))</formula>
    </cfRule>
  </conditionalFormatting>
  <conditionalFormatting sqref="Q105:Q106 Q108 Q113 Q116">
    <cfRule type="containsText" dxfId="3718" priority="4437" operator="containsText" text="FAT">
      <formula>NOT(ISERROR(SEARCH("FAT",Q105)))</formula>
    </cfRule>
    <cfRule type="containsText" dxfId="3717" priority="4438" operator="containsText" text="FIRE">
      <formula>NOT(ISERROR(SEARCH("FIRE",Q105)))</formula>
    </cfRule>
    <cfRule type="containsText" dxfId="3716" priority="4439" operator="containsText" text="COSH">
      <formula>NOT(ISERROR(SEARCH("COSH",Q105)))</formula>
    </cfRule>
  </conditionalFormatting>
  <conditionalFormatting sqref="Q104">
    <cfRule type="containsText" dxfId="3715" priority="4434" operator="containsText" text="FAT">
      <formula>NOT(ISERROR(SEARCH("FAT",Q104)))</formula>
    </cfRule>
    <cfRule type="containsText" dxfId="3714" priority="4435" operator="containsText" text="FIRE">
      <formula>NOT(ISERROR(SEARCH("FIRE",Q104)))</formula>
    </cfRule>
    <cfRule type="containsText" dxfId="3713" priority="4436" operator="containsText" text="COSH">
      <formula>NOT(ISERROR(SEARCH("COSH",Q104)))</formula>
    </cfRule>
  </conditionalFormatting>
  <conditionalFormatting sqref="Q102">
    <cfRule type="containsText" dxfId="3712" priority="4431" operator="containsText" text="FAT">
      <formula>NOT(ISERROR(SEARCH("FAT",Q102)))</formula>
    </cfRule>
    <cfRule type="containsText" dxfId="3711" priority="4432" operator="containsText" text="FIRE">
      <formula>NOT(ISERROR(SEARCH("FIRE",Q102)))</formula>
    </cfRule>
    <cfRule type="containsText" dxfId="3710" priority="4433" operator="containsText" text="COSH">
      <formula>NOT(ISERROR(SEARCH("COSH",Q102)))</formula>
    </cfRule>
  </conditionalFormatting>
  <conditionalFormatting sqref="Q107">
    <cfRule type="containsText" dxfId="3709" priority="4428" operator="containsText" text="FAT">
      <formula>NOT(ISERROR(SEARCH("FAT",Q107)))</formula>
    </cfRule>
    <cfRule type="containsText" dxfId="3708" priority="4429" operator="containsText" text="FIRE">
      <formula>NOT(ISERROR(SEARCH("FIRE",Q107)))</formula>
    </cfRule>
    <cfRule type="containsText" dxfId="3707" priority="4430" operator="containsText" text="COSH">
      <formula>NOT(ISERROR(SEARCH("COSH",Q107)))</formula>
    </cfRule>
  </conditionalFormatting>
  <conditionalFormatting sqref="Q103">
    <cfRule type="containsText" dxfId="3706" priority="4425" operator="containsText" text="FAT">
      <formula>NOT(ISERROR(SEARCH("FAT",Q103)))</formula>
    </cfRule>
    <cfRule type="containsText" dxfId="3705" priority="4426" operator="containsText" text="FIRE">
      <formula>NOT(ISERROR(SEARCH("FIRE",Q103)))</formula>
    </cfRule>
    <cfRule type="containsText" dxfId="3704" priority="4427" operator="containsText" text="COSH">
      <formula>NOT(ISERROR(SEARCH("COSH",Q103)))</formula>
    </cfRule>
  </conditionalFormatting>
  <conditionalFormatting sqref="X104:X108 X113:X116">
    <cfRule type="containsText" dxfId="3703" priority="4422" operator="containsText" text="FAT">
      <formula>NOT(ISERROR(SEARCH("FAT",X104)))</formula>
    </cfRule>
    <cfRule type="containsText" dxfId="3702" priority="4423" operator="containsText" text="FIRE">
      <formula>NOT(ISERROR(SEARCH("FIRE",X104)))</formula>
    </cfRule>
    <cfRule type="containsText" dxfId="3701" priority="4424" operator="containsText" text="COSH">
      <formula>NOT(ISERROR(SEARCH("COSH",X104)))</formula>
    </cfRule>
  </conditionalFormatting>
  <conditionalFormatting sqref="X102">
    <cfRule type="containsText" dxfId="3700" priority="4419" operator="containsText" text="FAT">
      <formula>NOT(ISERROR(SEARCH("FAT",X102)))</formula>
    </cfRule>
    <cfRule type="containsText" dxfId="3699" priority="4420" operator="containsText" text="FIRE">
      <formula>NOT(ISERROR(SEARCH("FIRE",X102)))</formula>
    </cfRule>
    <cfRule type="containsText" dxfId="3698" priority="4421" operator="containsText" text="COSH">
      <formula>NOT(ISERROR(SEARCH("COSH",X102)))</formula>
    </cfRule>
  </conditionalFormatting>
  <conditionalFormatting sqref="X103">
    <cfRule type="containsText" dxfId="3697" priority="4416" operator="containsText" text="FAT">
      <formula>NOT(ISERROR(SEARCH("FAT",X103)))</formula>
    </cfRule>
    <cfRule type="containsText" dxfId="3696" priority="4417" operator="containsText" text="FIRE">
      <formula>NOT(ISERROR(SEARCH("FIRE",X103)))</formula>
    </cfRule>
    <cfRule type="containsText" dxfId="3695" priority="4418" operator="containsText" text="COSH">
      <formula>NOT(ISERROR(SEARCH("COSH",X103)))</formula>
    </cfRule>
  </conditionalFormatting>
  <conditionalFormatting sqref="H105:H106 H110:H111 H108 H113:H114 H116">
    <cfRule type="containsText" dxfId="3694" priority="4413" operator="containsText" text="FAT">
      <formula>NOT(ISERROR(SEARCH("FAT",H105)))</formula>
    </cfRule>
    <cfRule type="containsText" dxfId="3693" priority="4414" operator="containsText" text="FIRE">
      <formula>NOT(ISERROR(SEARCH("FIRE",H105)))</formula>
    </cfRule>
    <cfRule type="containsText" dxfId="3692" priority="4415" operator="containsText" text="COSH">
      <formula>NOT(ISERROR(SEARCH("COSH",H105)))</formula>
    </cfRule>
  </conditionalFormatting>
  <conditionalFormatting sqref="G112:H112">
    <cfRule type="containsText" dxfId="3691" priority="4410" operator="containsText" text="FAT">
      <formula>NOT(ISERROR(SEARCH("FAT",G112)))</formula>
    </cfRule>
    <cfRule type="containsText" dxfId="3690" priority="4411" operator="containsText" text="FIRE">
      <formula>NOT(ISERROR(SEARCH("FIRE",G112)))</formula>
    </cfRule>
    <cfRule type="containsText" dxfId="3689" priority="4412" operator="containsText" text="COSH">
      <formula>NOT(ISERROR(SEARCH("COSH",G112)))</formula>
    </cfRule>
  </conditionalFormatting>
  <conditionalFormatting sqref="H104">
    <cfRule type="containsText" dxfId="3688" priority="4407" operator="containsText" text="FAT">
      <formula>NOT(ISERROR(SEARCH("FAT",H104)))</formula>
    </cfRule>
    <cfRule type="containsText" dxfId="3687" priority="4408" operator="containsText" text="FIRE">
      <formula>NOT(ISERROR(SEARCH("FIRE",H104)))</formula>
    </cfRule>
    <cfRule type="containsText" dxfId="3686" priority="4409" operator="containsText" text="COSH">
      <formula>NOT(ISERROR(SEARCH("COSH",H104)))</formula>
    </cfRule>
  </conditionalFormatting>
  <conditionalFormatting sqref="H102">
    <cfRule type="containsText" dxfId="3685" priority="4404" operator="containsText" text="FAT">
      <formula>NOT(ISERROR(SEARCH("FAT",H102)))</formula>
    </cfRule>
    <cfRule type="containsText" dxfId="3684" priority="4405" operator="containsText" text="FIRE">
      <formula>NOT(ISERROR(SEARCH("FIRE",H102)))</formula>
    </cfRule>
    <cfRule type="containsText" dxfId="3683" priority="4406" operator="containsText" text="COSH">
      <formula>NOT(ISERROR(SEARCH("COSH",H102)))</formula>
    </cfRule>
  </conditionalFormatting>
  <conditionalFormatting sqref="H107">
    <cfRule type="containsText" dxfId="3682" priority="4401" operator="containsText" text="FAT">
      <formula>NOT(ISERROR(SEARCH("FAT",H107)))</formula>
    </cfRule>
    <cfRule type="containsText" dxfId="3681" priority="4402" operator="containsText" text="FIRE">
      <formula>NOT(ISERROR(SEARCH("FIRE",H107)))</formula>
    </cfRule>
    <cfRule type="containsText" dxfId="3680" priority="4403" operator="containsText" text="COSH">
      <formula>NOT(ISERROR(SEARCH("COSH",H107)))</formula>
    </cfRule>
  </conditionalFormatting>
  <conditionalFormatting sqref="H103">
    <cfRule type="containsText" dxfId="3679" priority="4398" operator="containsText" text="FAT">
      <formula>NOT(ISERROR(SEARCH("FAT",H103)))</formula>
    </cfRule>
    <cfRule type="containsText" dxfId="3678" priority="4399" operator="containsText" text="FIRE">
      <formula>NOT(ISERROR(SEARCH("FIRE",H103)))</formula>
    </cfRule>
    <cfRule type="containsText" dxfId="3677" priority="4400" operator="containsText" text="COSH">
      <formula>NOT(ISERROR(SEARCH("COSH",H103)))</formula>
    </cfRule>
  </conditionalFormatting>
  <conditionalFormatting sqref="O105:O106 O108 O113 O116">
    <cfRule type="containsText" dxfId="3676" priority="4395" operator="containsText" text="FAT">
      <formula>NOT(ISERROR(SEARCH("FAT",O105)))</formula>
    </cfRule>
    <cfRule type="containsText" dxfId="3675" priority="4396" operator="containsText" text="FIRE">
      <formula>NOT(ISERROR(SEARCH("FIRE",O105)))</formula>
    </cfRule>
    <cfRule type="containsText" dxfId="3674" priority="4397" operator="containsText" text="COSH">
      <formula>NOT(ISERROR(SEARCH("COSH",O105)))</formula>
    </cfRule>
  </conditionalFormatting>
  <conditionalFormatting sqref="O112">
    <cfRule type="containsText" dxfId="3673" priority="4392" operator="containsText" text="FAT">
      <formula>NOT(ISERROR(SEARCH("FAT",O112)))</formula>
    </cfRule>
    <cfRule type="containsText" dxfId="3672" priority="4393" operator="containsText" text="FIRE">
      <formula>NOT(ISERROR(SEARCH("FIRE",O112)))</formula>
    </cfRule>
    <cfRule type="containsText" dxfId="3671" priority="4394" operator="containsText" text="COSH">
      <formula>NOT(ISERROR(SEARCH("COSH",O112)))</formula>
    </cfRule>
  </conditionalFormatting>
  <conditionalFormatting sqref="O104">
    <cfRule type="containsText" dxfId="3670" priority="4389" operator="containsText" text="FAT">
      <formula>NOT(ISERROR(SEARCH("FAT",O104)))</formula>
    </cfRule>
    <cfRule type="containsText" dxfId="3669" priority="4390" operator="containsText" text="FIRE">
      <formula>NOT(ISERROR(SEARCH("FIRE",O104)))</formula>
    </cfRule>
    <cfRule type="containsText" dxfId="3668" priority="4391" operator="containsText" text="COSH">
      <formula>NOT(ISERROR(SEARCH("COSH",O104)))</formula>
    </cfRule>
  </conditionalFormatting>
  <conditionalFormatting sqref="O102">
    <cfRule type="containsText" dxfId="3667" priority="4386" operator="containsText" text="FAT">
      <formula>NOT(ISERROR(SEARCH("FAT",O102)))</formula>
    </cfRule>
    <cfRule type="containsText" dxfId="3666" priority="4387" operator="containsText" text="FIRE">
      <formula>NOT(ISERROR(SEARCH("FIRE",O102)))</formula>
    </cfRule>
    <cfRule type="containsText" dxfId="3665" priority="4388" operator="containsText" text="COSH">
      <formula>NOT(ISERROR(SEARCH("COSH",O102)))</formula>
    </cfRule>
  </conditionalFormatting>
  <conditionalFormatting sqref="O107">
    <cfRule type="containsText" dxfId="3664" priority="4383" operator="containsText" text="FAT">
      <formula>NOT(ISERROR(SEARCH("FAT",O107)))</formula>
    </cfRule>
    <cfRule type="containsText" dxfId="3663" priority="4384" operator="containsText" text="FIRE">
      <formula>NOT(ISERROR(SEARCH("FIRE",O107)))</formula>
    </cfRule>
    <cfRule type="containsText" dxfId="3662" priority="4385" operator="containsText" text="COSH">
      <formula>NOT(ISERROR(SEARCH("COSH",O107)))</formula>
    </cfRule>
  </conditionalFormatting>
  <conditionalFormatting sqref="O103">
    <cfRule type="containsText" dxfId="3661" priority="4380" operator="containsText" text="FAT">
      <formula>NOT(ISERROR(SEARCH("FAT",O103)))</formula>
    </cfRule>
    <cfRule type="containsText" dxfId="3660" priority="4381" operator="containsText" text="FIRE">
      <formula>NOT(ISERROR(SEARCH("FIRE",O103)))</formula>
    </cfRule>
    <cfRule type="containsText" dxfId="3659" priority="4382" operator="containsText" text="COSH">
      <formula>NOT(ISERROR(SEARCH("COSH",O103)))</formula>
    </cfRule>
  </conditionalFormatting>
  <conditionalFormatting sqref="V105:V106 V108 V113:V116">
    <cfRule type="containsText" dxfId="3658" priority="4377" operator="containsText" text="FAT">
      <formula>NOT(ISERROR(SEARCH("FAT",V105)))</formula>
    </cfRule>
    <cfRule type="containsText" dxfId="3657" priority="4378" operator="containsText" text="FIRE">
      <formula>NOT(ISERROR(SEARCH("FIRE",V105)))</formula>
    </cfRule>
    <cfRule type="containsText" dxfId="3656" priority="4379" operator="containsText" text="COSH">
      <formula>NOT(ISERROR(SEARCH("COSH",V105)))</formula>
    </cfRule>
  </conditionalFormatting>
  <conditionalFormatting sqref="V112">
    <cfRule type="containsText" dxfId="3655" priority="4374" operator="containsText" text="FAT">
      <formula>NOT(ISERROR(SEARCH("FAT",V112)))</formula>
    </cfRule>
    <cfRule type="containsText" dxfId="3654" priority="4375" operator="containsText" text="FIRE">
      <formula>NOT(ISERROR(SEARCH("FIRE",V112)))</formula>
    </cfRule>
    <cfRule type="containsText" dxfId="3653" priority="4376" operator="containsText" text="COSH">
      <formula>NOT(ISERROR(SEARCH("COSH",V112)))</formula>
    </cfRule>
  </conditionalFormatting>
  <conditionalFormatting sqref="V104">
    <cfRule type="containsText" dxfId="3652" priority="4371" operator="containsText" text="FAT">
      <formula>NOT(ISERROR(SEARCH("FAT",V104)))</formula>
    </cfRule>
    <cfRule type="containsText" dxfId="3651" priority="4372" operator="containsText" text="FIRE">
      <formula>NOT(ISERROR(SEARCH("FIRE",V104)))</formula>
    </cfRule>
    <cfRule type="containsText" dxfId="3650" priority="4373" operator="containsText" text="COSH">
      <formula>NOT(ISERROR(SEARCH("COSH",V104)))</formula>
    </cfRule>
  </conditionalFormatting>
  <conditionalFormatting sqref="V102">
    <cfRule type="containsText" dxfId="3649" priority="4368" operator="containsText" text="FAT">
      <formula>NOT(ISERROR(SEARCH("FAT",V102)))</formula>
    </cfRule>
    <cfRule type="containsText" dxfId="3648" priority="4369" operator="containsText" text="FIRE">
      <formula>NOT(ISERROR(SEARCH("FIRE",V102)))</formula>
    </cfRule>
    <cfRule type="containsText" dxfId="3647" priority="4370" operator="containsText" text="COSH">
      <formula>NOT(ISERROR(SEARCH("COSH",V102)))</formula>
    </cfRule>
  </conditionalFormatting>
  <conditionalFormatting sqref="V107">
    <cfRule type="containsText" dxfId="3646" priority="4365" operator="containsText" text="FAT">
      <formula>NOT(ISERROR(SEARCH("FAT",V107)))</formula>
    </cfRule>
    <cfRule type="containsText" dxfId="3645" priority="4366" operator="containsText" text="FIRE">
      <formula>NOT(ISERROR(SEARCH("FIRE",V107)))</formula>
    </cfRule>
    <cfRule type="containsText" dxfId="3644" priority="4367" operator="containsText" text="COSH">
      <formula>NOT(ISERROR(SEARCH("COSH",V107)))</formula>
    </cfRule>
  </conditionalFormatting>
  <conditionalFormatting sqref="V103">
    <cfRule type="containsText" dxfId="3643" priority="4362" operator="containsText" text="FAT">
      <formula>NOT(ISERROR(SEARCH("FAT",V103)))</formula>
    </cfRule>
    <cfRule type="containsText" dxfId="3642" priority="4363" operator="containsText" text="FIRE">
      <formula>NOT(ISERROR(SEARCH("FIRE",V103)))</formula>
    </cfRule>
    <cfRule type="containsText" dxfId="3641" priority="4364" operator="containsText" text="COSH">
      <formula>NOT(ISERROR(SEARCH("COSH",V103)))</formula>
    </cfRule>
  </conditionalFormatting>
  <conditionalFormatting sqref="G110:I110 G94:Z94 N97:S97 V112 G111:K113 G116:Z116 G114:I114 V114:Z115 H98:K98 G97:G98 I109 M98:S108 M113:S113 M112:O112 G95:K96 M95:Z96 L95:L101 L103:L115 U113:Z113 U97:Z108 T97:T115">
    <cfRule type="cellIs" dxfId="3640" priority="4359" operator="between">
      <formula>1</formula>
      <formula>3</formula>
    </cfRule>
  </conditionalFormatting>
  <conditionalFormatting sqref="H94">
    <cfRule type="containsText" dxfId="3639" priority="4356" operator="containsText" text="FAT">
      <formula>NOT(ISERROR(SEARCH("FAT",H94)))</formula>
    </cfRule>
    <cfRule type="containsText" dxfId="3638" priority="4357" operator="containsText" text="FIRE">
      <formula>NOT(ISERROR(SEARCH("FIRE",H94)))</formula>
    </cfRule>
    <cfRule type="containsText" dxfId="3637" priority="4358" operator="containsText" text="COSH">
      <formula>NOT(ISERROR(SEARCH("COSH",H94)))</formula>
    </cfRule>
  </conditionalFormatting>
  <conditionalFormatting sqref="H94">
    <cfRule type="containsText" dxfId="3636" priority="4353" operator="containsText" text="FAT">
      <formula>NOT(ISERROR(SEARCH("FAT",H94)))</formula>
    </cfRule>
    <cfRule type="containsText" dxfId="3635" priority="4354" operator="containsText" text="FIRE">
      <formula>NOT(ISERROR(SEARCH("FIRE",H94)))</formula>
    </cfRule>
    <cfRule type="containsText" dxfId="3634" priority="4355" operator="containsText" text="COSH">
      <formula>NOT(ISERROR(SEARCH("COSH",H94)))</formula>
    </cfRule>
  </conditionalFormatting>
  <conditionalFormatting sqref="H94">
    <cfRule type="containsText" dxfId="3633" priority="4350" operator="containsText" text="FAT">
      <formula>NOT(ISERROR(SEARCH("FAT",H94)))</formula>
    </cfRule>
    <cfRule type="containsText" dxfId="3632" priority="4351" operator="containsText" text="FIRE">
      <formula>NOT(ISERROR(SEARCH("FIRE",H94)))</formula>
    </cfRule>
    <cfRule type="containsText" dxfId="3631" priority="4352" operator="containsText" text="COSH">
      <formula>NOT(ISERROR(SEARCH("COSH",H94)))</formula>
    </cfRule>
  </conditionalFormatting>
  <conditionalFormatting sqref="H94">
    <cfRule type="containsText" dxfId="3630" priority="4347" operator="containsText" text="FAT">
      <formula>NOT(ISERROR(SEARCH("FAT",H94)))</formula>
    </cfRule>
    <cfRule type="containsText" dxfId="3629" priority="4348" operator="containsText" text="FIRE">
      <formula>NOT(ISERROR(SEARCH("FIRE",H94)))</formula>
    </cfRule>
    <cfRule type="containsText" dxfId="3628" priority="4349" operator="containsText" text="COSH">
      <formula>NOT(ISERROR(SEARCH("COSH",H94)))</formula>
    </cfRule>
  </conditionalFormatting>
  <conditionalFormatting sqref="H94">
    <cfRule type="containsText" dxfId="3627" priority="4344" operator="containsText" text="FAT">
      <formula>NOT(ISERROR(SEARCH("FAT",H94)))</formula>
    </cfRule>
    <cfRule type="containsText" dxfId="3626" priority="4345" operator="containsText" text="FIRE">
      <formula>NOT(ISERROR(SEARCH("FIRE",H94)))</formula>
    </cfRule>
    <cfRule type="containsText" dxfId="3625" priority="4346" operator="containsText" text="COSH">
      <formula>NOT(ISERROR(SEARCH("COSH",H94)))</formula>
    </cfRule>
  </conditionalFormatting>
  <conditionalFormatting sqref="H94">
    <cfRule type="containsText" dxfId="3624" priority="4341" operator="containsText" text="FAT">
      <formula>NOT(ISERROR(SEARCH("FAT",H94)))</formula>
    </cfRule>
    <cfRule type="containsText" dxfId="3623" priority="4342" operator="containsText" text="FIRE">
      <formula>NOT(ISERROR(SEARCH("FIRE",H94)))</formula>
    </cfRule>
    <cfRule type="containsText" dxfId="3622" priority="4343" operator="containsText" text="COSH">
      <formula>NOT(ISERROR(SEARCH("COSH",H94)))</formula>
    </cfRule>
  </conditionalFormatting>
  <conditionalFormatting sqref="H94">
    <cfRule type="containsText" dxfId="3621" priority="4338" operator="containsText" text="FAT">
      <formula>NOT(ISERROR(SEARCH("FAT",H94)))</formula>
    </cfRule>
    <cfRule type="containsText" dxfId="3620" priority="4339" operator="containsText" text="FIRE">
      <formula>NOT(ISERROR(SEARCH("FIRE",H94)))</formula>
    </cfRule>
    <cfRule type="containsText" dxfId="3619" priority="4340" operator="containsText" text="COSH">
      <formula>NOT(ISERROR(SEARCH("COSH",H94)))</formula>
    </cfRule>
  </conditionalFormatting>
  <conditionalFormatting sqref="H94">
    <cfRule type="containsText" dxfId="3618" priority="4335" operator="containsText" text="FAT">
      <formula>NOT(ISERROR(SEARCH("FAT",H94)))</formula>
    </cfRule>
    <cfRule type="containsText" dxfId="3617" priority="4336" operator="containsText" text="FIRE">
      <formula>NOT(ISERROR(SEARCH("FIRE",H94)))</formula>
    </cfRule>
    <cfRule type="containsText" dxfId="3616" priority="4337" operator="containsText" text="COSH">
      <formula>NOT(ISERROR(SEARCH("COSH",H94)))</formula>
    </cfRule>
  </conditionalFormatting>
  <conditionalFormatting sqref="H94">
    <cfRule type="containsText" dxfId="3615" priority="4332" operator="containsText" text="FAT">
      <formula>NOT(ISERROR(SEARCH("FAT",H94)))</formula>
    </cfRule>
    <cfRule type="containsText" dxfId="3614" priority="4333" operator="containsText" text="FIRE">
      <formula>NOT(ISERROR(SEARCH("FIRE",H94)))</formula>
    </cfRule>
    <cfRule type="containsText" dxfId="3613" priority="4334" operator="containsText" text="COSH">
      <formula>NOT(ISERROR(SEARCH("COSH",H94)))</formula>
    </cfRule>
  </conditionalFormatting>
  <conditionalFormatting sqref="H94">
    <cfRule type="containsText" dxfId="3612" priority="4329" operator="containsText" text="FAT">
      <formula>NOT(ISERROR(SEARCH("FAT",H94)))</formula>
    </cfRule>
    <cfRule type="containsText" dxfId="3611" priority="4330" operator="containsText" text="FIRE">
      <formula>NOT(ISERROR(SEARCH("FIRE",H94)))</formula>
    </cfRule>
    <cfRule type="containsText" dxfId="3610" priority="4331" operator="containsText" text="COSH">
      <formula>NOT(ISERROR(SEARCH("COSH",H94)))</formula>
    </cfRule>
  </conditionalFormatting>
  <conditionalFormatting sqref="H94">
    <cfRule type="containsText" dxfId="3609" priority="4326" operator="containsText" text="FAT">
      <formula>NOT(ISERROR(SEARCH("FAT",H94)))</formula>
    </cfRule>
    <cfRule type="containsText" dxfId="3608" priority="4327" operator="containsText" text="FIRE">
      <formula>NOT(ISERROR(SEARCH("FIRE",H94)))</formula>
    </cfRule>
    <cfRule type="containsText" dxfId="3607" priority="4328" operator="containsText" text="COSH">
      <formula>NOT(ISERROR(SEARCH("COSH",H94)))</formula>
    </cfRule>
  </conditionalFormatting>
  <conditionalFormatting sqref="L94:M94 L95:L101 L103:L115">
    <cfRule type="containsText" dxfId="3606" priority="4323" operator="containsText" text="FAT">
      <formula>NOT(ISERROR(SEARCH("FAT",L94)))</formula>
    </cfRule>
    <cfRule type="containsText" dxfId="3605" priority="4324" operator="containsText" text="FIRE">
      <formula>NOT(ISERROR(SEARCH("FIRE",L94)))</formula>
    </cfRule>
    <cfRule type="containsText" dxfId="3604" priority="4325" operator="containsText" text="COSH">
      <formula>NOT(ISERROR(SEARCH("COSH",L94)))</formula>
    </cfRule>
  </conditionalFormatting>
  <conditionalFormatting sqref="L94:M94 L95:L101 L103:L115">
    <cfRule type="containsText" dxfId="3603" priority="4320" operator="containsText" text="FAT">
      <formula>NOT(ISERROR(SEARCH("FAT",L94)))</formula>
    </cfRule>
    <cfRule type="containsText" dxfId="3602" priority="4321" operator="containsText" text="FIRE">
      <formula>NOT(ISERROR(SEARCH("FIRE",L94)))</formula>
    </cfRule>
    <cfRule type="containsText" dxfId="3601" priority="4322" operator="containsText" text="COSH">
      <formula>NOT(ISERROR(SEARCH("COSH",L94)))</formula>
    </cfRule>
  </conditionalFormatting>
  <conditionalFormatting sqref="L94:M94 L95:L101 L103:L115">
    <cfRule type="containsText" dxfId="3600" priority="4317" operator="containsText" text="FAT">
      <formula>NOT(ISERROR(SEARCH("FAT",L94)))</formula>
    </cfRule>
    <cfRule type="containsText" dxfId="3599" priority="4318" operator="containsText" text="FIRE">
      <formula>NOT(ISERROR(SEARCH("FIRE",L94)))</formula>
    </cfRule>
    <cfRule type="containsText" dxfId="3598" priority="4319" operator="containsText" text="COSH">
      <formula>NOT(ISERROR(SEARCH("COSH",L94)))</formula>
    </cfRule>
  </conditionalFormatting>
  <conditionalFormatting sqref="L94:M94 L95:L101 L103:L115">
    <cfRule type="containsText" dxfId="3597" priority="4314" operator="containsText" text="FAT">
      <formula>NOT(ISERROR(SEARCH("FAT",L94)))</formula>
    </cfRule>
    <cfRule type="containsText" dxfId="3596" priority="4315" operator="containsText" text="FIRE">
      <formula>NOT(ISERROR(SEARCH("FIRE",L94)))</formula>
    </cfRule>
    <cfRule type="containsText" dxfId="3595" priority="4316" operator="containsText" text="COSH">
      <formula>NOT(ISERROR(SEARCH("COSH",L94)))</formula>
    </cfRule>
  </conditionalFormatting>
  <conditionalFormatting sqref="L94:M94 L95:L101 L103:L115">
    <cfRule type="containsText" dxfId="3594" priority="4311" operator="containsText" text="FAT">
      <formula>NOT(ISERROR(SEARCH("FAT",L94)))</formula>
    </cfRule>
    <cfRule type="containsText" dxfId="3593" priority="4312" operator="containsText" text="FIRE">
      <formula>NOT(ISERROR(SEARCH("FIRE",L94)))</formula>
    </cfRule>
    <cfRule type="containsText" dxfId="3592" priority="4313" operator="containsText" text="COSH">
      <formula>NOT(ISERROR(SEARCH("COSH",L94)))</formula>
    </cfRule>
  </conditionalFormatting>
  <conditionalFormatting sqref="L94:M94 L95:L101 L103:L115">
    <cfRule type="containsText" dxfId="3591" priority="4308" operator="containsText" text="FAT">
      <formula>NOT(ISERROR(SEARCH("FAT",L94)))</formula>
    </cfRule>
    <cfRule type="containsText" dxfId="3590" priority="4309" operator="containsText" text="FIRE">
      <formula>NOT(ISERROR(SEARCH("FIRE",L94)))</formula>
    </cfRule>
    <cfRule type="containsText" dxfId="3589" priority="4310" operator="containsText" text="COSH">
      <formula>NOT(ISERROR(SEARCH("COSH",L94)))</formula>
    </cfRule>
  </conditionalFormatting>
  <conditionalFormatting sqref="L94:M94 L95:L101 L103:L115">
    <cfRule type="containsText" dxfId="3588" priority="4305" operator="containsText" text="FAT">
      <formula>NOT(ISERROR(SEARCH("FAT",L94)))</formula>
    </cfRule>
    <cfRule type="containsText" dxfId="3587" priority="4306" operator="containsText" text="FIRE">
      <formula>NOT(ISERROR(SEARCH("FIRE",L94)))</formula>
    </cfRule>
    <cfRule type="containsText" dxfId="3586" priority="4307" operator="containsText" text="COSH">
      <formula>NOT(ISERROR(SEARCH("COSH",L94)))</formula>
    </cfRule>
  </conditionalFormatting>
  <conditionalFormatting sqref="L94:M94 L95:L101 L103:L115">
    <cfRule type="containsText" dxfId="3585" priority="4302" operator="containsText" text="FAT">
      <formula>NOT(ISERROR(SEARCH("FAT",L94)))</formula>
    </cfRule>
    <cfRule type="containsText" dxfId="3584" priority="4303" operator="containsText" text="FIRE">
      <formula>NOT(ISERROR(SEARCH("FIRE",L94)))</formula>
    </cfRule>
    <cfRule type="containsText" dxfId="3583" priority="4304" operator="containsText" text="COSH">
      <formula>NOT(ISERROR(SEARCH("COSH",L94)))</formula>
    </cfRule>
  </conditionalFormatting>
  <conditionalFormatting sqref="L94:M94 L95:L101 L103:L115">
    <cfRule type="containsText" dxfId="3582" priority="4299" operator="containsText" text="FAT">
      <formula>NOT(ISERROR(SEARCH("FAT",L94)))</formula>
    </cfRule>
    <cfRule type="containsText" dxfId="3581" priority="4300" operator="containsText" text="FIRE">
      <formula>NOT(ISERROR(SEARCH("FIRE",L94)))</formula>
    </cfRule>
    <cfRule type="containsText" dxfId="3580" priority="4301" operator="containsText" text="COSH">
      <formula>NOT(ISERROR(SEARCH("COSH",L94)))</formula>
    </cfRule>
  </conditionalFormatting>
  <conditionalFormatting sqref="L94:M94 L95:L101 L103:L115">
    <cfRule type="containsText" dxfId="3579" priority="4296" operator="containsText" text="FAT">
      <formula>NOT(ISERROR(SEARCH("FAT",L94)))</formula>
    </cfRule>
    <cfRule type="containsText" dxfId="3578" priority="4297" operator="containsText" text="FIRE">
      <formula>NOT(ISERROR(SEARCH("FIRE",L94)))</formula>
    </cfRule>
    <cfRule type="containsText" dxfId="3577" priority="4298" operator="containsText" text="COSH">
      <formula>NOT(ISERROR(SEARCH("COSH",L94)))</formula>
    </cfRule>
  </conditionalFormatting>
  <conditionalFormatting sqref="L94:M94 L95:L101 L103:L115">
    <cfRule type="containsText" dxfId="3576" priority="4293" operator="containsText" text="FAT">
      <formula>NOT(ISERROR(SEARCH("FAT",L94)))</formula>
    </cfRule>
    <cfRule type="containsText" dxfId="3575" priority="4294" operator="containsText" text="FIRE">
      <formula>NOT(ISERROR(SEARCH("FIRE",L94)))</formula>
    </cfRule>
    <cfRule type="containsText" dxfId="3574" priority="4295" operator="containsText" text="COSH">
      <formula>NOT(ISERROR(SEARCH("COSH",L94)))</formula>
    </cfRule>
  </conditionalFormatting>
  <conditionalFormatting sqref="M112:N112">
    <cfRule type="containsText" dxfId="3573" priority="4183" operator="containsText" text="FAT">
      <formula>NOT(ISERROR(SEARCH("FAT",M112)))</formula>
    </cfRule>
    <cfRule type="containsText" dxfId="3572" priority="4184" operator="containsText" text="FIRE">
      <formula>NOT(ISERROR(SEARCH("FIRE",M112)))</formula>
    </cfRule>
    <cfRule type="containsText" dxfId="3571" priority="4185" operator="containsText" text="COSH">
      <formula>NOT(ISERROR(SEARCH("COSH",M112)))</formula>
    </cfRule>
  </conditionalFormatting>
  <conditionalFormatting sqref="M112:N112">
    <cfRule type="cellIs" dxfId="3570" priority="4179" operator="between">
      <formula>1</formula>
      <formula>3</formula>
    </cfRule>
  </conditionalFormatting>
  <conditionalFormatting sqref="R94">
    <cfRule type="containsText" dxfId="3569" priority="4290" operator="containsText" text="FAT">
      <formula>NOT(ISERROR(SEARCH("FAT",R94)))</formula>
    </cfRule>
    <cfRule type="containsText" dxfId="3568" priority="4291" operator="containsText" text="FIRE">
      <formula>NOT(ISERROR(SEARCH("FIRE",R94)))</formula>
    </cfRule>
    <cfRule type="containsText" dxfId="3567" priority="4292" operator="containsText" text="COSH">
      <formula>NOT(ISERROR(SEARCH("COSH",R94)))</formula>
    </cfRule>
  </conditionalFormatting>
  <conditionalFormatting sqref="R94">
    <cfRule type="cellIs" dxfId="3566" priority="4289" operator="between">
      <formula>1</formula>
      <formula>3</formula>
    </cfRule>
  </conditionalFormatting>
  <conditionalFormatting sqref="U94">
    <cfRule type="containsText" dxfId="3565" priority="4286" operator="containsText" text="FAT">
      <formula>NOT(ISERROR(SEARCH("FAT",U94)))</formula>
    </cfRule>
    <cfRule type="containsText" dxfId="3564" priority="4287" operator="containsText" text="FIRE">
      <formula>NOT(ISERROR(SEARCH("FIRE",U94)))</formula>
    </cfRule>
    <cfRule type="containsText" dxfId="3563" priority="4288" operator="containsText" text="COSH">
      <formula>NOT(ISERROR(SEARCH("COSH",U94)))</formula>
    </cfRule>
  </conditionalFormatting>
  <conditionalFormatting sqref="U94">
    <cfRule type="cellIs" dxfId="3562" priority="4285" operator="between">
      <formula>1</formula>
      <formula>3</formula>
    </cfRule>
  </conditionalFormatting>
  <conditionalFormatting sqref="T94">
    <cfRule type="containsText" dxfId="3561" priority="4282" operator="containsText" text="FAT">
      <formula>NOT(ISERROR(SEARCH("FAT",T94)))</formula>
    </cfRule>
    <cfRule type="containsText" dxfId="3560" priority="4283" operator="containsText" text="FIRE">
      <formula>NOT(ISERROR(SEARCH("FIRE",T94)))</formula>
    </cfRule>
    <cfRule type="containsText" dxfId="3559" priority="4284" operator="containsText" text="COSH">
      <formula>NOT(ISERROR(SEARCH("COSH",T94)))</formula>
    </cfRule>
  </conditionalFormatting>
  <conditionalFormatting sqref="T94">
    <cfRule type="containsText" dxfId="3558" priority="4279" operator="containsText" text="FAT">
      <formula>NOT(ISERROR(SEARCH("FAT",T94)))</formula>
    </cfRule>
    <cfRule type="containsText" dxfId="3557" priority="4280" operator="containsText" text="FIRE">
      <formula>NOT(ISERROR(SEARCH("FIRE",T94)))</formula>
    </cfRule>
    <cfRule type="containsText" dxfId="3556" priority="4281" operator="containsText" text="COSH">
      <formula>NOT(ISERROR(SEARCH("COSH",T94)))</formula>
    </cfRule>
  </conditionalFormatting>
  <conditionalFormatting sqref="T94">
    <cfRule type="containsText" dxfId="3555" priority="4276" operator="containsText" text="FAT">
      <formula>NOT(ISERROR(SEARCH("FAT",T94)))</formula>
    </cfRule>
    <cfRule type="containsText" dxfId="3554" priority="4277" operator="containsText" text="FIRE">
      <formula>NOT(ISERROR(SEARCH("FIRE",T94)))</formula>
    </cfRule>
    <cfRule type="containsText" dxfId="3553" priority="4278" operator="containsText" text="COSH">
      <formula>NOT(ISERROR(SEARCH("COSH",T94)))</formula>
    </cfRule>
  </conditionalFormatting>
  <conditionalFormatting sqref="T94">
    <cfRule type="containsText" dxfId="3552" priority="4273" operator="containsText" text="FAT">
      <formula>NOT(ISERROR(SEARCH("FAT",T94)))</formula>
    </cfRule>
    <cfRule type="containsText" dxfId="3551" priority="4274" operator="containsText" text="FIRE">
      <formula>NOT(ISERROR(SEARCH("FIRE",T94)))</formula>
    </cfRule>
    <cfRule type="containsText" dxfId="3550" priority="4275" operator="containsText" text="COSH">
      <formula>NOT(ISERROR(SEARCH("COSH",T94)))</formula>
    </cfRule>
  </conditionalFormatting>
  <conditionalFormatting sqref="T94">
    <cfRule type="containsText" dxfId="3549" priority="4270" operator="containsText" text="FAT">
      <formula>NOT(ISERROR(SEARCH("FAT",T94)))</formula>
    </cfRule>
    <cfRule type="containsText" dxfId="3548" priority="4271" operator="containsText" text="FIRE">
      <formula>NOT(ISERROR(SEARCH("FIRE",T94)))</formula>
    </cfRule>
    <cfRule type="containsText" dxfId="3547" priority="4272" operator="containsText" text="COSH">
      <formula>NOT(ISERROR(SEARCH("COSH",T94)))</formula>
    </cfRule>
  </conditionalFormatting>
  <conditionalFormatting sqref="T94">
    <cfRule type="containsText" dxfId="3546" priority="4267" operator="containsText" text="FAT">
      <formula>NOT(ISERROR(SEARCH("FAT",T94)))</formula>
    </cfRule>
    <cfRule type="containsText" dxfId="3545" priority="4268" operator="containsText" text="FIRE">
      <formula>NOT(ISERROR(SEARCH("FIRE",T94)))</formula>
    </cfRule>
    <cfRule type="containsText" dxfId="3544" priority="4269" operator="containsText" text="COSH">
      <formula>NOT(ISERROR(SEARCH("COSH",T94)))</formula>
    </cfRule>
  </conditionalFormatting>
  <conditionalFormatting sqref="T94">
    <cfRule type="containsText" dxfId="3543" priority="4264" operator="containsText" text="FAT">
      <formula>NOT(ISERROR(SEARCH("FAT",T94)))</formula>
    </cfRule>
    <cfRule type="containsText" dxfId="3542" priority="4265" operator="containsText" text="FIRE">
      <formula>NOT(ISERROR(SEARCH("FIRE",T94)))</formula>
    </cfRule>
    <cfRule type="containsText" dxfId="3541" priority="4266" operator="containsText" text="COSH">
      <formula>NOT(ISERROR(SEARCH("COSH",T94)))</formula>
    </cfRule>
  </conditionalFormatting>
  <conditionalFormatting sqref="T94">
    <cfRule type="containsText" dxfId="3540" priority="4261" operator="containsText" text="FAT">
      <formula>NOT(ISERROR(SEARCH("FAT",T94)))</formula>
    </cfRule>
    <cfRule type="containsText" dxfId="3539" priority="4262" operator="containsText" text="FIRE">
      <formula>NOT(ISERROR(SEARCH("FIRE",T94)))</formula>
    </cfRule>
    <cfRule type="containsText" dxfId="3538" priority="4263" operator="containsText" text="COSH">
      <formula>NOT(ISERROR(SEARCH("COSH",T94)))</formula>
    </cfRule>
  </conditionalFormatting>
  <conditionalFormatting sqref="T94">
    <cfRule type="containsText" dxfId="3537" priority="4258" operator="containsText" text="FAT">
      <formula>NOT(ISERROR(SEARCH("FAT",T94)))</formula>
    </cfRule>
    <cfRule type="containsText" dxfId="3536" priority="4259" operator="containsText" text="FIRE">
      <formula>NOT(ISERROR(SEARCH("FIRE",T94)))</formula>
    </cfRule>
    <cfRule type="containsText" dxfId="3535" priority="4260" operator="containsText" text="COSH">
      <formula>NOT(ISERROR(SEARCH("COSH",T94)))</formula>
    </cfRule>
  </conditionalFormatting>
  <conditionalFormatting sqref="T94">
    <cfRule type="containsText" dxfId="3534" priority="4255" operator="containsText" text="FAT">
      <formula>NOT(ISERROR(SEARCH("FAT",T94)))</formula>
    </cfRule>
    <cfRule type="containsText" dxfId="3533" priority="4256" operator="containsText" text="FIRE">
      <formula>NOT(ISERROR(SEARCH("FIRE",T94)))</formula>
    </cfRule>
    <cfRule type="containsText" dxfId="3532" priority="4257" operator="containsText" text="COSH">
      <formula>NOT(ISERROR(SEARCH("COSH",T94)))</formula>
    </cfRule>
  </conditionalFormatting>
  <conditionalFormatting sqref="T94">
    <cfRule type="containsText" dxfId="3531" priority="4252" operator="containsText" text="FAT">
      <formula>NOT(ISERROR(SEARCH("FAT",T94)))</formula>
    </cfRule>
    <cfRule type="containsText" dxfId="3530" priority="4253" operator="containsText" text="FIRE">
      <formula>NOT(ISERROR(SEARCH("FIRE",T94)))</formula>
    </cfRule>
    <cfRule type="containsText" dxfId="3529" priority="4254" operator="containsText" text="COSH">
      <formula>NOT(ISERROR(SEARCH("COSH",T94)))</formula>
    </cfRule>
  </conditionalFormatting>
  <conditionalFormatting sqref="Z94">
    <cfRule type="containsText" dxfId="3528" priority="4249" operator="containsText" text="FAT">
      <formula>NOT(ISERROR(SEARCH("FAT",Z94)))</formula>
    </cfRule>
    <cfRule type="containsText" dxfId="3527" priority="4250" operator="containsText" text="FIRE">
      <formula>NOT(ISERROR(SEARCH("FIRE",Z94)))</formula>
    </cfRule>
    <cfRule type="containsText" dxfId="3526" priority="4251" operator="containsText" text="COSH">
      <formula>NOT(ISERROR(SEARCH("COSH",Z94)))</formula>
    </cfRule>
  </conditionalFormatting>
  <conditionalFormatting sqref="Z94">
    <cfRule type="containsText" dxfId="3525" priority="4246" operator="containsText" text="FAT">
      <formula>NOT(ISERROR(SEARCH("FAT",Z94)))</formula>
    </cfRule>
    <cfRule type="containsText" dxfId="3524" priority="4247" operator="containsText" text="FIRE">
      <formula>NOT(ISERROR(SEARCH("FIRE",Z94)))</formula>
    </cfRule>
    <cfRule type="containsText" dxfId="3523" priority="4248" operator="containsText" text="COSH">
      <formula>NOT(ISERROR(SEARCH("COSH",Z94)))</formula>
    </cfRule>
  </conditionalFormatting>
  <conditionalFormatting sqref="Z94">
    <cfRule type="containsText" dxfId="3522" priority="4243" operator="containsText" text="FAT">
      <formula>NOT(ISERROR(SEARCH("FAT",Z94)))</formula>
    </cfRule>
    <cfRule type="containsText" dxfId="3521" priority="4244" operator="containsText" text="FIRE">
      <formula>NOT(ISERROR(SEARCH("FIRE",Z94)))</formula>
    </cfRule>
    <cfRule type="containsText" dxfId="3520" priority="4245" operator="containsText" text="COSH">
      <formula>NOT(ISERROR(SEARCH("COSH",Z94)))</formula>
    </cfRule>
  </conditionalFormatting>
  <conditionalFormatting sqref="Z94">
    <cfRule type="containsText" dxfId="3519" priority="4240" operator="containsText" text="FAT">
      <formula>NOT(ISERROR(SEARCH("FAT",Z94)))</formula>
    </cfRule>
    <cfRule type="containsText" dxfId="3518" priority="4241" operator="containsText" text="FIRE">
      <formula>NOT(ISERROR(SEARCH("FIRE",Z94)))</formula>
    </cfRule>
    <cfRule type="containsText" dxfId="3517" priority="4242" operator="containsText" text="COSH">
      <formula>NOT(ISERROR(SEARCH("COSH",Z94)))</formula>
    </cfRule>
  </conditionalFormatting>
  <conditionalFormatting sqref="Z94">
    <cfRule type="containsText" dxfId="3516" priority="4237" operator="containsText" text="FAT">
      <formula>NOT(ISERROR(SEARCH("FAT",Z94)))</formula>
    </cfRule>
    <cfRule type="containsText" dxfId="3515" priority="4238" operator="containsText" text="FIRE">
      <formula>NOT(ISERROR(SEARCH("FIRE",Z94)))</formula>
    </cfRule>
    <cfRule type="containsText" dxfId="3514" priority="4239" operator="containsText" text="COSH">
      <formula>NOT(ISERROR(SEARCH("COSH",Z94)))</formula>
    </cfRule>
  </conditionalFormatting>
  <conditionalFormatting sqref="Z94">
    <cfRule type="containsText" dxfId="3513" priority="4234" operator="containsText" text="FAT">
      <formula>NOT(ISERROR(SEARCH("FAT",Z94)))</formula>
    </cfRule>
    <cfRule type="containsText" dxfId="3512" priority="4235" operator="containsText" text="FIRE">
      <formula>NOT(ISERROR(SEARCH("FIRE",Z94)))</formula>
    </cfRule>
    <cfRule type="containsText" dxfId="3511" priority="4236" operator="containsText" text="COSH">
      <formula>NOT(ISERROR(SEARCH("COSH",Z94)))</formula>
    </cfRule>
  </conditionalFormatting>
  <conditionalFormatting sqref="Z94">
    <cfRule type="containsText" dxfId="3510" priority="4231" operator="containsText" text="FAT">
      <formula>NOT(ISERROR(SEARCH("FAT",Z94)))</formula>
    </cfRule>
    <cfRule type="containsText" dxfId="3509" priority="4232" operator="containsText" text="FIRE">
      <formula>NOT(ISERROR(SEARCH("FIRE",Z94)))</formula>
    </cfRule>
    <cfRule type="containsText" dxfId="3508" priority="4233" operator="containsText" text="COSH">
      <formula>NOT(ISERROR(SEARCH("COSH",Z94)))</formula>
    </cfRule>
  </conditionalFormatting>
  <conditionalFormatting sqref="Z94">
    <cfRule type="containsText" dxfId="3507" priority="4228" operator="containsText" text="FAT">
      <formula>NOT(ISERROR(SEARCH("FAT",Z94)))</formula>
    </cfRule>
    <cfRule type="containsText" dxfId="3506" priority="4229" operator="containsText" text="FIRE">
      <formula>NOT(ISERROR(SEARCH("FIRE",Z94)))</formula>
    </cfRule>
    <cfRule type="containsText" dxfId="3505" priority="4230" operator="containsText" text="COSH">
      <formula>NOT(ISERROR(SEARCH("COSH",Z94)))</formula>
    </cfRule>
  </conditionalFormatting>
  <conditionalFormatting sqref="Z94">
    <cfRule type="containsText" dxfId="3504" priority="4225" operator="containsText" text="FAT">
      <formula>NOT(ISERROR(SEARCH("FAT",Z94)))</formula>
    </cfRule>
    <cfRule type="containsText" dxfId="3503" priority="4226" operator="containsText" text="FIRE">
      <formula>NOT(ISERROR(SEARCH("FIRE",Z94)))</formula>
    </cfRule>
    <cfRule type="containsText" dxfId="3502" priority="4227" operator="containsText" text="COSH">
      <formula>NOT(ISERROR(SEARCH("COSH",Z94)))</formula>
    </cfRule>
  </conditionalFormatting>
  <conditionalFormatting sqref="Z94">
    <cfRule type="containsText" dxfId="3501" priority="4222" operator="containsText" text="FAT">
      <formula>NOT(ISERROR(SEARCH("FAT",Z94)))</formula>
    </cfRule>
    <cfRule type="containsText" dxfId="3500" priority="4223" operator="containsText" text="FIRE">
      <formula>NOT(ISERROR(SEARCH("FIRE",Z94)))</formula>
    </cfRule>
    <cfRule type="containsText" dxfId="3499" priority="4224" operator="containsText" text="COSH">
      <formula>NOT(ISERROR(SEARCH("COSH",Z94)))</formula>
    </cfRule>
  </conditionalFormatting>
  <conditionalFormatting sqref="Z94">
    <cfRule type="containsText" dxfId="3498" priority="4219" operator="containsText" text="FAT">
      <formula>NOT(ISERROR(SEARCH("FAT",Z94)))</formula>
    </cfRule>
    <cfRule type="containsText" dxfId="3497" priority="4220" operator="containsText" text="FIRE">
      <formula>NOT(ISERROR(SEARCH("FIRE",Z94)))</formula>
    </cfRule>
    <cfRule type="containsText" dxfId="3496" priority="4221" operator="containsText" text="COSH">
      <formula>NOT(ISERROR(SEARCH("COSH",Z94)))</formula>
    </cfRule>
  </conditionalFormatting>
  <conditionalFormatting sqref="M95">
    <cfRule type="containsText" dxfId="3495" priority="4216" operator="containsText" text="FAT">
      <formula>NOT(ISERROR(SEARCH("FAT",M95)))</formula>
    </cfRule>
    <cfRule type="containsText" dxfId="3494" priority="4217" operator="containsText" text="FIRE">
      <formula>NOT(ISERROR(SEARCH("FIRE",M95)))</formula>
    </cfRule>
    <cfRule type="containsText" dxfId="3493" priority="4218" operator="containsText" text="COSH">
      <formula>NOT(ISERROR(SEARCH("COSH",M95)))</formula>
    </cfRule>
  </conditionalFormatting>
  <conditionalFormatting sqref="M95">
    <cfRule type="containsText" dxfId="3492" priority="4213" operator="containsText" text="FAT">
      <formula>NOT(ISERROR(SEARCH("FAT",M95)))</formula>
    </cfRule>
    <cfRule type="containsText" dxfId="3491" priority="4214" operator="containsText" text="FIRE">
      <formula>NOT(ISERROR(SEARCH("FIRE",M95)))</formula>
    </cfRule>
    <cfRule type="containsText" dxfId="3490" priority="4215" operator="containsText" text="COSH">
      <formula>NOT(ISERROR(SEARCH("COSH",M95)))</formula>
    </cfRule>
  </conditionalFormatting>
  <conditionalFormatting sqref="M95">
    <cfRule type="containsText" dxfId="3489" priority="4210" operator="containsText" text="FAT">
      <formula>NOT(ISERROR(SEARCH("FAT",M95)))</formula>
    </cfRule>
    <cfRule type="containsText" dxfId="3488" priority="4211" operator="containsText" text="FIRE">
      <formula>NOT(ISERROR(SEARCH("FIRE",M95)))</formula>
    </cfRule>
    <cfRule type="containsText" dxfId="3487" priority="4212" operator="containsText" text="COSH">
      <formula>NOT(ISERROR(SEARCH("COSH",M95)))</formula>
    </cfRule>
  </conditionalFormatting>
  <conditionalFormatting sqref="M95">
    <cfRule type="containsText" dxfId="3486" priority="4207" operator="containsText" text="FAT">
      <formula>NOT(ISERROR(SEARCH("FAT",M95)))</formula>
    </cfRule>
    <cfRule type="containsText" dxfId="3485" priority="4208" operator="containsText" text="FIRE">
      <formula>NOT(ISERROR(SEARCH("FIRE",M95)))</formula>
    </cfRule>
    <cfRule type="containsText" dxfId="3484" priority="4209" operator="containsText" text="COSH">
      <formula>NOT(ISERROR(SEARCH("COSH",M95)))</formula>
    </cfRule>
  </conditionalFormatting>
  <conditionalFormatting sqref="M95">
    <cfRule type="containsText" dxfId="3483" priority="4204" operator="containsText" text="FAT">
      <formula>NOT(ISERROR(SEARCH("FAT",M95)))</formula>
    </cfRule>
    <cfRule type="containsText" dxfId="3482" priority="4205" operator="containsText" text="FIRE">
      <formula>NOT(ISERROR(SEARCH("FIRE",M95)))</formula>
    </cfRule>
    <cfRule type="containsText" dxfId="3481" priority="4206" operator="containsText" text="COSH">
      <formula>NOT(ISERROR(SEARCH("COSH",M95)))</formula>
    </cfRule>
  </conditionalFormatting>
  <conditionalFormatting sqref="M95">
    <cfRule type="containsText" dxfId="3480" priority="4201" operator="containsText" text="FAT">
      <formula>NOT(ISERROR(SEARCH("FAT",M95)))</formula>
    </cfRule>
    <cfRule type="containsText" dxfId="3479" priority="4202" operator="containsText" text="FIRE">
      <formula>NOT(ISERROR(SEARCH("FIRE",M95)))</formula>
    </cfRule>
    <cfRule type="containsText" dxfId="3478" priority="4203" operator="containsText" text="COSH">
      <formula>NOT(ISERROR(SEARCH("COSH",M95)))</formula>
    </cfRule>
  </conditionalFormatting>
  <conditionalFormatting sqref="M95">
    <cfRule type="containsText" dxfId="3477" priority="4198" operator="containsText" text="FAT">
      <formula>NOT(ISERROR(SEARCH("FAT",M95)))</formula>
    </cfRule>
    <cfRule type="containsText" dxfId="3476" priority="4199" operator="containsText" text="FIRE">
      <formula>NOT(ISERROR(SEARCH("FIRE",M95)))</formula>
    </cfRule>
    <cfRule type="containsText" dxfId="3475" priority="4200" operator="containsText" text="COSH">
      <formula>NOT(ISERROR(SEARCH("COSH",M95)))</formula>
    </cfRule>
  </conditionalFormatting>
  <conditionalFormatting sqref="M95">
    <cfRule type="containsText" dxfId="3474" priority="4195" operator="containsText" text="FAT">
      <formula>NOT(ISERROR(SEARCH("FAT",M95)))</formula>
    </cfRule>
    <cfRule type="containsText" dxfId="3473" priority="4196" operator="containsText" text="FIRE">
      <formula>NOT(ISERROR(SEARCH("FIRE",M95)))</formula>
    </cfRule>
    <cfRule type="containsText" dxfId="3472" priority="4197" operator="containsText" text="COSH">
      <formula>NOT(ISERROR(SEARCH("COSH",M95)))</formula>
    </cfRule>
  </conditionalFormatting>
  <conditionalFormatting sqref="M95">
    <cfRule type="containsText" dxfId="3471" priority="4192" operator="containsText" text="FAT">
      <formula>NOT(ISERROR(SEARCH("FAT",M95)))</formula>
    </cfRule>
    <cfRule type="containsText" dxfId="3470" priority="4193" operator="containsText" text="FIRE">
      <formula>NOT(ISERROR(SEARCH("FIRE",M95)))</formula>
    </cfRule>
    <cfRule type="containsText" dxfId="3469" priority="4194" operator="containsText" text="COSH">
      <formula>NOT(ISERROR(SEARCH("COSH",M95)))</formula>
    </cfRule>
  </conditionalFormatting>
  <conditionalFormatting sqref="M95">
    <cfRule type="containsText" dxfId="3468" priority="4189" operator="containsText" text="FAT">
      <formula>NOT(ISERROR(SEARCH("FAT",M95)))</formula>
    </cfRule>
    <cfRule type="containsText" dxfId="3467" priority="4190" operator="containsText" text="FIRE">
      <formula>NOT(ISERROR(SEARCH("FIRE",M95)))</formula>
    </cfRule>
    <cfRule type="containsText" dxfId="3466" priority="4191" operator="containsText" text="COSH">
      <formula>NOT(ISERROR(SEARCH("COSH",M95)))</formula>
    </cfRule>
  </conditionalFormatting>
  <conditionalFormatting sqref="M95">
    <cfRule type="containsText" dxfId="3465" priority="4186" operator="containsText" text="FAT">
      <formula>NOT(ISERROR(SEARCH("FAT",M95)))</formula>
    </cfRule>
    <cfRule type="containsText" dxfId="3464" priority="4187" operator="containsText" text="FIRE">
      <formula>NOT(ISERROR(SEARCH("FIRE",M95)))</formula>
    </cfRule>
    <cfRule type="containsText" dxfId="3463" priority="4188" operator="containsText" text="COSH">
      <formula>NOT(ISERROR(SEARCH("COSH",M95)))</formula>
    </cfRule>
  </conditionalFormatting>
  <conditionalFormatting sqref="M112:N112">
    <cfRule type="containsText" dxfId="3462" priority="4180" operator="containsText" text="FAT">
      <formula>NOT(ISERROR(SEARCH("FAT",M112)))</formula>
    </cfRule>
    <cfRule type="containsText" dxfId="3461" priority="4181" operator="containsText" text="FIRE">
      <formula>NOT(ISERROR(SEARCH("FIRE",M112)))</formula>
    </cfRule>
    <cfRule type="containsText" dxfId="3460" priority="4182" operator="containsText" text="COSH">
      <formula>NOT(ISERROR(SEARCH("COSH",M112)))</formula>
    </cfRule>
  </conditionalFormatting>
  <conditionalFormatting sqref="K95">
    <cfRule type="containsText" dxfId="3459" priority="4175" operator="containsText" text="FAT">
      <formula>NOT(ISERROR(SEARCH("FAT",K95)))</formula>
    </cfRule>
    <cfRule type="containsText" dxfId="3458" priority="4176" operator="containsText" text="FIRE">
      <formula>NOT(ISERROR(SEARCH("FIRE",K95)))</formula>
    </cfRule>
    <cfRule type="containsText" dxfId="3457" priority="4177" operator="containsText" text="COSH">
      <formula>NOT(ISERROR(SEARCH("COSH",K95)))</formula>
    </cfRule>
  </conditionalFormatting>
  <conditionalFormatting sqref="J96 J94 J98:J100">
    <cfRule type="containsText" dxfId="3456" priority="4172" operator="containsText" text="FAT">
      <formula>NOT(ISERROR(SEARCH("FAT",J94)))</formula>
    </cfRule>
    <cfRule type="containsText" dxfId="3455" priority="4173" operator="containsText" text="FIRE">
      <formula>NOT(ISERROR(SEARCH("FIRE",J94)))</formula>
    </cfRule>
    <cfRule type="containsText" dxfId="3454" priority="4174" operator="containsText" text="COSH">
      <formula>NOT(ISERROR(SEARCH("COSH",J94)))</formula>
    </cfRule>
  </conditionalFormatting>
  <conditionalFormatting sqref="J95">
    <cfRule type="containsText" dxfId="3453" priority="4169" operator="containsText" text="FAT">
      <formula>NOT(ISERROR(SEARCH("FAT",J95)))</formula>
    </cfRule>
    <cfRule type="containsText" dxfId="3452" priority="4170" operator="containsText" text="FIRE">
      <formula>NOT(ISERROR(SEARCH("FIRE",J95)))</formula>
    </cfRule>
    <cfRule type="containsText" dxfId="3451" priority="4171" operator="containsText" text="COSH">
      <formula>NOT(ISERROR(SEARCH("COSH",J95)))</formula>
    </cfRule>
  </conditionalFormatting>
  <conditionalFormatting sqref="J101:J102 K102">
    <cfRule type="containsText" dxfId="3450" priority="4166" operator="containsText" text="FAT">
      <formula>NOT(ISERROR(SEARCH("FAT",J101)))</formula>
    </cfRule>
    <cfRule type="containsText" dxfId="3449" priority="4167" operator="containsText" text="FIRE">
      <formula>NOT(ISERROR(SEARCH("FIRE",J101)))</formula>
    </cfRule>
    <cfRule type="containsText" dxfId="3448" priority="4168" operator="containsText" text="COSH">
      <formula>NOT(ISERROR(SEARCH("COSH",J101)))</formula>
    </cfRule>
  </conditionalFormatting>
  <conditionalFormatting sqref="J104:K104">
    <cfRule type="containsText" dxfId="3447" priority="4163" operator="containsText" text="FAT">
      <formula>NOT(ISERROR(SEARCH("FAT",J104)))</formula>
    </cfRule>
    <cfRule type="containsText" dxfId="3446" priority="4164" operator="containsText" text="FIRE">
      <formula>NOT(ISERROR(SEARCH("FIRE",J104)))</formula>
    </cfRule>
    <cfRule type="containsText" dxfId="3445" priority="4165" operator="containsText" text="COSH">
      <formula>NOT(ISERROR(SEARCH("COSH",J104)))</formula>
    </cfRule>
  </conditionalFormatting>
  <conditionalFormatting sqref="K104">
    <cfRule type="containsText" dxfId="3444" priority="4160" operator="containsText" text="FAT">
      <formula>NOT(ISERROR(SEARCH("FAT",K104)))</formula>
    </cfRule>
    <cfRule type="containsText" dxfId="3443" priority="4161" operator="containsText" text="FIRE">
      <formula>NOT(ISERROR(SEARCH("FIRE",K104)))</formula>
    </cfRule>
    <cfRule type="containsText" dxfId="3442" priority="4162" operator="containsText" text="COSH">
      <formula>NOT(ISERROR(SEARCH("COSH",K104)))</formula>
    </cfRule>
  </conditionalFormatting>
  <conditionalFormatting sqref="K105">
    <cfRule type="containsText" dxfId="3441" priority="4157" operator="containsText" text="FAT">
      <formula>NOT(ISERROR(SEARCH("FAT",K105)))</formula>
    </cfRule>
    <cfRule type="containsText" dxfId="3440" priority="4158" operator="containsText" text="FIRE">
      <formula>NOT(ISERROR(SEARCH("FIRE",K105)))</formula>
    </cfRule>
    <cfRule type="containsText" dxfId="3439" priority="4159" operator="containsText" text="COSH">
      <formula>NOT(ISERROR(SEARCH("COSH",K105)))</formula>
    </cfRule>
  </conditionalFormatting>
  <conditionalFormatting sqref="J104">
    <cfRule type="containsText" dxfId="3438" priority="4154" operator="containsText" text="FAT">
      <formula>NOT(ISERROR(SEARCH("FAT",J104)))</formula>
    </cfRule>
    <cfRule type="containsText" dxfId="3437" priority="4155" operator="containsText" text="FIRE">
      <formula>NOT(ISERROR(SEARCH("FIRE",J104)))</formula>
    </cfRule>
    <cfRule type="containsText" dxfId="3436" priority="4156" operator="containsText" text="COSH">
      <formula>NOT(ISERROR(SEARCH("COSH",J104)))</formula>
    </cfRule>
  </conditionalFormatting>
  <conditionalFormatting sqref="J105">
    <cfRule type="containsText" dxfId="3435" priority="4151" operator="containsText" text="FAT">
      <formula>NOT(ISERROR(SEARCH("FAT",J105)))</formula>
    </cfRule>
    <cfRule type="containsText" dxfId="3434" priority="4152" operator="containsText" text="FIRE">
      <formula>NOT(ISERROR(SEARCH("FIRE",J105)))</formula>
    </cfRule>
    <cfRule type="containsText" dxfId="3433" priority="4153" operator="containsText" text="COSH">
      <formula>NOT(ISERROR(SEARCH("COSH",J105)))</formula>
    </cfRule>
  </conditionalFormatting>
  <conditionalFormatting sqref="J104">
    <cfRule type="containsText" dxfId="3432" priority="4148" operator="containsText" text="FAT">
      <formula>NOT(ISERROR(SEARCH("FAT",J104)))</formula>
    </cfRule>
    <cfRule type="containsText" dxfId="3431" priority="4149" operator="containsText" text="FIRE">
      <formula>NOT(ISERROR(SEARCH("FIRE",J104)))</formula>
    </cfRule>
    <cfRule type="containsText" dxfId="3430" priority="4150" operator="containsText" text="COSH">
      <formula>NOT(ISERROR(SEARCH("COSH",J104)))</formula>
    </cfRule>
  </conditionalFormatting>
  <conditionalFormatting sqref="K112">
    <cfRule type="containsText" dxfId="3429" priority="4145" operator="containsText" text="FAT">
      <formula>NOT(ISERROR(SEARCH("FAT",K112)))</formula>
    </cfRule>
    <cfRule type="containsText" dxfId="3428" priority="4146" operator="containsText" text="FIRE">
      <formula>NOT(ISERROR(SEARCH("FIRE",K112)))</formula>
    </cfRule>
    <cfRule type="containsText" dxfId="3427" priority="4147" operator="containsText" text="COSH">
      <formula>NOT(ISERROR(SEARCH("COSH",K112)))</formula>
    </cfRule>
  </conditionalFormatting>
  <conditionalFormatting sqref="J112">
    <cfRule type="containsText" dxfId="3426" priority="4142" operator="containsText" text="FAT">
      <formula>NOT(ISERROR(SEARCH("FAT",J112)))</formula>
    </cfRule>
    <cfRule type="containsText" dxfId="3425" priority="4143" operator="containsText" text="FIRE">
      <formula>NOT(ISERROR(SEARCH("FIRE",J112)))</formula>
    </cfRule>
    <cfRule type="containsText" dxfId="3424" priority="4144" operator="containsText" text="COSH">
      <formula>NOT(ISERROR(SEARCH("COSH",J112)))</formula>
    </cfRule>
  </conditionalFormatting>
  <conditionalFormatting sqref="S102">
    <cfRule type="containsText" dxfId="3423" priority="4139" operator="containsText" text="FAT">
      <formula>NOT(ISERROR(SEARCH("FAT",S102)))</formula>
    </cfRule>
    <cfRule type="containsText" dxfId="3422" priority="4140" operator="containsText" text="FIRE">
      <formula>NOT(ISERROR(SEARCH("FIRE",S102)))</formula>
    </cfRule>
    <cfRule type="containsText" dxfId="3421" priority="4141" operator="containsText" text="COSH">
      <formula>NOT(ISERROR(SEARCH("COSH",S102)))</formula>
    </cfRule>
  </conditionalFormatting>
  <conditionalFormatting sqref="R104">
    <cfRule type="containsText" dxfId="3420" priority="4136" operator="containsText" text="FAT">
      <formula>NOT(ISERROR(SEARCH("FAT",R104)))</formula>
    </cfRule>
    <cfRule type="containsText" dxfId="3419" priority="4137" operator="containsText" text="FIRE">
      <formula>NOT(ISERROR(SEARCH("FIRE",R104)))</formula>
    </cfRule>
    <cfRule type="containsText" dxfId="3418" priority="4138" operator="containsText" text="COSH">
      <formula>NOT(ISERROR(SEARCH("COSH",R104)))</formula>
    </cfRule>
  </conditionalFormatting>
  <conditionalFormatting sqref="R102">
    <cfRule type="containsText" dxfId="3417" priority="4133" operator="containsText" text="FAT">
      <formula>NOT(ISERROR(SEARCH("FAT",R102)))</formula>
    </cfRule>
    <cfRule type="containsText" dxfId="3416" priority="4134" operator="containsText" text="FIRE">
      <formula>NOT(ISERROR(SEARCH("FIRE",R102)))</formula>
    </cfRule>
    <cfRule type="containsText" dxfId="3415" priority="4135" operator="containsText" text="COSH">
      <formula>NOT(ISERROR(SEARCH("COSH",R102)))</formula>
    </cfRule>
  </conditionalFormatting>
  <conditionalFormatting sqref="R103">
    <cfRule type="containsText" dxfId="3414" priority="4130" operator="containsText" text="FAT">
      <formula>NOT(ISERROR(SEARCH("FAT",R103)))</formula>
    </cfRule>
    <cfRule type="containsText" dxfId="3413" priority="4131" operator="containsText" text="FIRE">
      <formula>NOT(ISERROR(SEARCH("FIRE",R103)))</formula>
    </cfRule>
    <cfRule type="containsText" dxfId="3412" priority="4132" operator="containsText" text="COSH">
      <formula>NOT(ISERROR(SEARCH("COSH",R103)))</formula>
    </cfRule>
  </conditionalFormatting>
  <conditionalFormatting sqref="S95">
    <cfRule type="containsText" dxfId="3411" priority="4127" operator="containsText" text="FAT">
      <formula>NOT(ISERROR(SEARCH("FAT",S95)))</formula>
    </cfRule>
    <cfRule type="containsText" dxfId="3410" priority="4128" operator="containsText" text="FIRE">
      <formula>NOT(ISERROR(SEARCH("FIRE",S95)))</formula>
    </cfRule>
    <cfRule type="containsText" dxfId="3409" priority="4129" operator="containsText" text="COSH">
      <formula>NOT(ISERROR(SEARCH("COSH",S95)))</formula>
    </cfRule>
  </conditionalFormatting>
  <conditionalFormatting sqref="R94 R96:R100">
    <cfRule type="containsText" dxfId="3408" priority="4124" operator="containsText" text="FAT">
      <formula>NOT(ISERROR(SEARCH("FAT",R94)))</formula>
    </cfRule>
    <cfRule type="containsText" dxfId="3407" priority="4125" operator="containsText" text="FIRE">
      <formula>NOT(ISERROR(SEARCH("FIRE",R94)))</formula>
    </cfRule>
    <cfRule type="containsText" dxfId="3406" priority="4126" operator="containsText" text="COSH">
      <formula>NOT(ISERROR(SEARCH("COSH",R94)))</formula>
    </cfRule>
  </conditionalFormatting>
  <conditionalFormatting sqref="R95">
    <cfRule type="containsText" dxfId="3405" priority="4121" operator="containsText" text="FAT">
      <formula>NOT(ISERROR(SEARCH("FAT",R95)))</formula>
    </cfRule>
    <cfRule type="containsText" dxfId="3404" priority="4122" operator="containsText" text="FIRE">
      <formula>NOT(ISERROR(SEARCH("FIRE",R95)))</formula>
    </cfRule>
    <cfRule type="containsText" dxfId="3403" priority="4123" operator="containsText" text="COSH">
      <formula>NOT(ISERROR(SEARCH("COSH",R95)))</formula>
    </cfRule>
  </conditionalFormatting>
  <conditionalFormatting sqref="R101:R102">
    <cfRule type="containsText" dxfId="3402" priority="4118" operator="containsText" text="FAT">
      <formula>NOT(ISERROR(SEARCH("FAT",R101)))</formula>
    </cfRule>
    <cfRule type="containsText" dxfId="3401" priority="4119" operator="containsText" text="FIRE">
      <formula>NOT(ISERROR(SEARCH("FIRE",R101)))</formula>
    </cfRule>
    <cfRule type="containsText" dxfId="3400" priority="4120" operator="containsText" text="COSH">
      <formula>NOT(ISERROR(SEARCH("COSH",R101)))</formula>
    </cfRule>
  </conditionalFormatting>
  <conditionalFormatting sqref="R104:S104">
    <cfRule type="containsText" dxfId="3399" priority="4115" operator="containsText" text="FAT">
      <formula>NOT(ISERROR(SEARCH("FAT",R104)))</formula>
    </cfRule>
    <cfRule type="containsText" dxfId="3398" priority="4116" operator="containsText" text="FIRE">
      <formula>NOT(ISERROR(SEARCH("FIRE",R104)))</formula>
    </cfRule>
    <cfRule type="containsText" dxfId="3397" priority="4117" operator="containsText" text="COSH">
      <formula>NOT(ISERROR(SEARCH("COSH",R104)))</formula>
    </cfRule>
  </conditionalFormatting>
  <conditionalFormatting sqref="S104">
    <cfRule type="containsText" dxfId="3396" priority="4112" operator="containsText" text="FAT">
      <formula>NOT(ISERROR(SEARCH("FAT",S104)))</formula>
    </cfRule>
    <cfRule type="containsText" dxfId="3395" priority="4113" operator="containsText" text="FIRE">
      <formula>NOT(ISERROR(SEARCH("FIRE",S104)))</formula>
    </cfRule>
    <cfRule type="containsText" dxfId="3394" priority="4114" operator="containsText" text="COSH">
      <formula>NOT(ISERROR(SEARCH("COSH",S104)))</formula>
    </cfRule>
  </conditionalFormatting>
  <conditionalFormatting sqref="R104">
    <cfRule type="containsText" dxfId="3393" priority="4109" operator="containsText" text="FAT">
      <formula>NOT(ISERROR(SEARCH("FAT",R104)))</formula>
    </cfRule>
    <cfRule type="containsText" dxfId="3392" priority="4110" operator="containsText" text="FIRE">
      <formula>NOT(ISERROR(SEARCH("FIRE",R104)))</formula>
    </cfRule>
    <cfRule type="containsText" dxfId="3391" priority="4111" operator="containsText" text="COSH">
      <formula>NOT(ISERROR(SEARCH("COSH",R104)))</formula>
    </cfRule>
  </conditionalFormatting>
  <conditionalFormatting sqref="R104">
    <cfRule type="containsText" dxfId="3390" priority="4106" operator="containsText" text="FAT">
      <formula>NOT(ISERROR(SEARCH("FAT",R104)))</formula>
    </cfRule>
    <cfRule type="containsText" dxfId="3389" priority="4107" operator="containsText" text="FIRE">
      <formula>NOT(ISERROR(SEARCH("FIRE",R104)))</formula>
    </cfRule>
    <cfRule type="containsText" dxfId="3388" priority="4108" operator="containsText" text="COSH">
      <formula>NOT(ISERROR(SEARCH("COSH",R104)))</formula>
    </cfRule>
  </conditionalFormatting>
  <conditionalFormatting sqref="Z94">
    <cfRule type="containsText" dxfId="3387" priority="4103" operator="containsText" text="FAT">
      <formula>NOT(ISERROR(SEARCH("FAT",Z94)))</formula>
    </cfRule>
    <cfRule type="containsText" dxfId="3386" priority="4104" operator="containsText" text="FIRE">
      <formula>NOT(ISERROR(SEARCH("FIRE",Z94)))</formula>
    </cfRule>
    <cfRule type="containsText" dxfId="3385" priority="4105" operator="containsText" text="COSH">
      <formula>NOT(ISERROR(SEARCH("COSH",Z94)))</formula>
    </cfRule>
  </conditionalFormatting>
  <conditionalFormatting sqref="Z94">
    <cfRule type="cellIs" dxfId="3384" priority="4102" operator="between">
      <formula>1</formula>
      <formula>3</formula>
    </cfRule>
  </conditionalFormatting>
  <conditionalFormatting sqref="Z104">
    <cfRule type="containsText" dxfId="3383" priority="4099" operator="containsText" text="FAT">
      <formula>NOT(ISERROR(SEARCH("FAT",Z104)))</formula>
    </cfRule>
    <cfRule type="containsText" dxfId="3382" priority="4100" operator="containsText" text="FIRE">
      <formula>NOT(ISERROR(SEARCH("FIRE",Z104)))</formula>
    </cfRule>
    <cfRule type="containsText" dxfId="3381" priority="4101" operator="containsText" text="COSH">
      <formula>NOT(ISERROR(SEARCH("COSH",Z104)))</formula>
    </cfRule>
  </conditionalFormatting>
  <conditionalFormatting sqref="Z102">
    <cfRule type="containsText" dxfId="3380" priority="4096" operator="containsText" text="FAT">
      <formula>NOT(ISERROR(SEARCH("FAT",Z102)))</formula>
    </cfRule>
    <cfRule type="containsText" dxfId="3379" priority="4097" operator="containsText" text="FIRE">
      <formula>NOT(ISERROR(SEARCH("FIRE",Z102)))</formula>
    </cfRule>
    <cfRule type="containsText" dxfId="3378" priority="4098" operator="containsText" text="COSH">
      <formula>NOT(ISERROR(SEARCH("COSH",Z102)))</formula>
    </cfRule>
  </conditionalFormatting>
  <conditionalFormatting sqref="Z103">
    <cfRule type="containsText" dxfId="3377" priority="4093" operator="containsText" text="FAT">
      <formula>NOT(ISERROR(SEARCH("FAT",Z103)))</formula>
    </cfRule>
    <cfRule type="containsText" dxfId="3376" priority="4094" operator="containsText" text="FIRE">
      <formula>NOT(ISERROR(SEARCH("FIRE",Z103)))</formula>
    </cfRule>
    <cfRule type="containsText" dxfId="3375" priority="4095" operator="containsText" text="COSH">
      <formula>NOT(ISERROR(SEARCH("COSH",Z103)))</formula>
    </cfRule>
  </conditionalFormatting>
  <conditionalFormatting sqref="Z94 Z96:Z100">
    <cfRule type="containsText" dxfId="3374" priority="4090" operator="containsText" text="FAT">
      <formula>NOT(ISERROR(SEARCH("FAT",Z94)))</formula>
    </cfRule>
    <cfRule type="containsText" dxfId="3373" priority="4091" operator="containsText" text="FIRE">
      <formula>NOT(ISERROR(SEARCH("FIRE",Z94)))</formula>
    </cfRule>
    <cfRule type="containsText" dxfId="3372" priority="4092" operator="containsText" text="COSH">
      <formula>NOT(ISERROR(SEARCH("COSH",Z94)))</formula>
    </cfRule>
  </conditionalFormatting>
  <conditionalFormatting sqref="Z95">
    <cfRule type="containsText" dxfId="3371" priority="4087" operator="containsText" text="FAT">
      <formula>NOT(ISERROR(SEARCH("FAT",Z95)))</formula>
    </cfRule>
    <cfRule type="containsText" dxfId="3370" priority="4088" operator="containsText" text="FIRE">
      <formula>NOT(ISERROR(SEARCH("FIRE",Z95)))</formula>
    </cfRule>
    <cfRule type="containsText" dxfId="3369" priority="4089" operator="containsText" text="COSH">
      <formula>NOT(ISERROR(SEARCH("COSH",Z95)))</formula>
    </cfRule>
  </conditionalFormatting>
  <conditionalFormatting sqref="Z101:Z102">
    <cfRule type="containsText" dxfId="3368" priority="4084" operator="containsText" text="FAT">
      <formula>NOT(ISERROR(SEARCH("FAT",Z101)))</formula>
    </cfRule>
    <cfRule type="containsText" dxfId="3367" priority="4085" operator="containsText" text="FIRE">
      <formula>NOT(ISERROR(SEARCH("FIRE",Z101)))</formula>
    </cfRule>
    <cfRule type="containsText" dxfId="3366" priority="4086" operator="containsText" text="COSH">
      <formula>NOT(ISERROR(SEARCH("COSH",Z101)))</formula>
    </cfRule>
  </conditionalFormatting>
  <conditionalFormatting sqref="Z104">
    <cfRule type="containsText" dxfId="3365" priority="4081" operator="containsText" text="FAT">
      <formula>NOT(ISERROR(SEARCH("FAT",Z104)))</formula>
    </cfRule>
    <cfRule type="containsText" dxfId="3364" priority="4082" operator="containsText" text="FIRE">
      <formula>NOT(ISERROR(SEARCH("FIRE",Z104)))</formula>
    </cfRule>
    <cfRule type="containsText" dxfId="3363" priority="4083" operator="containsText" text="COSH">
      <formula>NOT(ISERROR(SEARCH("COSH",Z104)))</formula>
    </cfRule>
  </conditionalFormatting>
  <conditionalFormatting sqref="Z104">
    <cfRule type="containsText" dxfId="3362" priority="4078" operator="containsText" text="FAT">
      <formula>NOT(ISERROR(SEARCH("FAT",Z104)))</formula>
    </cfRule>
    <cfRule type="containsText" dxfId="3361" priority="4079" operator="containsText" text="FIRE">
      <formula>NOT(ISERROR(SEARCH("FIRE",Z104)))</formula>
    </cfRule>
    <cfRule type="containsText" dxfId="3360" priority="4080" operator="containsText" text="COSH">
      <formula>NOT(ISERROR(SEARCH("COSH",Z104)))</formula>
    </cfRule>
  </conditionalFormatting>
  <conditionalFormatting sqref="Z104">
    <cfRule type="containsText" dxfId="3359" priority="4075" operator="containsText" text="FAT">
      <formula>NOT(ISERROR(SEARCH("FAT",Z104)))</formula>
    </cfRule>
    <cfRule type="containsText" dxfId="3358" priority="4076" operator="containsText" text="FIRE">
      <formula>NOT(ISERROR(SEARCH("FIRE",Z104)))</formula>
    </cfRule>
    <cfRule type="containsText" dxfId="3357" priority="4077" operator="containsText" text="COSH">
      <formula>NOT(ISERROR(SEARCH("COSH",Z104)))</formula>
    </cfRule>
  </conditionalFormatting>
  <conditionalFormatting sqref="Y103">
    <cfRule type="containsText" dxfId="3356" priority="4072" operator="containsText" text="FAT">
      <formula>NOT(ISERROR(SEARCH("FAT",Y103)))</formula>
    </cfRule>
    <cfRule type="containsText" dxfId="3355" priority="4073" operator="containsText" text="FIRE">
      <formula>NOT(ISERROR(SEARCH("FIRE",Y103)))</formula>
    </cfRule>
    <cfRule type="containsText" dxfId="3354" priority="4074" operator="containsText" text="COSH">
      <formula>NOT(ISERROR(SEARCH("COSH",Y103)))</formula>
    </cfRule>
  </conditionalFormatting>
  <conditionalFormatting sqref="W103">
    <cfRule type="containsText" dxfId="3353" priority="4069" operator="containsText" text="FAT">
      <formula>NOT(ISERROR(SEARCH("FAT",W103)))</formula>
    </cfRule>
    <cfRule type="containsText" dxfId="3352" priority="4070" operator="containsText" text="FIRE">
      <formula>NOT(ISERROR(SEARCH("FIRE",W103)))</formula>
    </cfRule>
    <cfRule type="containsText" dxfId="3351" priority="4071" operator="containsText" text="COSH">
      <formula>NOT(ISERROR(SEARCH("COSH",W103)))</formula>
    </cfRule>
  </conditionalFormatting>
  <conditionalFormatting sqref="U103 T116">
    <cfRule type="containsText" dxfId="3350" priority="4066" operator="containsText" text="FAT">
      <formula>NOT(ISERROR(SEARCH("FAT",T103)))</formula>
    </cfRule>
    <cfRule type="containsText" dxfId="3349" priority="4067" operator="containsText" text="FIRE">
      <formula>NOT(ISERROR(SEARCH("FIRE",T103)))</formula>
    </cfRule>
    <cfRule type="containsText" dxfId="3348" priority="4068" operator="containsText" text="COSH">
      <formula>NOT(ISERROR(SEARCH("COSH",T103)))</formula>
    </cfRule>
  </conditionalFormatting>
  <conditionalFormatting sqref="X103">
    <cfRule type="containsText" dxfId="3347" priority="4063" operator="containsText" text="FAT">
      <formula>NOT(ISERROR(SEARCH("FAT",X103)))</formula>
    </cfRule>
    <cfRule type="containsText" dxfId="3346" priority="4064" operator="containsText" text="FIRE">
      <formula>NOT(ISERROR(SEARCH("FIRE",X103)))</formula>
    </cfRule>
    <cfRule type="containsText" dxfId="3345" priority="4065" operator="containsText" text="COSH">
      <formula>NOT(ISERROR(SEARCH("COSH",X103)))</formula>
    </cfRule>
  </conditionalFormatting>
  <conditionalFormatting sqref="V103">
    <cfRule type="containsText" dxfId="3344" priority="4060" operator="containsText" text="FAT">
      <formula>NOT(ISERROR(SEARCH("FAT",V103)))</formula>
    </cfRule>
    <cfRule type="containsText" dxfId="3343" priority="4061" operator="containsText" text="FIRE">
      <formula>NOT(ISERROR(SEARCH("FIRE",V103)))</formula>
    </cfRule>
    <cfRule type="containsText" dxfId="3342" priority="4062" operator="containsText" text="COSH">
      <formula>NOT(ISERROR(SEARCH("COSH",V103)))</formula>
    </cfRule>
  </conditionalFormatting>
  <conditionalFormatting sqref="Y104">
    <cfRule type="containsText" dxfId="3341" priority="4057" operator="containsText" text="FAT">
      <formula>NOT(ISERROR(SEARCH("FAT",Y104)))</formula>
    </cfRule>
    <cfRule type="containsText" dxfId="3340" priority="4058" operator="containsText" text="FIRE">
      <formula>NOT(ISERROR(SEARCH("FIRE",Y104)))</formula>
    </cfRule>
    <cfRule type="containsText" dxfId="3339" priority="4059" operator="containsText" text="COSH">
      <formula>NOT(ISERROR(SEARCH("COSH",Y104)))</formula>
    </cfRule>
  </conditionalFormatting>
  <conditionalFormatting sqref="W104">
    <cfRule type="containsText" dxfId="3338" priority="4054" operator="containsText" text="FAT">
      <formula>NOT(ISERROR(SEARCH("FAT",W104)))</formula>
    </cfRule>
    <cfRule type="containsText" dxfId="3337" priority="4055" operator="containsText" text="FIRE">
      <formula>NOT(ISERROR(SEARCH("FIRE",W104)))</formula>
    </cfRule>
    <cfRule type="containsText" dxfId="3336" priority="4056" operator="containsText" text="COSH">
      <formula>NOT(ISERROR(SEARCH("COSH",W104)))</formula>
    </cfRule>
  </conditionalFormatting>
  <conditionalFormatting sqref="U104">
    <cfRule type="containsText" dxfId="3335" priority="4051" operator="containsText" text="FAT">
      <formula>NOT(ISERROR(SEARCH("FAT",U104)))</formula>
    </cfRule>
    <cfRule type="containsText" dxfId="3334" priority="4052" operator="containsText" text="FIRE">
      <formula>NOT(ISERROR(SEARCH("FIRE",U104)))</formula>
    </cfRule>
    <cfRule type="containsText" dxfId="3333" priority="4053" operator="containsText" text="COSH">
      <formula>NOT(ISERROR(SEARCH("COSH",U104)))</formula>
    </cfRule>
  </conditionalFormatting>
  <conditionalFormatting sqref="X104:X108 X113:X116">
    <cfRule type="containsText" dxfId="3332" priority="4048" operator="containsText" text="FAT">
      <formula>NOT(ISERROR(SEARCH("FAT",X104)))</formula>
    </cfRule>
    <cfRule type="containsText" dxfId="3331" priority="4049" operator="containsText" text="FIRE">
      <formula>NOT(ISERROR(SEARCH("FIRE",X104)))</formula>
    </cfRule>
    <cfRule type="containsText" dxfId="3330" priority="4050" operator="containsText" text="COSH">
      <formula>NOT(ISERROR(SEARCH("COSH",X104)))</formula>
    </cfRule>
  </conditionalFormatting>
  <conditionalFormatting sqref="V104">
    <cfRule type="containsText" dxfId="3329" priority="4045" operator="containsText" text="FAT">
      <formula>NOT(ISERROR(SEARCH("FAT",V104)))</formula>
    </cfRule>
    <cfRule type="containsText" dxfId="3328" priority="4046" operator="containsText" text="FIRE">
      <formula>NOT(ISERROR(SEARCH("FIRE",V104)))</formula>
    </cfRule>
    <cfRule type="containsText" dxfId="3327" priority="4047" operator="containsText" text="COSH">
      <formula>NOT(ISERROR(SEARCH("COSH",V104)))</formula>
    </cfRule>
  </conditionalFormatting>
  <conditionalFormatting sqref="Y104">
    <cfRule type="containsText" dxfId="3326" priority="4042" operator="containsText" text="FAT">
      <formula>NOT(ISERROR(SEARCH("FAT",Y104)))</formula>
    </cfRule>
    <cfRule type="containsText" dxfId="3325" priority="4043" operator="containsText" text="FIRE">
      <formula>NOT(ISERROR(SEARCH("FIRE",Y104)))</formula>
    </cfRule>
    <cfRule type="containsText" dxfId="3324" priority="4044" operator="containsText" text="COSH">
      <formula>NOT(ISERROR(SEARCH("COSH",Y104)))</formula>
    </cfRule>
  </conditionalFormatting>
  <conditionalFormatting sqref="W104">
    <cfRule type="containsText" dxfId="3323" priority="4039" operator="containsText" text="FAT">
      <formula>NOT(ISERROR(SEARCH("FAT",W104)))</formula>
    </cfRule>
    <cfRule type="containsText" dxfId="3322" priority="4040" operator="containsText" text="FIRE">
      <formula>NOT(ISERROR(SEARCH("FIRE",W104)))</formula>
    </cfRule>
    <cfRule type="containsText" dxfId="3321" priority="4041" operator="containsText" text="COSH">
      <formula>NOT(ISERROR(SEARCH("COSH",W104)))</formula>
    </cfRule>
  </conditionalFormatting>
  <conditionalFormatting sqref="U104">
    <cfRule type="containsText" dxfId="3320" priority="4036" operator="containsText" text="FAT">
      <formula>NOT(ISERROR(SEARCH("FAT",U104)))</formula>
    </cfRule>
    <cfRule type="containsText" dxfId="3319" priority="4037" operator="containsText" text="FIRE">
      <formula>NOT(ISERROR(SEARCH("FIRE",U104)))</formula>
    </cfRule>
    <cfRule type="containsText" dxfId="3318" priority="4038" operator="containsText" text="COSH">
      <formula>NOT(ISERROR(SEARCH("COSH",U104)))</formula>
    </cfRule>
  </conditionalFormatting>
  <conditionalFormatting sqref="X104:X108 X113:X116">
    <cfRule type="containsText" dxfId="3317" priority="4033" operator="containsText" text="FAT">
      <formula>NOT(ISERROR(SEARCH("FAT",X104)))</formula>
    </cfRule>
    <cfRule type="containsText" dxfId="3316" priority="4034" operator="containsText" text="FIRE">
      <formula>NOT(ISERROR(SEARCH("FIRE",X104)))</formula>
    </cfRule>
    <cfRule type="containsText" dxfId="3315" priority="4035" operator="containsText" text="COSH">
      <formula>NOT(ISERROR(SEARCH("COSH",X104)))</formula>
    </cfRule>
  </conditionalFormatting>
  <conditionalFormatting sqref="V104">
    <cfRule type="containsText" dxfId="3314" priority="4030" operator="containsText" text="FAT">
      <formula>NOT(ISERROR(SEARCH("FAT",V104)))</formula>
    </cfRule>
    <cfRule type="containsText" dxfId="3313" priority="4031" operator="containsText" text="FIRE">
      <formula>NOT(ISERROR(SEARCH("FIRE",V104)))</formula>
    </cfRule>
    <cfRule type="containsText" dxfId="3312" priority="4032" operator="containsText" text="COSH">
      <formula>NOT(ISERROR(SEARCH("COSH",V104)))</formula>
    </cfRule>
  </conditionalFormatting>
  <conditionalFormatting sqref="Y107">
    <cfRule type="containsText" dxfId="3311" priority="4027" operator="containsText" text="FAT">
      <formula>NOT(ISERROR(SEARCH("FAT",Y107)))</formula>
    </cfRule>
    <cfRule type="containsText" dxfId="3310" priority="4028" operator="containsText" text="FIRE">
      <formula>NOT(ISERROR(SEARCH("FIRE",Y107)))</formula>
    </cfRule>
    <cfRule type="containsText" dxfId="3309" priority="4029" operator="containsText" text="COSH">
      <formula>NOT(ISERROR(SEARCH("COSH",Y107)))</formula>
    </cfRule>
  </conditionalFormatting>
  <conditionalFormatting sqref="W107">
    <cfRule type="containsText" dxfId="3308" priority="4024" operator="containsText" text="FAT">
      <formula>NOT(ISERROR(SEARCH("FAT",W107)))</formula>
    </cfRule>
    <cfRule type="containsText" dxfId="3307" priority="4025" operator="containsText" text="FIRE">
      <formula>NOT(ISERROR(SEARCH("FIRE",W107)))</formula>
    </cfRule>
    <cfRule type="containsText" dxfId="3306" priority="4026" operator="containsText" text="COSH">
      <formula>NOT(ISERROR(SEARCH("COSH",W107)))</formula>
    </cfRule>
  </conditionalFormatting>
  <conditionalFormatting sqref="U107">
    <cfRule type="containsText" dxfId="3305" priority="4021" operator="containsText" text="FAT">
      <formula>NOT(ISERROR(SEARCH("FAT",U107)))</formula>
    </cfRule>
    <cfRule type="containsText" dxfId="3304" priority="4022" operator="containsText" text="FIRE">
      <formula>NOT(ISERROR(SEARCH("FIRE",U107)))</formula>
    </cfRule>
    <cfRule type="containsText" dxfId="3303" priority="4023" operator="containsText" text="COSH">
      <formula>NOT(ISERROR(SEARCH("COSH",U107)))</formula>
    </cfRule>
  </conditionalFormatting>
  <conditionalFormatting sqref="V107">
    <cfRule type="containsText" dxfId="3302" priority="4018" operator="containsText" text="FAT">
      <formula>NOT(ISERROR(SEARCH("FAT",V107)))</formula>
    </cfRule>
    <cfRule type="containsText" dxfId="3301" priority="4019" operator="containsText" text="FIRE">
      <formula>NOT(ISERROR(SEARCH("FIRE",V107)))</formula>
    </cfRule>
    <cfRule type="containsText" dxfId="3300" priority="4020" operator="containsText" text="COSH">
      <formula>NOT(ISERROR(SEARCH("COSH",V107)))</formula>
    </cfRule>
  </conditionalFormatting>
  <conditionalFormatting sqref="Y107">
    <cfRule type="containsText" dxfId="3299" priority="4015" operator="containsText" text="FAT">
      <formula>NOT(ISERROR(SEARCH("FAT",Y107)))</formula>
    </cfRule>
    <cfRule type="containsText" dxfId="3298" priority="4016" operator="containsText" text="FIRE">
      <formula>NOT(ISERROR(SEARCH("FIRE",Y107)))</formula>
    </cfRule>
    <cfRule type="containsText" dxfId="3297" priority="4017" operator="containsText" text="COSH">
      <formula>NOT(ISERROR(SEARCH("COSH",Y107)))</formula>
    </cfRule>
  </conditionalFormatting>
  <conditionalFormatting sqref="W107">
    <cfRule type="containsText" dxfId="3296" priority="4012" operator="containsText" text="FAT">
      <formula>NOT(ISERROR(SEARCH("FAT",W107)))</formula>
    </cfRule>
    <cfRule type="containsText" dxfId="3295" priority="4013" operator="containsText" text="FIRE">
      <formula>NOT(ISERROR(SEARCH("FIRE",W107)))</formula>
    </cfRule>
    <cfRule type="containsText" dxfId="3294" priority="4014" operator="containsText" text="COSH">
      <formula>NOT(ISERROR(SEARCH("COSH",W107)))</formula>
    </cfRule>
  </conditionalFormatting>
  <conditionalFormatting sqref="U107">
    <cfRule type="containsText" dxfId="3293" priority="4009" operator="containsText" text="FAT">
      <formula>NOT(ISERROR(SEARCH("FAT",U107)))</formula>
    </cfRule>
    <cfRule type="containsText" dxfId="3292" priority="4010" operator="containsText" text="FIRE">
      <formula>NOT(ISERROR(SEARCH("FIRE",U107)))</formula>
    </cfRule>
    <cfRule type="containsText" dxfId="3291" priority="4011" operator="containsText" text="COSH">
      <formula>NOT(ISERROR(SEARCH("COSH",U107)))</formula>
    </cfRule>
  </conditionalFormatting>
  <conditionalFormatting sqref="V107">
    <cfRule type="containsText" dxfId="3290" priority="4006" operator="containsText" text="FAT">
      <formula>NOT(ISERROR(SEARCH("FAT",V107)))</formula>
    </cfRule>
    <cfRule type="containsText" dxfId="3289" priority="4007" operator="containsText" text="FIRE">
      <formula>NOT(ISERROR(SEARCH("FIRE",V107)))</formula>
    </cfRule>
    <cfRule type="containsText" dxfId="3288" priority="4008" operator="containsText" text="COSH">
      <formula>NOT(ISERROR(SEARCH("COSH",V107)))</formula>
    </cfRule>
  </conditionalFormatting>
  <conditionalFormatting sqref="Y107">
    <cfRule type="containsText" dxfId="3287" priority="4003" operator="containsText" text="FAT">
      <formula>NOT(ISERROR(SEARCH("FAT",Y107)))</formula>
    </cfRule>
    <cfRule type="containsText" dxfId="3286" priority="4004" operator="containsText" text="FIRE">
      <formula>NOT(ISERROR(SEARCH("FIRE",Y107)))</formula>
    </cfRule>
    <cfRule type="containsText" dxfId="3285" priority="4005" operator="containsText" text="COSH">
      <formula>NOT(ISERROR(SEARCH("COSH",Y107)))</formula>
    </cfRule>
  </conditionalFormatting>
  <conditionalFormatting sqref="W107">
    <cfRule type="containsText" dxfId="3284" priority="4000" operator="containsText" text="FAT">
      <formula>NOT(ISERROR(SEARCH("FAT",W107)))</formula>
    </cfRule>
    <cfRule type="containsText" dxfId="3283" priority="4001" operator="containsText" text="FIRE">
      <formula>NOT(ISERROR(SEARCH("FIRE",W107)))</formula>
    </cfRule>
    <cfRule type="containsText" dxfId="3282" priority="4002" operator="containsText" text="COSH">
      <formula>NOT(ISERROR(SEARCH("COSH",W107)))</formula>
    </cfRule>
  </conditionalFormatting>
  <conditionalFormatting sqref="U107">
    <cfRule type="containsText" dxfId="3281" priority="3997" operator="containsText" text="FAT">
      <formula>NOT(ISERROR(SEARCH("FAT",U107)))</formula>
    </cfRule>
    <cfRule type="containsText" dxfId="3280" priority="3998" operator="containsText" text="FIRE">
      <formula>NOT(ISERROR(SEARCH("FIRE",U107)))</formula>
    </cfRule>
    <cfRule type="containsText" dxfId="3279" priority="3999" operator="containsText" text="COSH">
      <formula>NOT(ISERROR(SEARCH("COSH",U107)))</formula>
    </cfRule>
  </conditionalFormatting>
  <conditionalFormatting sqref="V107">
    <cfRule type="containsText" dxfId="3278" priority="3994" operator="containsText" text="FAT">
      <formula>NOT(ISERROR(SEARCH("FAT",V107)))</formula>
    </cfRule>
    <cfRule type="containsText" dxfId="3277" priority="3995" operator="containsText" text="FIRE">
      <formula>NOT(ISERROR(SEARCH("FIRE",V107)))</formula>
    </cfRule>
    <cfRule type="containsText" dxfId="3276" priority="3996" operator="containsText" text="COSH">
      <formula>NOT(ISERROR(SEARCH("COSH",V107)))</formula>
    </cfRule>
  </conditionalFormatting>
  <conditionalFormatting sqref="Y113">
    <cfRule type="containsText" dxfId="3275" priority="3991" operator="containsText" text="FAT">
      <formula>NOT(ISERROR(SEARCH("FAT",Y113)))</formula>
    </cfRule>
    <cfRule type="containsText" dxfId="3274" priority="3992" operator="containsText" text="FIRE">
      <formula>NOT(ISERROR(SEARCH("FIRE",Y113)))</formula>
    </cfRule>
    <cfRule type="containsText" dxfId="3273" priority="3993" operator="containsText" text="COSH">
      <formula>NOT(ISERROR(SEARCH("COSH",Y113)))</formula>
    </cfRule>
  </conditionalFormatting>
  <conditionalFormatting sqref="Y96">
    <cfRule type="containsText" dxfId="3272" priority="3988" operator="containsText" text="FAT">
      <formula>NOT(ISERROR(SEARCH("FAT",Y96)))</formula>
    </cfRule>
    <cfRule type="containsText" dxfId="3271" priority="3989" operator="containsText" text="FIRE">
      <formula>NOT(ISERROR(SEARCH("FIRE",Y96)))</formula>
    </cfRule>
    <cfRule type="containsText" dxfId="3270" priority="3990" operator="containsText" text="COSH">
      <formula>NOT(ISERROR(SEARCH("COSH",Y96)))</formula>
    </cfRule>
  </conditionalFormatting>
  <conditionalFormatting sqref="W96">
    <cfRule type="containsText" dxfId="3269" priority="3985" operator="containsText" text="FAT">
      <formula>NOT(ISERROR(SEARCH("FAT",W96)))</formula>
    </cfRule>
    <cfRule type="containsText" dxfId="3268" priority="3986" operator="containsText" text="FIRE">
      <formula>NOT(ISERROR(SEARCH("FIRE",W96)))</formula>
    </cfRule>
    <cfRule type="containsText" dxfId="3267" priority="3987" operator="containsText" text="COSH">
      <formula>NOT(ISERROR(SEARCH("COSH",W96)))</formula>
    </cfRule>
  </conditionalFormatting>
  <conditionalFormatting sqref="T96:U96 T98 T100 T102 T104 T106 T108 T110 T112 T114">
    <cfRule type="containsText" dxfId="3266" priority="3982" operator="containsText" text="FAT">
      <formula>NOT(ISERROR(SEARCH("FAT",T96)))</formula>
    </cfRule>
    <cfRule type="containsText" dxfId="3265" priority="3983" operator="containsText" text="FIRE">
      <formula>NOT(ISERROR(SEARCH("FIRE",T96)))</formula>
    </cfRule>
    <cfRule type="containsText" dxfId="3264" priority="3984" operator="containsText" text="COSH">
      <formula>NOT(ISERROR(SEARCH("COSH",T96)))</formula>
    </cfRule>
  </conditionalFormatting>
  <conditionalFormatting sqref="X96">
    <cfRule type="containsText" dxfId="3263" priority="3979" operator="containsText" text="FAT">
      <formula>NOT(ISERROR(SEARCH("FAT",X96)))</formula>
    </cfRule>
    <cfRule type="containsText" dxfId="3262" priority="3980" operator="containsText" text="FIRE">
      <formula>NOT(ISERROR(SEARCH("FIRE",X96)))</formula>
    </cfRule>
    <cfRule type="containsText" dxfId="3261" priority="3981" operator="containsText" text="COSH">
      <formula>NOT(ISERROR(SEARCH("COSH",X96)))</formula>
    </cfRule>
  </conditionalFormatting>
  <conditionalFormatting sqref="V96">
    <cfRule type="containsText" dxfId="3260" priority="3976" operator="containsText" text="FAT">
      <formula>NOT(ISERROR(SEARCH("FAT",V96)))</formula>
    </cfRule>
    <cfRule type="containsText" dxfId="3259" priority="3977" operator="containsText" text="FIRE">
      <formula>NOT(ISERROR(SEARCH("FIRE",V96)))</formula>
    </cfRule>
    <cfRule type="containsText" dxfId="3258" priority="3978" operator="containsText" text="COSH">
      <formula>NOT(ISERROR(SEARCH("COSH",V96)))</formula>
    </cfRule>
  </conditionalFormatting>
  <conditionalFormatting sqref="Y96">
    <cfRule type="containsText" dxfId="3257" priority="3973" operator="containsText" text="FAT">
      <formula>NOT(ISERROR(SEARCH("FAT",Y96)))</formula>
    </cfRule>
    <cfRule type="containsText" dxfId="3256" priority="3974" operator="containsText" text="FIRE">
      <formula>NOT(ISERROR(SEARCH("FIRE",Y96)))</formula>
    </cfRule>
    <cfRule type="containsText" dxfId="3255" priority="3975" operator="containsText" text="COSH">
      <formula>NOT(ISERROR(SEARCH("COSH",Y96)))</formula>
    </cfRule>
  </conditionalFormatting>
  <conditionalFormatting sqref="W96">
    <cfRule type="containsText" dxfId="3254" priority="3970" operator="containsText" text="FAT">
      <formula>NOT(ISERROR(SEARCH("FAT",W96)))</formula>
    </cfRule>
    <cfRule type="containsText" dxfId="3253" priority="3971" operator="containsText" text="FIRE">
      <formula>NOT(ISERROR(SEARCH("FIRE",W96)))</formula>
    </cfRule>
    <cfRule type="containsText" dxfId="3252" priority="3972" operator="containsText" text="COSH">
      <formula>NOT(ISERROR(SEARCH("COSH",W96)))</formula>
    </cfRule>
  </conditionalFormatting>
  <conditionalFormatting sqref="T96:U96 T98 T100 T102 T104 T106 T108 T110 T112 T114">
    <cfRule type="containsText" dxfId="3251" priority="3967" operator="containsText" text="FAT">
      <formula>NOT(ISERROR(SEARCH("FAT",T96)))</formula>
    </cfRule>
    <cfRule type="containsText" dxfId="3250" priority="3968" operator="containsText" text="FIRE">
      <formula>NOT(ISERROR(SEARCH("FIRE",T96)))</formula>
    </cfRule>
    <cfRule type="containsText" dxfId="3249" priority="3969" operator="containsText" text="COSH">
      <formula>NOT(ISERROR(SEARCH("COSH",T96)))</formula>
    </cfRule>
  </conditionalFormatting>
  <conditionalFormatting sqref="X96">
    <cfRule type="containsText" dxfId="3248" priority="3964" operator="containsText" text="FAT">
      <formula>NOT(ISERROR(SEARCH("FAT",X96)))</formula>
    </cfRule>
    <cfRule type="containsText" dxfId="3247" priority="3965" operator="containsText" text="FIRE">
      <formula>NOT(ISERROR(SEARCH("FIRE",X96)))</formula>
    </cfRule>
    <cfRule type="containsText" dxfId="3246" priority="3966" operator="containsText" text="COSH">
      <formula>NOT(ISERROR(SEARCH("COSH",X96)))</formula>
    </cfRule>
  </conditionalFormatting>
  <conditionalFormatting sqref="V96">
    <cfRule type="containsText" dxfId="3245" priority="3961" operator="containsText" text="FAT">
      <formula>NOT(ISERROR(SEARCH("FAT",V96)))</formula>
    </cfRule>
    <cfRule type="containsText" dxfId="3244" priority="3962" operator="containsText" text="FIRE">
      <formula>NOT(ISERROR(SEARCH("FIRE",V96)))</formula>
    </cfRule>
    <cfRule type="containsText" dxfId="3243" priority="3963" operator="containsText" text="COSH">
      <formula>NOT(ISERROR(SEARCH("COSH",V96)))</formula>
    </cfRule>
  </conditionalFormatting>
  <conditionalFormatting sqref="H111:I111">
    <cfRule type="containsText" dxfId="3242" priority="3958" operator="containsText" text="FAT">
      <formula>NOT(ISERROR(SEARCH("FAT",H111)))</formula>
    </cfRule>
    <cfRule type="containsText" dxfId="3241" priority="3959" operator="containsText" text="FIRE">
      <formula>NOT(ISERROR(SEARCH("FIRE",H111)))</formula>
    </cfRule>
    <cfRule type="containsText" dxfId="3240" priority="3960" operator="containsText" text="COSH">
      <formula>NOT(ISERROR(SEARCH("COSH",H111)))</formula>
    </cfRule>
  </conditionalFormatting>
  <conditionalFormatting sqref="H111:I111">
    <cfRule type="containsText" dxfId="3239" priority="3955" operator="containsText" text="FAT">
      <formula>NOT(ISERROR(SEARCH("FAT",H111)))</formula>
    </cfRule>
    <cfRule type="containsText" dxfId="3238" priority="3956" operator="containsText" text="FIRE">
      <formula>NOT(ISERROR(SEARCH("FIRE",H111)))</formula>
    </cfRule>
    <cfRule type="containsText" dxfId="3237" priority="3957" operator="containsText" text="COSH">
      <formula>NOT(ISERROR(SEARCH("COSH",H111)))</formula>
    </cfRule>
  </conditionalFormatting>
  <conditionalFormatting sqref="H111:I111">
    <cfRule type="cellIs" dxfId="3236" priority="3954" operator="between">
      <formula>1</formula>
      <formula>3</formula>
    </cfRule>
  </conditionalFormatting>
  <conditionalFormatting sqref="G111:J111">
    <cfRule type="containsText" dxfId="3235" priority="3951" operator="containsText" text="FAT">
      <formula>NOT(ISERROR(SEARCH("FAT",G111)))</formula>
    </cfRule>
    <cfRule type="containsText" dxfId="3234" priority="3952" operator="containsText" text="FIRE">
      <formula>NOT(ISERROR(SEARCH("FIRE",G111)))</formula>
    </cfRule>
    <cfRule type="containsText" dxfId="3233" priority="3953" operator="containsText" text="COSH">
      <formula>NOT(ISERROR(SEARCH("COSH",G111)))</formula>
    </cfRule>
  </conditionalFormatting>
  <conditionalFormatting sqref="G111:J111">
    <cfRule type="containsText" dxfId="3232" priority="3948" operator="containsText" text="FAT">
      <formula>NOT(ISERROR(SEARCH("FAT",G111)))</formula>
    </cfRule>
    <cfRule type="containsText" dxfId="3231" priority="3949" operator="containsText" text="FIRE">
      <formula>NOT(ISERROR(SEARCH("FIRE",G111)))</formula>
    </cfRule>
    <cfRule type="containsText" dxfId="3230" priority="3950" operator="containsText" text="COSH">
      <formula>NOT(ISERROR(SEARCH("COSH",G111)))</formula>
    </cfRule>
  </conditionalFormatting>
  <conditionalFormatting sqref="G111:J111">
    <cfRule type="cellIs" dxfId="3229" priority="3947" operator="between">
      <formula>1</formula>
      <formula>3</formula>
    </cfRule>
  </conditionalFormatting>
  <conditionalFormatting sqref="P98:P100">
    <cfRule type="containsText" dxfId="3228" priority="3944" operator="containsText" text="FAT">
      <formula>NOT(ISERROR(SEARCH("FAT",P98)))</formula>
    </cfRule>
    <cfRule type="containsText" dxfId="3227" priority="3945" operator="containsText" text="FIRE">
      <formula>NOT(ISERROR(SEARCH("FIRE",P98)))</formula>
    </cfRule>
    <cfRule type="containsText" dxfId="3226" priority="3946" operator="containsText" text="COSH">
      <formula>NOT(ISERROR(SEARCH("COSH",P98)))</formula>
    </cfRule>
  </conditionalFormatting>
  <conditionalFormatting sqref="N98:N100">
    <cfRule type="containsText" dxfId="3225" priority="3941" operator="containsText" text="FAT">
      <formula>NOT(ISERROR(SEARCH("FAT",N98)))</formula>
    </cfRule>
    <cfRule type="containsText" dxfId="3224" priority="3942" operator="containsText" text="FIRE">
      <formula>NOT(ISERROR(SEARCH("FIRE",N98)))</formula>
    </cfRule>
    <cfRule type="containsText" dxfId="3223" priority="3943" operator="containsText" text="COSH">
      <formula>NOT(ISERROR(SEARCH("COSH",N98)))</formula>
    </cfRule>
  </conditionalFormatting>
  <conditionalFormatting sqref="O98:O100">
    <cfRule type="containsText" dxfId="3222" priority="3938" operator="containsText" text="FAT">
      <formula>NOT(ISERROR(SEARCH("FAT",O98)))</formula>
    </cfRule>
    <cfRule type="containsText" dxfId="3221" priority="3939" operator="containsText" text="FIRE">
      <formula>NOT(ISERROR(SEARCH("FIRE",O98)))</formula>
    </cfRule>
    <cfRule type="containsText" dxfId="3220" priority="3940" operator="containsText" text="COSH">
      <formula>NOT(ISERROR(SEARCH("COSH",O98)))</formula>
    </cfRule>
  </conditionalFormatting>
  <conditionalFormatting sqref="Z106">
    <cfRule type="containsText" dxfId="3219" priority="3935" operator="containsText" text="FAT">
      <formula>NOT(ISERROR(SEARCH("FAT",Z106)))</formula>
    </cfRule>
    <cfRule type="containsText" dxfId="3218" priority="3936" operator="containsText" text="FIRE">
      <formula>NOT(ISERROR(SEARCH("FIRE",Z106)))</formula>
    </cfRule>
    <cfRule type="containsText" dxfId="3217" priority="3937" operator="containsText" text="COSH">
      <formula>NOT(ISERROR(SEARCH("COSH",Z106)))</formula>
    </cfRule>
  </conditionalFormatting>
  <conditionalFormatting sqref="Y106">
    <cfRule type="containsText" dxfId="3216" priority="3932" operator="containsText" text="FAT">
      <formula>NOT(ISERROR(SEARCH("FAT",Y106)))</formula>
    </cfRule>
    <cfRule type="containsText" dxfId="3215" priority="3933" operator="containsText" text="FIRE">
      <formula>NOT(ISERROR(SEARCH("FIRE",Y106)))</formula>
    </cfRule>
    <cfRule type="containsText" dxfId="3214" priority="3934" operator="containsText" text="COSH">
      <formula>NOT(ISERROR(SEARCH("COSH",Y106)))</formula>
    </cfRule>
  </conditionalFormatting>
  <conditionalFormatting sqref="Z102">
    <cfRule type="containsText" dxfId="3213" priority="3929" operator="containsText" text="FAT">
      <formula>NOT(ISERROR(SEARCH("FAT",Z102)))</formula>
    </cfRule>
    <cfRule type="containsText" dxfId="3212" priority="3930" operator="containsText" text="FIRE">
      <formula>NOT(ISERROR(SEARCH("FIRE",Z102)))</formula>
    </cfRule>
    <cfRule type="containsText" dxfId="3211" priority="3931" operator="containsText" text="COSH">
      <formula>NOT(ISERROR(SEARCH("COSH",Z102)))</formula>
    </cfRule>
  </conditionalFormatting>
  <conditionalFormatting sqref="Y102">
    <cfRule type="containsText" dxfId="3210" priority="3926" operator="containsText" text="FAT">
      <formula>NOT(ISERROR(SEARCH("FAT",Y102)))</formula>
    </cfRule>
    <cfRule type="containsText" dxfId="3209" priority="3927" operator="containsText" text="FIRE">
      <formula>NOT(ISERROR(SEARCH("FIRE",Y102)))</formula>
    </cfRule>
    <cfRule type="containsText" dxfId="3208" priority="3928" operator="containsText" text="COSH">
      <formula>NOT(ISERROR(SEARCH("COSH",Y102)))</formula>
    </cfRule>
  </conditionalFormatting>
  <conditionalFormatting sqref="Z98:Z100">
    <cfRule type="containsText" dxfId="3207" priority="3923" operator="containsText" text="FAT">
      <formula>NOT(ISERROR(SEARCH("FAT",Z98)))</formula>
    </cfRule>
    <cfRule type="containsText" dxfId="3206" priority="3924" operator="containsText" text="FIRE">
      <formula>NOT(ISERROR(SEARCH("FIRE",Z98)))</formula>
    </cfRule>
    <cfRule type="containsText" dxfId="3205" priority="3925" operator="containsText" text="COSH">
      <formula>NOT(ISERROR(SEARCH("COSH",Z98)))</formula>
    </cfRule>
  </conditionalFormatting>
  <conditionalFormatting sqref="Y98:Y100">
    <cfRule type="containsText" dxfId="3204" priority="3920" operator="containsText" text="FAT">
      <formula>NOT(ISERROR(SEARCH("FAT",Y98)))</formula>
    </cfRule>
    <cfRule type="containsText" dxfId="3203" priority="3921" operator="containsText" text="FIRE">
      <formula>NOT(ISERROR(SEARCH("FIRE",Y98)))</formula>
    </cfRule>
    <cfRule type="containsText" dxfId="3202" priority="3922" operator="containsText" text="COSH">
      <formula>NOT(ISERROR(SEARCH("COSH",Y98)))</formula>
    </cfRule>
  </conditionalFormatting>
  <conditionalFormatting sqref="Z115:Z116">
    <cfRule type="containsText" dxfId="3201" priority="3917" operator="containsText" text="FAT">
      <formula>NOT(ISERROR(SEARCH("FAT",Z115)))</formula>
    </cfRule>
    <cfRule type="containsText" dxfId="3200" priority="3918" operator="containsText" text="FIRE">
      <formula>NOT(ISERROR(SEARCH("FIRE",Z115)))</formula>
    </cfRule>
    <cfRule type="containsText" dxfId="3199" priority="3919" operator="containsText" text="COSH">
      <formula>NOT(ISERROR(SEARCH("COSH",Z115)))</formula>
    </cfRule>
  </conditionalFormatting>
  <conditionalFormatting sqref="Y115:Y116">
    <cfRule type="containsText" dxfId="3198" priority="3914" operator="containsText" text="FAT">
      <formula>NOT(ISERROR(SEARCH("FAT",Y115)))</formula>
    </cfRule>
    <cfRule type="containsText" dxfId="3197" priority="3915" operator="containsText" text="FIRE">
      <formula>NOT(ISERROR(SEARCH("FIRE",Y115)))</formula>
    </cfRule>
    <cfRule type="containsText" dxfId="3196" priority="3916" operator="containsText" text="COSH">
      <formula>NOT(ISERROR(SEARCH("COSH",Y115)))</formula>
    </cfRule>
  </conditionalFormatting>
  <conditionalFormatting sqref="N97">
    <cfRule type="containsText" dxfId="3195" priority="3911" operator="containsText" text="FAT">
      <formula>NOT(ISERROR(SEARCH("FAT",N97)))</formula>
    </cfRule>
    <cfRule type="containsText" dxfId="3194" priority="3912" operator="containsText" text="FIRE">
      <formula>NOT(ISERROR(SEARCH("FIRE",N97)))</formula>
    </cfRule>
    <cfRule type="containsText" dxfId="3193" priority="3913" operator="containsText" text="COSH">
      <formula>NOT(ISERROR(SEARCH("COSH",N97)))</formula>
    </cfRule>
  </conditionalFormatting>
  <conditionalFormatting sqref="O97">
    <cfRule type="containsText" dxfId="3192" priority="3908" operator="containsText" text="FAT">
      <formula>NOT(ISERROR(SEARCH("FAT",O97)))</formula>
    </cfRule>
    <cfRule type="containsText" dxfId="3191" priority="3909" operator="containsText" text="FIRE">
      <formula>NOT(ISERROR(SEARCH("FIRE",O97)))</formula>
    </cfRule>
    <cfRule type="containsText" dxfId="3190" priority="3910" operator="containsText" text="COSH">
      <formula>NOT(ISERROR(SEARCH("COSH",O97)))</formula>
    </cfRule>
  </conditionalFormatting>
  <conditionalFormatting sqref="N97">
    <cfRule type="containsText" dxfId="3189" priority="3905" operator="containsText" text="FAT">
      <formula>NOT(ISERROR(SEARCH("FAT",N97)))</formula>
    </cfRule>
    <cfRule type="containsText" dxfId="3188" priority="3906" operator="containsText" text="FIRE">
      <formula>NOT(ISERROR(SEARCH("FIRE",N97)))</formula>
    </cfRule>
    <cfRule type="containsText" dxfId="3187" priority="3907" operator="containsText" text="COSH">
      <formula>NOT(ISERROR(SEARCH("COSH",N97)))</formula>
    </cfRule>
  </conditionalFormatting>
  <conditionalFormatting sqref="N97">
    <cfRule type="cellIs" dxfId="3186" priority="3901" operator="between">
      <formula>1</formula>
      <formula>3</formula>
    </cfRule>
  </conditionalFormatting>
  <conditionalFormatting sqref="N97">
    <cfRule type="containsText" dxfId="3185" priority="3902" operator="containsText" text="FAT">
      <formula>NOT(ISERROR(SEARCH("FAT",N97)))</formula>
    </cfRule>
    <cfRule type="containsText" dxfId="3184" priority="3903" operator="containsText" text="FIRE">
      <formula>NOT(ISERROR(SEARCH("FIRE",N97)))</formula>
    </cfRule>
    <cfRule type="containsText" dxfId="3183" priority="3904" operator="containsText" text="COSH">
      <formula>NOT(ISERROR(SEARCH("COSH",N97)))</formula>
    </cfRule>
  </conditionalFormatting>
  <conditionalFormatting sqref="P96">
    <cfRule type="containsText" dxfId="3182" priority="3898" operator="containsText" text="FAT">
      <formula>NOT(ISERROR(SEARCH("FAT",P96)))</formula>
    </cfRule>
    <cfRule type="containsText" dxfId="3181" priority="3899" operator="containsText" text="FIRE">
      <formula>NOT(ISERROR(SEARCH("FIRE",P96)))</formula>
    </cfRule>
    <cfRule type="containsText" dxfId="3180" priority="3900" operator="containsText" text="COSH">
      <formula>NOT(ISERROR(SEARCH("COSH",P96)))</formula>
    </cfRule>
  </conditionalFormatting>
  <conditionalFormatting sqref="N96">
    <cfRule type="containsText" dxfId="3179" priority="3895" operator="containsText" text="FAT">
      <formula>NOT(ISERROR(SEARCH("FAT",N96)))</formula>
    </cfRule>
    <cfRule type="containsText" dxfId="3178" priority="3896" operator="containsText" text="FIRE">
      <formula>NOT(ISERROR(SEARCH("FIRE",N96)))</formula>
    </cfRule>
    <cfRule type="containsText" dxfId="3177" priority="3897" operator="containsText" text="COSH">
      <formula>NOT(ISERROR(SEARCH("COSH",N96)))</formula>
    </cfRule>
  </conditionalFormatting>
  <conditionalFormatting sqref="O96">
    <cfRule type="containsText" dxfId="3176" priority="3892" operator="containsText" text="FAT">
      <formula>NOT(ISERROR(SEARCH("FAT",O96)))</formula>
    </cfRule>
    <cfRule type="containsText" dxfId="3175" priority="3893" operator="containsText" text="FIRE">
      <formula>NOT(ISERROR(SEARCH("FIRE",O96)))</formula>
    </cfRule>
    <cfRule type="containsText" dxfId="3174" priority="3894" operator="containsText" text="COSH">
      <formula>NOT(ISERROR(SEARCH("COSH",O96)))</formula>
    </cfRule>
  </conditionalFormatting>
  <conditionalFormatting sqref="P94">
    <cfRule type="containsText" dxfId="3173" priority="3889" operator="containsText" text="FAT">
      <formula>NOT(ISERROR(SEARCH("FAT",P94)))</formula>
    </cfRule>
    <cfRule type="containsText" dxfId="3172" priority="3890" operator="containsText" text="FIRE">
      <formula>NOT(ISERROR(SEARCH("FIRE",P94)))</formula>
    </cfRule>
    <cfRule type="containsText" dxfId="3171" priority="3891" operator="containsText" text="COSH">
      <formula>NOT(ISERROR(SEARCH("COSH",P94)))</formula>
    </cfRule>
  </conditionalFormatting>
  <conditionalFormatting sqref="N94">
    <cfRule type="containsText" dxfId="3170" priority="3886" operator="containsText" text="FAT">
      <formula>NOT(ISERROR(SEARCH("FAT",N94)))</formula>
    </cfRule>
    <cfRule type="containsText" dxfId="3169" priority="3887" operator="containsText" text="FIRE">
      <formula>NOT(ISERROR(SEARCH("FIRE",N94)))</formula>
    </cfRule>
    <cfRule type="containsText" dxfId="3168" priority="3888" operator="containsText" text="COSH">
      <formula>NOT(ISERROR(SEARCH("COSH",N94)))</formula>
    </cfRule>
  </conditionalFormatting>
  <conditionalFormatting sqref="O94">
    <cfRule type="containsText" dxfId="3167" priority="3883" operator="containsText" text="FAT">
      <formula>NOT(ISERROR(SEARCH("FAT",O94)))</formula>
    </cfRule>
    <cfRule type="containsText" dxfId="3166" priority="3884" operator="containsText" text="FIRE">
      <formula>NOT(ISERROR(SEARCH("FIRE",O94)))</formula>
    </cfRule>
    <cfRule type="containsText" dxfId="3165" priority="3885" operator="containsText" text="COSH">
      <formula>NOT(ISERROR(SEARCH("COSH",O94)))</formula>
    </cfRule>
  </conditionalFormatting>
  <conditionalFormatting sqref="J102:K102">
    <cfRule type="containsText" dxfId="3164" priority="3880" operator="containsText" text="FAT">
      <formula>NOT(ISERROR(SEARCH("FAT",J102)))</formula>
    </cfRule>
    <cfRule type="containsText" dxfId="3163" priority="3881" operator="containsText" text="FIRE">
      <formula>NOT(ISERROR(SEARCH("FIRE",J102)))</formula>
    </cfRule>
    <cfRule type="containsText" dxfId="3162" priority="3882" operator="containsText" text="COSH">
      <formula>NOT(ISERROR(SEARCH("COSH",J102)))</formula>
    </cfRule>
  </conditionalFormatting>
  <conditionalFormatting sqref="R102">
    <cfRule type="containsText" dxfId="3161" priority="3877" operator="containsText" text="FAT">
      <formula>NOT(ISERROR(SEARCH("FAT",R102)))</formula>
    </cfRule>
    <cfRule type="containsText" dxfId="3160" priority="3878" operator="containsText" text="FIRE">
      <formula>NOT(ISERROR(SEARCH("FIRE",R102)))</formula>
    </cfRule>
    <cfRule type="containsText" dxfId="3159" priority="3879" operator="containsText" text="COSH">
      <formula>NOT(ISERROR(SEARCH("COSH",R102)))</formula>
    </cfRule>
  </conditionalFormatting>
  <conditionalFormatting sqref="P102">
    <cfRule type="containsText" dxfId="3158" priority="3874" operator="containsText" text="FAT">
      <formula>NOT(ISERROR(SEARCH("FAT",P102)))</formula>
    </cfRule>
    <cfRule type="containsText" dxfId="3157" priority="3875" operator="containsText" text="FIRE">
      <formula>NOT(ISERROR(SEARCH("FIRE",P102)))</formula>
    </cfRule>
    <cfRule type="containsText" dxfId="3156" priority="3876" operator="containsText" text="COSH">
      <formula>NOT(ISERROR(SEARCH("COSH",P102)))</formula>
    </cfRule>
  </conditionalFormatting>
  <conditionalFormatting sqref="N102">
    <cfRule type="containsText" dxfId="3155" priority="3871" operator="containsText" text="FAT">
      <formula>NOT(ISERROR(SEARCH("FAT",N102)))</formula>
    </cfRule>
    <cfRule type="containsText" dxfId="3154" priority="3872" operator="containsText" text="FIRE">
      <formula>NOT(ISERROR(SEARCH("FIRE",N102)))</formula>
    </cfRule>
    <cfRule type="containsText" dxfId="3153" priority="3873" operator="containsText" text="COSH">
      <formula>NOT(ISERROR(SEARCH("COSH",N102)))</formula>
    </cfRule>
  </conditionalFormatting>
  <conditionalFormatting sqref="O102">
    <cfRule type="containsText" dxfId="3152" priority="3868" operator="containsText" text="FAT">
      <formula>NOT(ISERROR(SEARCH("FAT",O102)))</formula>
    </cfRule>
    <cfRule type="containsText" dxfId="3151" priority="3869" operator="containsText" text="FIRE">
      <formula>NOT(ISERROR(SEARCH("FIRE",O102)))</formula>
    </cfRule>
    <cfRule type="containsText" dxfId="3150" priority="3870" operator="containsText" text="COSH">
      <formula>NOT(ISERROR(SEARCH("COSH",O102)))</formula>
    </cfRule>
  </conditionalFormatting>
  <conditionalFormatting sqref="J101">
    <cfRule type="containsText" dxfId="3149" priority="3865" operator="containsText" text="FAT">
      <formula>NOT(ISERROR(SEARCH("FAT",J101)))</formula>
    </cfRule>
    <cfRule type="containsText" dxfId="3148" priority="3866" operator="containsText" text="FIRE">
      <formula>NOT(ISERROR(SEARCH("FIRE",J101)))</formula>
    </cfRule>
    <cfRule type="containsText" dxfId="3147" priority="3867" operator="containsText" text="COSH">
      <formula>NOT(ISERROR(SEARCH("COSH",J101)))</formula>
    </cfRule>
  </conditionalFormatting>
  <conditionalFormatting sqref="R101">
    <cfRule type="containsText" dxfId="3146" priority="3862" operator="containsText" text="FAT">
      <formula>NOT(ISERROR(SEARCH("FAT",R101)))</formula>
    </cfRule>
    <cfRule type="containsText" dxfId="3145" priority="3863" operator="containsText" text="FIRE">
      <formula>NOT(ISERROR(SEARCH("FIRE",R101)))</formula>
    </cfRule>
    <cfRule type="containsText" dxfId="3144" priority="3864" operator="containsText" text="COSH">
      <formula>NOT(ISERROR(SEARCH("COSH",R101)))</formula>
    </cfRule>
  </conditionalFormatting>
  <conditionalFormatting sqref="P101">
    <cfRule type="containsText" dxfId="3143" priority="3859" operator="containsText" text="FAT">
      <formula>NOT(ISERROR(SEARCH("FAT",P101)))</formula>
    </cfRule>
    <cfRule type="containsText" dxfId="3142" priority="3860" operator="containsText" text="FIRE">
      <formula>NOT(ISERROR(SEARCH("FIRE",P101)))</formula>
    </cfRule>
    <cfRule type="containsText" dxfId="3141" priority="3861" operator="containsText" text="COSH">
      <formula>NOT(ISERROR(SEARCH("COSH",P101)))</formula>
    </cfRule>
  </conditionalFormatting>
  <conditionalFormatting sqref="N101">
    <cfRule type="containsText" dxfId="3140" priority="3856" operator="containsText" text="FAT">
      <formula>NOT(ISERROR(SEARCH("FAT",N101)))</formula>
    </cfRule>
    <cfRule type="containsText" dxfId="3139" priority="3857" operator="containsText" text="FIRE">
      <formula>NOT(ISERROR(SEARCH("FIRE",N101)))</formula>
    </cfRule>
    <cfRule type="containsText" dxfId="3138" priority="3858" operator="containsText" text="COSH">
      <formula>NOT(ISERROR(SEARCH("COSH",N101)))</formula>
    </cfRule>
  </conditionalFormatting>
  <conditionalFormatting sqref="O101">
    <cfRule type="containsText" dxfId="3137" priority="3853" operator="containsText" text="FAT">
      <formula>NOT(ISERROR(SEARCH("FAT",O101)))</formula>
    </cfRule>
    <cfRule type="containsText" dxfId="3136" priority="3854" operator="containsText" text="FIRE">
      <formula>NOT(ISERROR(SEARCH("FIRE",O101)))</formula>
    </cfRule>
    <cfRule type="containsText" dxfId="3135" priority="3855" operator="containsText" text="COSH">
      <formula>NOT(ISERROR(SEARCH("COSH",O101)))</formula>
    </cfRule>
  </conditionalFormatting>
  <conditionalFormatting sqref="J95">
    <cfRule type="containsText" dxfId="3134" priority="3850" operator="containsText" text="FAT">
      <formula>NOT(ISERROR(SEARCH("FAT",J95)))</formula>
    </cfRule>
    <cfRule type="containsText" dxfId="3133" priority="3851" operator="containsText" text="FIRE">
      <formula>NOT(ISERROR(SEARCH("FIRE",J95)))</formula>
    </cfRule>
    <cfRule type="containsText" dxfId="3132" priority="3852" operator="containsText" text="COSH">
      <formula>NOT(ISERROR(SEARCH("COSH",J95)))</formula>
    </cfRule>
  </conditionalFormatting>
  <conditionalFormatting sqref="R95">
    <cfRule type="containsText" dxfId="3131" priority="3847" operator="containsText" text="FAT">
      <formula>NOT(ISERROR(SEARCH("FAT",R95)))</formula>
    </cfRule>
    <cfRule type="containsText" dxfId="3130" priority="3848" operator="containsText" text="FIRE">
      <formula>NOT(ISERROR(SEARCH("FIRE",R95)))</formula>
    </cfRule>
    <cfRule type="containsText" dxfId="3129" priority="3849" operator="containsText" text="COSH">
      <formula>NOT(ISERROR(SEARCH("COSH",R95)))</formula>
    </cfRule>
  </conditionalFormatting>
  <conditionalFormatting sqref="P95">
    <cfRule type="containsText" dxfId="3128" priority="3844" operator="containsText" text="FAT">
      <formula>NOT(ISERROR(SEARCH("FAT",P95)))</formula>
    </cfRule>
    <cfRule type="containsText" dxfId="3127" priority="3845" operator="containsText" text="FIRE">
      <formula>NOT(ISERROR(SEARCH("FIRE",P95)))</formula>
    </cfRule>
    <cfRule type="containsText" dxfId="3126" priority="3846" operator="containsText" text="COSH">
      <formula>NOT(ISERROR(SEARCH("COSH",P95)))</formula>
    </cfRule>
  </conditionalFormatting>
  <conditionalFormatting sqref="N95">
    <cfRule type="containsText" dxfId="3125" priority="3841" operator="containsText" text="FAT">
      <formula>NOT(ISERROR(SEARCH("FAT",N95)))</formula>
    </cfRule>
    <cfRule type="containsText" dxfId="3124" priority="3842" operator="containsText" text="FIRE">
      <formula>NOT(ISERROR(SEARCH("FIRE",N95)))</formula>
    </cfRule>
    <cfRule type="containsText" dxfId="3123" priority="3843" operator="containsText" text="COSH">
      <formula>NOT(ISERROR(SEARCH("COSH",N95)))</formula>
    </cfRule>
  </conditionalFormatting>
  <conditionalFormatting sqref="O95">
    <cfRule type="containsText" dxfId="3122" priority="3838" operator="containsText" text="FAT">
      <formula>NOT(ISERROR(SEARCH("FAT",O95)))</formula>
    </cfRule>
    <cfRule type="containsText" dxfId="3121" priority="3839" operator="containsText" text="FIRE">
      <formula>NOT(ISERROR(SEARCH("FIRE",O95)))</formula>
    </cfRule>
    <cfRule type="containsText" dxfId="3120" priority="3840" operator="containsText" text="COSH">
      <formula>NOT(ISERROR(SEARCH("COSH",O95)))</formula>
    </cfRule>
  </conditionalFormatting>
  <conditionalFormatting sqref="J103">
    <cfRule type="containsText" dxfId="3119" priority="3835" operator="containsText" text="FAT">
      <formula>NOT(ISERROR(SEARCH("FAT",J103)))</formula>
    </cfRule>
    <cfRule type="containsText" dxfId="3118" priority="3836" operator="containsText" text="FIRE">
      <formula>NOT(ISERROR(SEARCH("FIRE",J103)))</formula>
    </cfRule>
    <cfRule type="containsText" dxfId="3117" priority="3837" operator="containsText" text="COSH">
      <formula>NOT(ISERROR(SEARCH("COSH",J103)))</formula>
    </cfRule>
  </conditionalFormatting>
  <conditionalFormatting sqref="R103">
    <cfRule type="containsText" dxfId="3116" priority="3832" operator="containsText" text="FAT">
      <formula>NOT(ISERROR(SEARCH("FAT",R103)))</formula>
    </cfRule>
    <cfRule type="containsText" dxfId="3115" priority="3833" operator="containsText" text="FIRE">
      <formula>NOT(ISERROR(SEARCH("FIRE",R103)))</formula>
    </cfRule>
    <cfRule type="containsText" dxfId="3114" priority="3834" operator="containsText" text="COSH">
      <formula>NOT(ISERROR(SEARCH("COSH",R103)))</formula>
    </cfRule>
  </conditionalFormatting>
  <conditionalFormatting sqref="P103">
    <cfRule type="containsText" dxfId="3113" priority="3829" operator="containsText" text="FAT">
      <formula>NOT(ISERROR(SEARCH("FAT",P103)))</formula>
    </cfRule>
    <cfRule type="containsText" dxfId="3112" priority="3830" operator="containsText" text="FIRE">
      <formula>NOT(ISERROR(SEARCH("FIRE",P103)))</formula>
    </cfRule>
    <cfRule type="containsText" dxfId="3111" priority="3831" operator="containsText" text="COSH">
      <formula>NOT(ISERROR(SEARCH("COSH",P103)))</formula>
    </cfRule>
  </conditionalFormatting>
  <conditionalFormatting sqref="N103">
    <cfRule type="containsText" dxfId="3110" priority="3826" operator="containsText" text="FAT">
      <formula>NOT(ISERROR(SEARCH("FAT",N103)))</formula>
    </cfRule>
    <cfRule type="containsText" dxfId="3109" priority="3827" operator="containsText" text="FIRE">
      <formula>NOT(ISERROR(SEARCH("FIRE",N103)))</formula>
    </cfRule>
    <cfRule type="containsText" dxfId="3108" priority="3828" operator="containsText" text="COSH">
      <formula>NOT(ISERROR(SEARCH("COSH",N103)))</formula>
    </cfRule>
  </conditionalFormatting>
  <conditionalFormatting sqref="O103">
    <cfRule type="containsText" dxfId="3107" priority="3823" operator="containsText" text="FAT">
      <formula>NOT(ISERROR(SEARCH("FAT",O103)))</formula>
    </cfRule>
    <cfRule type="containsText" dxfId="3106" priority="3824" operator="containsText" text="FIRE">
      <formula>NOT(ISERROR(SEARCH("FIRE",O103)))</formula>
    </cfRule>
    <cfRule type="containsText" dxfId="3105" priority="3825" operator="containsText" text="COSH">
      <formula>NOT(ISERROR(SEARCH("COSH",O103)))</formula>
    </cfRule>
  </conditionalFormatting>
  <conditionalFormatting sqref="I104 K104 R104 M104">
    <cfRule type="containsText" dxfId="3104" priority="3820" operator="containsText" text="FAT">
      <formula>NOT(ISERROR(SEARCH("FAT",I104)))</formula>
    </cfRule>
    <cfRule type="containsText" dxfId="3103" priority="3821" operator="containsText" text="FIRE">
      <formula>NOT(ISERROR(SEARCH("FIRE",I104)))</formula>
    </cfRule>
    <cfRule type="containsText" dxfId="3102" priority="3822" operator="containsText" text="COSH">
      <formula>NOT(ISERROR(SEARCH("COSH",I104)))</formula>
    </cfRule>
  </conditionalFormatting>
  <conditionalFormatting sqref="P104">
    <cfRule type="containsText" dxfId="3101" priority="3817" operator="containsText" text="FAT">
      <formula>NOT(ISERROR(SEARCH("FAT",P104)))</formula>
    </cfRule>
    <cfRule type="containsText" dxfId="3100" priority="3818" operator="containsText" text="FIRE">
      <formula>NOT(ISERROR(SEARCH("FIRE",P104)))</formula>
    </cfRule>
    <cfRule type="containsText" dxfId="3099" priority="3819" operator="containsText" text="COSH">
      <formula>NOT(ISERROR(SEARCH("COSH",P104)))</formula>
    </cfRule>
  </conditionalFormatting>
  <conditionalFormatting sqref="G104">
    <cfRule type="containsText" dxfId="3098" priority="3814" operator="containsText" text="FAT">
      <formula>NOT(ISERROR(SEARCH("FAT",G104)))</formula>
    </cfRule>
    <cfRule type="containsText" dxfId="3097" priority="3815" operator="containsText" text="FIRE">
      <formula>NOT(ISERROR(SEARCH("FIRE",G104)))</formula>
    </cfRule>
    <cfRule type="containsText" dxfId="3096" priority="3816" operator="containsText" text="COSH">
      <formula>NOT(ISERROR(SEARCH("COSH",G104)))</formula>
    </cfRule>
  </conditionalFormatting>
  <conditionalFormatting sqref="N104">
    <cfRule type="containsText" dxfId="3095" priority="3811" operator="containsText" text="FAT">
      <formula>NOT(ISERROR(SEARCH("FAT",N104)))</formula>
    </cfRule>
    <cfRule type="containsText" dxfId="3094" priority="3812" operator="containsText" text="FIRE">
      <formula>NOT(ISERROR(SEARCH("FIRE",N104)))</formula>
    </cfRule>
    <cfRule type="containsText" dxfId="3093" priority="3813" operator="containsText" text="COSH">
      <formula>NOT(ISERROR(SEARCH("COSH",N104)))</formula>
    </cfRule>
  </conditionalFormatting>
  <conditionalFormatting sqref="J104">
    <cfRule type="containsText" dxfId="3092" priority="3808" operator="containsText" text="FAT">
      <formula>NOT(ISERROR(SEARCH("FAT",J104)))</formula>
    </cfRule>
    <cfRule type="containsText" dxfId="3091" priority="3809" operator="containsText" text="FIRE">
      <formula>NOT(ISERROR(SEARCH("FIRE",J104)))</formula>
    </cfRule>
    <cfRule type="containsText" dxfId="3090" priority="3810" operator="containsText" text="COSH">
      <formula>NOT(ISERROR(SEARCH("COSH",J104)))</formula>
    </cfRule>
  </conditionalFormatting>
  <conditionalFormatting sqref="Q104">
    <cfRule type="containsText" dxfId="3089" priority="3805" operator="containsText" text="FAT">
      <formula>NOT(ISERROR(SEARCH("FAT",Q104)))</formula>
    </cfRule>
    <cfRule type="containsText" dxfId="3088" priority="3806" operator="containsText" text="FIRE">
      <formula>NOT(ISERROR(SEARCH("FIRE",Q104)))</formula>
    </cfRule>
    <cfRule type="containsText" dxfId="3087" priority="3807" operator="containsText" text="COSH">
      <formula>NOT(ISERROR(SEARCH("COSH",Q104)))</formula>
    </cfRule>
  </conditionalFormatting>
  <conditionalFormatting sqref="H104">
    <cfRule type="containsText" dxfId="3086" priority="3802" operator="containsText" text="FAT">
      <formula>NOT(ISERROR(SEARCH("FAT",H104)))</formula>
    </cfRule>
    <cfRule type="containsText" dxfId="3085" priority="3803" operator="containsText" text="FIRE">
      <formula>NOT(ISERROR(SEARCH("FIRE",H104)))</formula>
    </cfRule>
    <cfRule type="containsText" dxfId="3084" priority="3804" operator="containsText" text="COSH">
      <formula>NOT(ISERROR(SEARCH("COSH",H104)))</formula>
    </cfRule>
  </conditionalFormatting>
  <conditionalFormatting sqref="O104">
    <cfRule type="containsText" dxfId="3083" priority="3799" operator="containsText" text="FAT">
      <formula>NOT(ISERROR(SEARCH("FAT",O104)))</formula>
    </cfRule>
    <cfRule type="containsText" dxfId="3082" priority="3800" operator="containsText" text="FIRE">
      <formula>NOT(ISERROR(SEARCH("FIRE",O104)))</formula>
    </cfRule>
    <cfRule type="containsText" dxfId="3081" priority="3801" operator="containsText" text="COSH">
      <formula>NOT(ISERROR(SEARCH("COSH",O104)))</formula>
    </cfRule>
  </conditionalFormatting>
  <conditionalFormatting sqref="R104">
    <cfRule type="containsText" dxfId="3080" priority="3796" operator="containsText" text="FAT">
      <formula>NOT(ISERROR(SEARCH("FAT",R104)))</formula>
    </cfRule>
    <cfRule type="containsText" dxfId="3079" priority="3797" operator="containsText" text="FIRE">
      <formula>NOT(ISERROR(SEARCH("FIRE",R104)))</formula>
    </cfRule>
    <cfRule type="containsText" dxfId="3078" priority="3798" operator="containsText" text="COSH">
      <formula>NOT(ISERROR(SEARCH("COSH",R104)))</formula>
    </cfRule>
  </conditionalFormatting>
  <conditionalFormatting sqref="J104">
    <cfRule type="containsText" dxfId="3077" priority="3793" operator="containsText" text="FAT">
      <formula>NOT(ISERROR(SEARCH("FAT",J104)))</formula>
    </cfRule>
    <cfRule type="containsText" dxfId="3076" priority="3794" operator="containsText" text="FIRE">
      <formula>NOT(ISERROR(SEARCH("FIRE",J104)))</formula>
    </cfRule>
    <cfRule type="containsText" dxfId="3075" priority="3795" operator="containsText" text="COSH">
      <formula>NOT(ISERROR(SEARCH("COSH",J104)))</formula>
    </cfRule>
  </conditionalFormatting>
  <conditionalFormatting sqref="R104">
    <cfRule type="containsText" dxfId="3074" priority="3790" operator="containsText" text="FAT">
      <formula>NOT(ISERROR(SEARCH("FAT",R104)))</formula>
    </cfRule>
    <cfRule type="containsText" dxfId="3073" priority="3791" operator="containsText" text="FIRE">
      <formula>NOT(ISERROR(SEARCH("FIRE",R104)))</formula>
    </cfRule>
    <cfRule type="containsText" dxfId="3072" priority="3792" operator="containsText" text="COSH">
      <formula>NOT(ISERROR(SEARCH("COSH",R104)))</formula>
    </cfRule>
  </conditionalFormatting>
  <conditionalFormatting sqref="P104">
    <cfRule type="containsText" dxfId="3071" priority="3787" operator="containsText" text="FAT">
      <formula>NOT(ISERROR(SEARCH("FAT",P104)))</formula>
    </cfRule>
    <cfRule type="containsText" dxfId="3070" priority="3788" operator="containsText" text="FIRE">
      <formula>NOT(ISERROR(SEARCH("FIRE",P104)))</formula>
    </cfRule>
    <cfRule type="containsText" dxfId="3069" priority="3789" operator="containsText" text="COSH">
      <formula>NOT(ISERROR(SEARCH("COSH",P104)))</formula>
    </cfRule>
  </conditionalFormatting>
  <conditionalFormatting sqref="N104">
    <cfRule type="containsText" dxfId="3068" priority="3784" operator="containsText" text="FAT">
      <formula>NOT(ISERROR(SEARCH("FAT",N104)))</formula>
    </cfRule>
    <cfRule type="containsText" dxfId="3067" priority="3785" operator="containsText" text="FIRE">
      <formula>NOT(ISERROR(SEARCH("FIRE",N104)))</formula>
    </cfRule>
    <cfRule type="containsText" dxfId="3066" priority="3786" operator="containsText" text="COSH">
      <formula>NOT(ISERROR(SEARCH("COSH",N104)))</formula>
    </cfRule>
  </conditionalFormatting>
  <conditionalFormatting sqref="O104">
    <cfRule type="containsText" dxfId="3065" priority="3781" operator="containsText" text="FAT">
      <formula>NOT(ISERROR(SEARCH("FAT",O104)))</formula>
    </cfRule>
    <cfRule type="containsText" dxfId="3064" priority="3782" operator="containsText" text="FIRE">
      <formula>NOT(ISERROR(SEARCH("FIRE",O104)))</formula>
    </cfRule>
    <cfRule type="containsText" dxfId="3063" priority="3783" operator="containsText" text="COSH">
      <formula>NOT(ISERROR(SEARCH("COSH",O104)))</formula>
    </cfRule>
  </conditionalFormatting>
  <conditionalFormatting sqref="J111">
    <cfRule type="containsText" dxfId="3062" priority="3778" operator="containsText" text="FAT">
      <formula>NOT(ISERROR(SEARCH("FAT",J111)))</formula>
    </cfRule>
    <cfRule type="containsText" dxfId="3061" priority="3779" operator="containsText" text="FIRE">
      <formula>NOT(ISERROR(SEARCH("FIRE",J111)))</formula>
    </cfRule>
    <cfRule type="containsText" dxfId="3060" priority="3780" operator="containsText" text="COSH">
      <formula>NOT(ISERROR(SEARCH("COSH",J111)))</formula>
    </cfRule>
  </conditionalFormatting>
  <conditionalFormatting sqref="J111">
    <cfRule type="containsText" dxfId="3059" priority="3775" operator="containsText" text="FAT">
      <formula>NOT(ISERROR(SEARCH("FAT",J111)))</formula>
    </cfRule>
    <cfRule type="containsText" dxfId="3058" priority="3776" operator="containsText" text="FIRE">
      <formula>NOT(ISERROR(SEARCH("FIRE",J111)))</formula>
    </cfRule>
    <cfRule type="containsText" dxfId="3057" priority="3777" operator="containsText" text="COSH">
      <formula>NOT(ISERROR(SEARCH("COSH",J111)))</formula>
    </cfRule>
  </conditionalFormatting>
  <conditionalFormatting sqref="J111">
    <cfRule type="containsText" dxfId="3056" priority="3772" operator="containsText" text="FAT">
      <formula>NOT(ISERROR(SEARCH("FAT",J111)))</formula>
    </cfRule>
    <cfRule type="containsText" dxfId="3055" priority="3773" operator="containsText" text="FIRE">
      <formula>NOT(ISERROR(SEARCH("FIRE",J111)))</formula>
    </cfRule>
    <cfRule type="containsText" dxfId="3054" priority="3774" operator="containsText" text="COSH">
      <formula>NOT(ISERROR(SEARCH("COSH",J111)))</formula>
    </cfRule>
  </conditionalFormatting>
  <conditionalFormatting sqref="J111">
    <cfRule type="cellIs" dxfId="3053" priority="3771" operator="between">
      <formula>1</formula>
      <formula>3</formula>
    </cfRule>
  </conditionalFormatting>
  <conditionalFormatting sqref="K111">
    <cfRule type="containsText" dxfId="3052" priority="3768" operator="containsText" text="FAT">
      <formula>NOT(ISERROR(SEARCH("FAT",K111)))</formula>
    </cfRule>
    <cfRule type="containsText" dxfId="3051" priority="3769" operator="containsText" text="FIRE">
      <formula>NOT(ISERROR(SEARCH("FIRE",K111)))</formula>
    </cfRule>
    <cfRule type="containsText" dxfId="3050" priority="3770" operator="containsText" text="COSH">
      <formula>NOT(ISERROR(SEARCH("COSH",K111)))</formula>
    </cfRule>
  </conditionalFormatting>
  <conditionalFormatting sqref="K111">
    <cfRule type="containsText" dxfId="3049" priority="3765" operator="containsText" text="FAT">
      <formula>NOT(ISERROR(SEARCH("FAT",K111)))</formula>
    </cfRule>
    <cfRule type="containsText" dxfId="3048" priority="3766" operator="containsText" text="FIRE">
      <formula>NOT(ISERROR(SEARCH("FIRE",K111)))</formula>
    </cfRule>
    <cfRule type="containsText" dxfId="3047" priority="3767" operator="containsText" text="COSH">
      <formula>NOT(ISERROR(SEARCH("COSH",K111)))</formula>
    </cfRule>
  </conditionalFormatting>
  <conditionalFormatting sqref="K111">
    <cfRule type="cellIs" dxfId="3046" priority="3764" operator="between">
      <formula>1</formula>
      <formula>3</formula>
    </cfRule>
  </conditionalFormatting>
  <conditionalFormatting sqref="J106">
    <cfRule type="containsText" dxfId="3045" priority="3761" operator="containsText" text="FAT">
      <formula>NOT(ISERROR(SEARCH("FAT",J106)))</formula>
    </cfRule>
    <cfRule type="containsText" dxfId="3044" priority="3762" operator="containsText" text="FIRE">
      <formula>NOT(ISERROR(SEARCH("FIRE",J106)))</formula>
    </cfRule>
    <cfRule type="containsText" dxfId="3043" priority="3763" operator="containsText" text="COSH">
      <formula>NOT(ISERROR(SEARCH("COSH",J106)))</formula>
    </cfRule>
  </conditionalFormatting>
  <conditionalFormatting sqref="R106">
    <cfRule type="containsText" dxfId="3042" priority="3758" operator="containsText" text="FAT">
      <formula>NOT(ISERROR(SEARCH("FAT",R106)))</formula>
    </cfRule>
    <cfRule type="containsText" dxfId="3041" priority="3759" operator="containsText" text="FIRE">
      <formula>NOT(ISERROR(SEARCH("FIRE",R106)))</formula>
    </cfRule>
    <cfRule type="containsText" dxfId="3040" priority="3760" operator="containsText" text="COSH">
      <formula>NOT(ISERROR(SEARCH("COSH",R106)))</formula>
    </cfRule>
  </conditionalFormatting>
  <conditionalFormatting sqref="P106">
    <cfRule type="containsText" dxfId="3039" priority="3755" operator="containsText" text="FAT">
      <formula>NOT(ISERROR(SEARCH("FAT",P106)))</formula>
    </cfRule>
    <cfRule type="containsText" dxfId="3038" priority="3756" operator="containsText" text="FIRE">
      <formula>NOT(ISERROR(SEARCH("FIRE",P106)))</formula>
    </cfRule>
    <cfRule type="containsText" dxfId="3037" priority="3757" operator="containsText" text="COSH">
      <formula>NOT(ISERROR(SEARCH("COSH",P106)))</formula>
    </cfRule>
  </conditionalFormatting>
  <conditionalFormatting sqref="N106">
    <cfRule type="containsText" dxfId="3036" priority="3752" operator="containsText" text="FAT">
      <formula>NOT(ISERROR(SEARCH("FAT",N106)))</formula>
    </cfRule>
    <cfRule type="containsText" dxfId="3035" priority="3753" operator="containsText" text="FIRE">
      <formula>NOT(ISERROR(SEARCH("FIRE",N106)))</formula>
    </cfRule>
    <cfRule type="containsText" dxfId="3034" priority="3754" operator="containsText" text="COSH">
      <formula>NOT(ISERROR(SEARCH("COSH",N106)))</formula>
    </cfRule>
  </conditionalFormatting>
  <conditionalFormatting sqref="O106">
    <cfRule type="containsText" dxfId="3033" priority="3749" operator="containsText" text="FAT">
      <formula>NOT(ISERROR(SEARCH("FAT",O106)))</formula>
    </cfRule>
    <cfRule type="containsText" dxfId="3032" priority="3750" operator="containsText" text="FIRE">
      <formula>NOT(ISERROR(SEARCH("FIRE",O106)))</formula>
    </cfRule>
    <cfRule type="containsText" dxfId="3031" priority="3751" operator="containsText" text="COSH">
      <formula>NOT(ISERROR(SEARCH("COSH",O106)))</formula>
    </cfRule>
  </conditionalFormatting>
  <conditionalFormatting sqref="J116">
    <cfRule type="containsText" dxfId="3030" priority="3746" operator="containsText" text="FAT">
      <formula>NOT(ISERROR(SEARCH("FAT",J116)))</formula>
    </cfRule>
    <cfRule type="containsText" dxfId="3029" priority="3747" operator="containsText" text="FIRE">
      <formula>NOT(ISERROR(SEARCH("FIRE",J116)))</formula>
    </cfRule>
    <cfRule type="containsText" dxfId="3028" priority="3748" operator="containsText" text="COSH">
      <formula>NOT(ISERROR(SEARCH("COSH",J116)))</formula>
    </cfRule>
  </conditionalFormatting>
  <conditionalFormatting sqref="R116">
    <cfRule type="containsText" dxfId="3027" priority="3743" operator="containsText" text="FAT">
      <formula>NOT(ISERROR(SEARCH("FAT",R116)))</formula>
    </cfRule>
    <cfRule type="containsText" dxfId="3026" priority="3744" operator="containsText" text="FIRE">
      <formula>NOT(ISERROR(SEARCH("FIRE",R116)))</formula>
    </cfRule>
    <cfRule type="containsText" dxfId="3025" priority="3745" operator="containsText" text="COSH">
      <formula>NOT(ISERROR(SEARCH("COSH",R116)))</formula>
    </cfRule>
  </conditionalFormatting>
  <conditionalFormatting sqref="P116">
    <cfRule type="containsText" dxfId="3024" priority="3740" operator="containsText" text="FAT">
      <formula>NOT(ISERROR(SEARCH("FAT",P116)))</formula>
    </cfRule>
    <cfRule type="containsText" dxfId="3023" priority="3741" operator="containsText" text="FIRE">
      <formula>NOT(ISERROR(SEARCH("FIRE",P116)))</formula>
    </cfRule>
    <cfRule type="containsText" dxfId="3022" priority="3742" operator="containsText" text="COSH">
      <formula>NOT(ISERROR(SEARCH("COSH",P116)))</formula>
    </cfRule>
  </conditionalFormatting>
  <conditionalFormatting sqref="N116">
    <cfRule type="containsText" dxfId="3021" priority="3737" operator="containsText" text="FAT">
      <formula>NOT(ISERROR(SEARCH("FAT",N116)))</formula>
    </cfRule>
    <cfRule type="containsText" dxfId="3020" priority="3738" operator="containsText" text="FIRE">
      <formula>NOT(ISERROR(SEARCH("FIRE",N116)))</formula>
    </cfRule>
    <cfRule type="containsText" dxfId="3019" priority="3739" operator="containsText" text="COSH">
      <formula>NOT(ISERROR(SEARCH("COSH",N116)))</formula>
    </cfRule>
  </conditionalFormatting>
  <conditionalFormatting sqref="O116">
    <cfRule type="containsText" dxfId="3018" priority="3734" operator="containsText" text="FAT">
      <formula>NOT(ISERROR(SEARCH("FAT",O116)))</formula>
    </cfRule>
    <cfRule type="containsText" dxfId="3017" priority="3735" operator="containsText" text="FIRE">
      <formula>NOT(ISERROR(SEARCH("FIRE",O116)))</formula>
    </cfRule>
    <cfRule type="containsText" dxfId="3016" priority="3736" operator="containsText" text="COSH">
      <formula>NOT(ISERROR(SEARCH("COSH",O116)))</formula>
    </cfRule>
  </conditionalFormatting>
  <conditionalFormatting sqref="G109 P109:S109 J109:K109 W109 M109:N109 U109">
    <cfRule type="cellIs" dxfId="3015" priority="3730" operator="equal">
      <formula>"EL"</formula>
    </cfRule>
    <cfRule type="cellIs" dxfId="3014" priority="3731" operator="equal">
      <formula>"SL"</formula>
    </cfRule>
  </conditionalFormatting>
  <conditionalFormatting sqref="G109 P109:S109 J109:K109 W109 M109:N109 U109">
    <cfRule type="containsText" dxfId="3013" priority="3722" operator="containsText" text="EL">
      <formula>NOT(ISERROR(SEARCH("EL",G109)))</formula>
    </cfRule>
    <cfRule type="containsText" dxfId="3012" priority="3723" operator="containsText" text="Q">
      <formula>NOT(ISERROR(SEARCH("Q",G109)))</formula>
    </cfRule>
  </conditionalFormatting>
  <conditionalFormatting sqref="G109 P109:S109 J109:K109 W109 M109:N109 U109">
    <cfRule type="containsText" dxfId="3011" priority="3721" operator="containsText" text="1ET">
      <formula>NOT(ISERROR(SEARCH("1ET",G109)))</formula>
    </cfRule>
  </conditionalFormatting>
  <conditionalFormatting sqref="G109 P109:S109 J109:K109 W109 M109:N109 U109">
    <cfRule type="containsText" dxfId="3010" priority="3719" operator="containsText" text="3ET">
      <formula>NOT(ISERROR(SEARCH("3ET",G109)))</formula>
    </cfRule>
    <cfRule type="containsText" dxfId="3009" priority="3720" operator="containsText" text="1OT">
      <formula>NOT(ISERROR(SEARCH("1OT",G109)))</formula>
    </cfRule>
  </conditionalFormatting>
  <conditionalFormatting sqref="J110:K110 P110:S110 W110:Z110 M110:N110 U110">
    <cfRule type="cellIs" dxfId="3008" priority="3715" operator="equal">
      <formula>"EL"</formula>
    </cfRule>
    <cfRule type="cellIs" dxfId="3007" priority="3716" operator="equal">
      <formula>"SL"</formula>
    </cfRule>
  </conditionalFormatting>
  <conditionalFormatting sqref="J110:K110 P110:S110 W110:Z110 M110:N110 U110">
    <cfRule type="containsText" dxfId="3006" priority="3707" operator="containsText" text="EL">
      <formula>NOT(ISERROR(SEARCH("EL",J110)))</formula>
    </cfRule>
    <cfRule type="containsText" dxfId="3005" priority="3708" operator="containsText" text="Q">
      <formula>NOT(ISERROR(SEARCH("Q",J110)))</formula>
    </cfRule>
  </conditionalFormatting>
  <conditionalFormatting sqref="J110:K110 P110:S110 W110:Z110 M110:N110 U110">
    <cfRule type="containsText" dxfId="3004" priority="3706" operator="containsText" text="1ET">
      <formula>NOT(ISERROR(SEARCH("1ET",J110)))</formula>
    </cfRule>
  </conditionalFormatting>
  <conditionalFormatting sqref="J110:K110 P110:S110 W110:Z110 M110:N110 U110">
    <cfRule type="containsText" dxfId="3003" priority="3704" operator="containsText" text="3ET">
      <formula>NOT(ISERROR(SEARCH("3ET",J110)))</formula>
    </cfRule>
    <cfRule type="containsText" dxfId="3002" priority="3705" operator="containsText" text="1OT">
      <formula>NOT(ISERROR(SEARCH("1OT",J110)))</formula>
    </cfRule>
  </conditionalFormatting>
  <conditionalFormatting sqref="M111:N111 P111:S111 W111:Z111 U111">
    <cfRule type="cellIs" dxfId="3001" priority="3700" operator="equal">
      <formula>"EL"</formula>
    </cfRule>
    <cfRule type="cellIs" dxfId="3000" priority="3701" operator="equal">
      <formula>"SL"</formula>
    </cfRule>
  </conditionalFormatting>
  <conditionalFormatting sqref="M111:N111 P111:S111 W111:Z111 U111">
    <cfRule type="containsText" dxfId="2999" priority="3692" operator="containsText" text="EL">
      <formula>NOT(ISERROR(SEARCH("EL",M111)))</formula>
    </cfRule>
    <cfRule type="containsText" dxfId="2998" priority="3693" operator="containsText" text="Q">
      <formula>NOT(ISERROR(SEARCH("Q",M111)))</formula>
    </cfRule>
  </conditionalFormatting>
  <conditionalFormatting sqref="M111:N111 P111:S111 W111:Z111 U111">
    <cfRule type="containsText" dxfId="2997" priority="3691" operator="containsText" text="1ET">
      <formula>NOT(ISERROR(SEARCH("1ET",M111)))</formula>
    </cfRule>
  </conditionalFormatting>
  <conditionalFormatting sqref="M111:N111 P111:S111 W111:Z111 U111">
    <cfRule type="containsText" dxfId="2996" priority="3689" operator="containsText" text="3ET">
      <formula>NOT(ISERROR(SEARCH("3ET",M111)))</formula>
    </cfRule>
    <cfRule type="containsText" dxfId="2995" priority="3690" operator="containsText" text="1OT">
      <formula>NOT(ISERROR(SEARCH("1OT",M111)))</formula>
    </cfRule>
  </conditionalFormatting>
  <conditionalFormatting sqref="O109">
    <cfRule type="containsText" dxfId="2994" priority="3686" operator="containsText" text="FAT">
      <formula>NOT(ISERROR(SEARCH("FAT",O109)))</formula>
    </cfRule>
    <cfRule type="containsText" dxfId="2993" priority="3687" operator="containsText" text="FIRE">
      <formula>NOT(ISERROR(SEARCH("FIRE",O109)))</formula>
    </cfRule>
    <cfRule type="containsText" dxfId="2992" priority="3688" operator="containsText" text="COSH">
      <formula>NOT(ISERROR(SEARCH("COSH",O109)))</formula>
    </cfRule>
  </conditionalFormatting>
  <conditionalFormatting sqref="O109">
    <cfRule type="containsText" dxfId="2991" priority="3683" operator="containsText" text="FAT">
      <formula>NOT(ISERROR(SEARCH("FAT",O109)))</formula>
    </cfRule>
    <cfRule type="containsText" dxfId="2990" priority="3684" operator="containsText" text="FIRE">
      <formula>NOT(ISERROR(SEARCH("FIRE",O109)))</formula>
    </cfRule>
    <cfRule type="containsText" dxfId="2989" priority="3685" operator="containsText" text="COSH">
      <formula>NOT(ISERROR(SEARCH("COSH",O109)))</formula>
    </cfRule>
  </conditionalFormatting>
  <conditionalFormatting sqref="O109">
    <cfRule type="cellIs" dxfId="2988" priority="3680" operator="between">
      <formula>1</formula>
      <formula>3</formula>
    </cfRule>
  </conditionalFormatting>
  <conditionalFormatting sqref="O109">
    <cfRule type="containsText" dxfId="2987" priority="3676" operator="containsText" text="FAT">
      <formula>NOT(ISERROR(SEARCH("FAT",O109)))</formula>
    </cfRule>
    <cfRule type="containsText" dxfId="2986" priority="3677" operator="containsText" text="FIRE">
      <formula>NOT(ISERROR(SEARCH("FIRE",O109)))</formula>
    </cfRule>
    <cfRule type="containsText" dxfId="2985" priority="3678" operator="containsText" text="COSH">
      <formula>NOT(ISERROR(SEARCH("COSH",O109)))</formula>
    </cfRule>
  </conditionalFormatting>
  <conditionalFormatting sqref="O110">
    <cfRule type="containsText" dxfId="2984" priority="3673" operator="containsText" text="FAT">
      <formula>NOT(ISERROR(SEARCH("FAT",O110)))</formula>
    </cfRule>
    <cfRule type="containsText" dxfId="2983" priority="3674" operator="containsText" text="FIRE">
      <formula>NOT(ISERROR(SEARCH("FIRE",O110)))</formula>
    </cfRule>
    <cfRule type="containsText" dxfId="2982" priority="3675" operator="containsText" text="COSH">
      <formula>NOT(ISERROR(SEARCH("COSH",O110)))</formula>
    </cfRule>
  </conditionalFormatting>
  <conditionalFormatting sqref="O110">
    <cfRule type="containsText" dxfId="2981" priority="3670" operator="containsText" text="FAT">
      <formula>NOT(ISERROR(SEARCH("FAT",O110)))</formula>
    </cfRule>
    <cfRule type="containsText" dxfId="2980" priority="3671" operator="containsText" text="FIRE">
      <formula>NOT(ISERROR(SEARCH("FIRE",O110)))</formula>
    </cfRule>
    <cfRule type="containsText" dxfId="2979" priority="3672" operator="containsText" text="COSH">
      <formula>NOT(ISERROR(SEARCH("COSH",O110)))</formula>
    </cfRule>
  </conditionalFormatting>
  <conditionalFormatting sqref="O110">
    <cfRule type="cellIs" dxfId="2978" priority="3667" operator="between">
      <formula>1</formula>
      <formula>3</formula>
    </cfRule>
  </conditionalFormatting>
  <conditionalFormatting sqref="O110">
    <cfRule type="containsText" dxfId="2977" priority="3663" operator="containsText" text="FAT">
      <formula>NOT(ISERROR(SEARCH("FAT",O110)))</formula>
    </cfRule>
    <cfRule type="containsText" dxfId="2976" priority="3664" operator="containsText" text="FIRE">
      <formula>NOT(ISERROR(SEARCH("FIRE",O110)))</formula>
    </cfRule>
    <cfRule type="containsText" dxfId="2975" priority="3665" operator="containsText" text="COSH">
      <formula>NOT(ISERROR(SEARCH("COSH",O110)))</formula>
    </cfRule>
  </conditionalFormatting>
  <conditionalFormatting sqref="O111">
    <cfRule type="containsText" dxfId="2974" priority="3660" operator="containsText" text="FAT">
      <formula>NOT(ISERROR(SEARCH("FAT",O111)))</formula>
    </cfRule>
    <cfRule type="containsText" dxfId="2973" priority="3661" operator="containsText" text="FIRE">
      <formula>NOT(ISERROR(SEARCH("FIRE",O111)))</formula>
    </cfRule>
    <cfRule type="containsText" dxfId="2972" priority="3662" operator="containsText" text="COSH">
      <formula>NOT(ISERROR(SEARCH("COSH",O111)))</formula>
    </cfRule>
  </conditionalFormatting>
  <conditionalFormatting sqref="O111">
    <cfRule type="containsText" dxfId="2971" priority="3657" operator="containsText" text="FAT">
      <formula>NOT(ISERROR(SEARCH("FAT",O111)))</formula>
    </cfRule>
    <cfRule type="containsText" dxfId="2970" priority="3658" operator="containsText" text="FIRE">
      <formula>NOT(ISERROR(SEARCH("FIRE",O111)))</formula>
    </cfRule>
    <cfRule type="containsText" dxfId="2969" priority="3659" operator="containsText" text="COSH">
      <formula>NOT(ISERROR(SEARCH("COSH",O111)))</formula>
    </cfRule>
  </conditionalFormatting>
  <conditionalFormatting sqref="O111">
    <cfRule type="cellIs" dxfId="2968" priority="3654" operator="between">
      <formula>1</formula>
      <formula>3</formula>
    </cfRule>
  </conditionalFormatting>
  <conditionalFormatting sqref="O111">
    <cfRule type="containsText" dxfId="2967" priority="3650" operator="containsText" text="FAT">
      <formula>NOT(ISERROR(SEARCH("FAT",O111)))</formula>
    </cfRule>
    <cfRule type="containsText" dxfId="2966" priority="3651" operator="containsText" text="FIRE">
      <formula>NOT(ISERROR(SEARCH("FIRE",O111)))</formula>
    </cfRule>
    <cfRule type="containsText" dxfId="2965" priority="3652" operator="containsText" text="COSH">
      <formula>NOT(ISERROR(SEARCH("COSH",O111)))</formula>
    </cfRule>
  </conditionalFormatting>
  <conditionalFormatting sqref="H109">
    <cfRule type="containsText" dxfId="2964" priority="3647" operator="containsText" text="FAT">
      <formula>NOT(ISERROR(SEARCH("FAT",H109)))</formula>
    </cfRule>
    <cfRule type="containsText" dxfId="2963" priority="3648" operator="containsText" text="FIRE">
      <formula>NOT(ISERROR(SEARCH("FIRE",H109)))</formula>
    </cfRule>
    <cfRule type="containsText" dxfId="2962" priority="3649" operator="containsText" text="COSH">
      <formula>NOT(ISERROR(SEARCH("COSH",H109)))</formula>
    </cfRule>
  </conditionalFormatting>
  <conditionalFormatting sqref="H109">
    <cfRule type="containsText" dxfId="2961" priority="3644" operator="containsText" text="FAT">
      <formula>NOT(ISERROR(SEARCH("FAT",H109)))</formula>
    </cfRule>
    <cfRule type="containsText" dxfId="2960" priority="3645" operator="containsText" text="FIRE">
      <formula>NOT(ISERROR(SEARCH("FIRE",H109)))</formula>
    </cfRule>
    <cfRule type="containsText" dxfId="2959" priority="3646" operator="containsText" text="COSH">
      <formula>NOT(ISERROR(SEARCH("COSH",H109)))</formula>
    </cfRule>
  </conditionalFormatting>
  <conditionalFormatting sqref="H109">
    <cfRule type="cellIs" dxfId="2958" priority="3641" operator="between">
      <formula>1</formula>
      <formula>3</formula>
    </cfRule>
  </conditionalFormatting>
  <conditionalFormatting sqref="H109">
    <cfRule type="containsText" dxfId="2957" priority="3637" operator="containsText" text="FAT">
      <formula>NOT(ISERROR(SEARCH("FAT",H109)))</formula>
    </cfRule>
    <cfRule type="containsText" dxfId="2956" priority="3638" operator="containsText" text="FIRE">
      <formula>NOT(ISERROR(SEARCH("FIRE",H109)))</formula>
    </cfRule>
    <cfRule type="containsText" dxfId="2955" priority="3639" operator="containsText" text="COSH">
      <formula>NOT(ISERROR(SEARCH("COSH",H109)))</formula>
    </cfRule>
  </conditionalFormatting>
  <conditionalFormatting sqref="J105">
    <cfRule type="containsText" dxfId="2954" priority="3634" operator="containsText" text="FAT">
      <formula>NOT(ISERROR(SEARCH("FAT",J105)))</formula>
    </cfRule>
    <cfRule type="containsText" dxfId="2953" priority="3635" operator="containsText" text="FIRE">
      <formula>NOT(ISERROR(SEARCH("FIRE",J105)))</formula>
    </cfRule>
    <cfRule type="containsText" dxfId="2952" priority="3636" operator="containsText" text="COSH">
      <formula>NOT(ISERROR(SEARCH("COSH",J105)))</formula>
    </cfRule>
  </conditionalFormatting>
  <conditionalFormatting sqref="R105">
    <cfRule type="containsText" dxfId="2951" priority="3631" operator="containsText" text="FAT">
      <formula>NOT(ISERROR(SEARCH("FAT",R105)))</formula>
    </cfRule>
    <cfRule type="containsText" dxfId="2950" priority="3632" operator="containsText" text="FIRE">
      <formula>NOT(ISERROR(SEARCH("FIRE",R105)))</formula>
    </cfRule>
    <cfRule type="containsText" dxfId="2949" priority="3633" operator="containsText" text="COSH">
      <formula>NOT(ISERROR(SEARCH("COSH",R105)))</formula>
    </cfRule>
  </conditionalFormatting>
  <conditionalFormatting sqref="J105">
    <cfRule type="containsText" dxfId="2948" priority="3628" operator="containsText" text="FAT">
      <formula>NOT(ISERROR(SEARCH("FAT",J105)))</formula>
    </cfRule>
    <cfRule type="containsText" dxfId="2947" priority="3629" operator="containsText" text="FIRE">
      <formula>NOT(ISERROR(SEARCH("FIRE",J105)))</formula>
    </cfRule>
    <cfRule type="containsText" dxfId="2946" priority="3630" operator="containsText" text="COSH">
      <formula>NOT(ISERROR(SEARCH("COSH",J105)))</formula>
    </cfRule>
  </conditionalFormatting>
  <conditionalFormatting sqref="R105">
    <cfRule type="containsText" dxfId="2945" priority="3625" operator="containsText" text="FAT">
      <formula>NOT(ISERROR(SEARCH("FAT",R105)))</formula>
    </cfRule>
    <cfRule type="containsText" dxfId="2944" priority="3626" operator="containsText" text="FIRE">
      <formula>NOT(ISERROR(SEARCH("FIRE",R105)))</formula>
    </cfRule>
    <cfRule type="containsText" dxfId="2943" priority="3627" operator="containsText" text="COSH">
      <formula>NOT(ISERROR(SEARCH("COSH",R105)))</formula>
    </cfRule>
  </conditionalFormatting>
  <conditionalFormatting sqref="P105">
    <cfRule type="containsText" dxfId="2942" priority="3622" operator="containsText" text="FAT">
      <formula>NOT(ISERROR(SEARCH("FAT",P105)))</formula>
    </cfRule>
    <cfRule type="containsText" dxfId="2941" priority="3623" operator="containsText" text="FIRE">
      <formula>NOT(ISERROR(SEARCH("FIRE",P105)))</formula>
    </cfRule>
    <cfRule type="containsText" dxfId="2940" priority="3624" operator="containsText" text="COSH">
      <formula>NOT(ISERROR(SEARCH("COSH",P105)))</formula>
    </cfRule>
  </conditionalFormatting>
  <conditionalFormatting sqref="N105">
    <cfRule type="containsText" dxfId="2939" priority="3619" operator="containsText" text="FAT">
      <formula>NOT(ISERROR(SEARCH("FAT",N105)))</formula>
    </cfRule>
    <cfRule type="containsText" dxfId="2938" priority="3620" operator="containsText" text="FIRE">
      <formula>NOT(ISERROR(SEARCH("FIRE",N105)))</formula>
    </cfRule>
    <cfRule type="containsText" dxfId="2937" priority="3621" operator="containsText" text="COSH">
      <formula>NOT(ISERROR(SEARCH("COSH",N105)))</formula>
    </cfRule>
  </conditionalFormatting>
  <conditionalFormatting sqref="O105">
    <cfRule type="containsText" dxfId="2936" priority="3616" operator="containsText" text="FAT">
      <formula>NOT(ISERROR(SEARCH("FAT",O105)))</formula>
    </cfRule>
    <cfRule type="containsText" dxfId="2935" priority="3617" operator="containsText" text="FIRE">
      <formula>NOT(ISERROR(SEARCH("FIRE",O105)))</formula>
    </cfRule>
    <cfRule type="containsText" dxfId="2934" priority="3618" operator="containsText" text="COSH">
      <formula>NOT(ISERROR(SEARCH("COSH",O105)))</formula>
    </cfRule>
  </conditionalFormatting>
  <conditionalFormatting sqref="I97:J97">
    <cfRule type="cellIs" dxfId="2933" priority="3612" operator="equal">
      <formula>"EL"</formula>
    </cfRule>
    <cfRule type="cellIs" dxfId="2932" priority="3613" operator="equal">
      <formula>"SL"</formula>
    </cfRule>
  </conditionalFormatting>
  <conditionalFormatting sqref="I97:J97">
    <cfRule type="containsText" dxfId="2931" priority="3604" operator="containsText" text="EL">
      <formula>NOT(ISERROR(SEARCH("EL",I97)))</formula>
    </cfRule>
    <cfRule type="containsText" dxfId="2930" priority="3605" operator="containsText" text="Q">
      <formula>NOT(ISERROR(SEARCH("Q",I97)))</formula>
    </cfRule>
  </conditionalFormatting>
  <conditionalFormatting sqref="I97:J97">
    <cfRule type="containsText" dxfId="2929" priority="3603" operator="containsText" text="1ET">
      <formula>NOT(ISERROR(SEARCH("1ET",I97)))</formula>
    </cfRule>
  </conditionalFormatting>
  <conditionalFormatting sqref="I97:J97">
    <cfRule type="containsText" dxfId="2928" priority="3601" operator="containsText" text="3ET">
      <formula>NOT(ISERROR(SEARCH("3ET",I97)))</formula>
    </cfRule>
    <cfRule type="containsText" dxfId="2927" priority="3602" operator="containsText" text="1OT">
      <formula>NOT(ISERROR(SEARCH("1OT",I97)))</formula>
    </cfRule>
  </conditionalFormatting>
  <conditionalFormatting sqref="K97 M97">
    <cfRule type="cellIs" dxfId="2926" priority="3597" operator="equal">
      <formula>"EL"</formula>
    </cfRule>
    <cfRule type="cellIs" dxfId="2925" priority="3598" operator="equal">
      <formula>"SL"</formula>
    </cfRule>
  </conditionalFormatting>
  <conditionalFormatting sqref="K97 M97">
    <cfRule type="containsText" dxfId="2924" priority="3589" operator="containsText" text="EL">
      <formula>NOT(ISERROR(SEARCH("EL",K97)))</formula>
    </cfRule>
    <cfRule type="containsText" dxfId="2923" priority="3590" operator="containsText" text="Q">
      <formula>NOT(ISERROR(SEARCH("Q",K97)))</formula>
    </cfRule>
  </conditionalFormatting>
  <conditionalFormatting sqref="K97 M97">
    <cfRule type="containsText" dxfId="2922" priority="3588" operator="containsText" text="1ET">
      <formula>NOT(ISERROR(SEARCH("1ET",K97)))</formula>
    </cfRule>
  </conditionalFormatting>
  <conditionalFormatting sqref="K97 M97">
    <cfRule type="containsText" dxfId="2921" priority="3586" operator="containsText" text="3ET">
      <formula>NOT(ISERROR(SEARCH("3ET",K97)))</formula>
    </cfRule>
    <cfRule type="containsText" dxfId="2920" priority="3587" operator="containsText" text="1OT">
      <formula>NOT(ISERROR(SEARCH("1OT",K97)))</formula>
    </cfRule>
  </conditionalFormatting>
  <conditionalFormatting sqref="H97">
    <cfRule type="containsText" dxfId="2919" priority="3583" operator="containsText" text="FAT">
      <formula>NOT(ISERROR(SEARCH("FAT",H97)))</formula>
    </cfRule>
    <cfRule type="containsText" dxfId="2918" priority="3584" operator="containsText" text="FIRE">
      <formula>NOT(ISERROR(SEARCH("FIRE",H97)))</formula>
    </cfRule>
    <cfRule type="containsText" dxfId="2917" priority="3585" operator="containsText" text="COSH">
      <formula>NOT(ISERROR(SEARCH("COSH",H97)))</formula>
    </cfRule>
  </conditionalFormatting>
  <conditionalFormatting sqref="H97">
    <cfRule type="cellIs" dxfId="2916" priority="3580" operator="between">
      <formula>1</formula>
      <formula>3</formula>
    </cfRule>
  </conditionalFormatting>
  <conditionalFormatting sqref="J108">
    <cfRule type="containsText" dxfId="2915" priority="3576" operator="containsText" text="FAT">
      <formula>NOT(ISERROR(SEARCH("FAT",J108)))</formula>
    </cfRule>
    <cfRule type="containsText" dxfId="2914" priority="3577" operator="containsText" text="FIRE">
      <formula>NOT(ISERROR(SEARCH("FIRE",J108)))</formula>
    </cfRule>
    <cfRule type="containsText" dxfId="2913" priority="3578" operator="containsText" text="COSH">
      <formula>NOT(ISERROR(SEARCH("COSH",J108)))</formula>
    </cfRule>
  </conditionalFormatting>
  <conditionalFormatting sqref="R108">
    <cfRule type="containsText" dxfId="2912" priority="3573" operator="containsText" text="FAT">
      <formula>NOT(ISERROR(SEARCH("FAT",R108)))</formula>
    </cfRule>
    <cfRule type="containsText" dxfId="2911" priority="3574" operator="containsText" text="FIRE">
      <formula>NOT(ISERROR(SEARCH("FIRE",R108)))</formula>
    </cfRule>
    <cfRule type="containsText" dxfId="2910" priority="3575" operator="containsText" text="COSH">
      <formula>NOT(ISERROR(SEARCH("COSH",R108)))</formula>
    </cfRule>
  </conditionalFormatting>
  <conditionalFormatting sqref="P108">
    <cfRule type="containsText" dxfId="2909" priority="3570" operator="containsText" text="FAT">
      <formula>NOT(ISERROR(SEARCH("FAT",P108)))</formula>
    </cfRule>
    <cfRule type="containsText" dxfId="2908" priority="3571" operator="containsText" text="FIRE">
      <formula>NOT(ISERROR(SEARCH("FIRE",P108)))</formula>
    </cfRule>
    <cfRule type="containsText" dxfId="2907" priority="3572" operator="containsText" text="COSH">
      <formula>NOT(ISERROR(SEARCH("COSH",P108)))</formula>
    </cfRule>
  </conditionalFormatting>
  <conditionalFormatting sqref="N108">
    <cfRule type="containsText" dxfId="2906" priority="3567" operator="containsText" text="FAT">
      <formula>NOT(ISERROR(SEARCH("FAT",N108)))</formula>
    </cfRule>
    <cfRule type="containsText" dxfId="2905" priority="3568" operator="containsText" text="FIRE">
      <formula>NOT(ISERROR(SEARCH("FIRE",N108)))</formula>
    </cfRule>
    <cfRule type="containsText" dxfId="2904" priority="3569" operator="containsText" text="COSH">
      <formula>NOT(ISERROR(SEARCH("COSH",N108)))</formula>
    </cfRule>
  </conditionalFormatting>
  <conditionalFormatting sqref="O108">
    <cfRule type="containsText" dxfId="2903" priority="3564" operator="containsText" text="FAT">
      <formula>NOT(ISERROR(SEARCH("FAT",O108)))</formula>
    </cfRule>
    <cfRule type="containsText" dxfId="2902" priority="3565" operator="containsText" text="FIRE">
      <formula>NOT(ISERROR(SEARCH("FIRE",O108)))</formula>
    </cfRule>
    <cfRule type="containsText" dxfId="2901" priority="3566" operator="containsText" text="COSH">
      <formula>NOT(ISERROR(SEARCH("COSH",O108)))</formula>
    </cfRule>
  </conditionalFormatting>
  <conditionalFormatting sqref="G113">
    <cfRule type="containsText" dxfId="2900" priority="3561" operator="containsText" text="FAT">
      <formula>NOT(ISERROR(SEARCH("FAT",G113)))</formula>
    </cfRule>
    <cfRule type="containsText" dxfId="2899" priority="3562" operator="containsText" text="FIRE">
      <formula>NOT(ISERROR(SEARCH("FIRE",G113)))</formula>
    </cfRule>
    <cfRule type="containsText" dxfId="2898" priority="3563" operator="containsText" text="COSH">
      <formula>NOT(ISERROR(SEARCH("COSH",G113)))</formula>
    </cfRule>
  </conditionalFormatting>
  <conditionalFormatting sqref="J113">
    <cfRule type="containsText" dxfId="2897" priority="3558" operator="containsText" text="FAT">
      <formula>NOT(ISERROR(SEARCH("FAT",J113)))</formula>
    </cfRule>
    <cfRule type="containsText" dxfId="2896" priority="3559" operator="containsText" text="FIRE">
      <formula>NOT(ISERROR(SEARCH("FIRE",J113)))</formula>
    </cfRule>
    <cfRule type="containsText" dxfId="2895" priority="3560" operator="containsText" text="COSH">
      <formula>NOT(ISERROR(SEARCH("COSH",J113)))</formula>
    </cfRule>
  </conditionalFormatting>
  <conditionalFormatting sqref="R113">
    <cfRule type="containsText" dxfId="2894" priority="3555" operator="containsText" text="FAT">
      <formula>NOT(ISERROR(SEARCH("FAT",R113)))</formula>
    </cfRule>
    <cfRule type="containsText" dxfId="2893" priority="3556" operator="containsText" text="FIRE">
      <formula>NOT(ISERROR(SEARCH("FIRE",R113)))</formula>
    </cfRule>
    <cfRule type="containsText" dxfId="2892" priority="3557" operator="containsText" text="COSH">
      <formula>NOT(ISERROR(SEARCH("COSH",R113)))</formula>
    </cfRule>
  </conditionalFormatting>
  <conditionalFormatting sqref="P113">
    <cfRule type="containsText" dxfId="2891" priority="3552" operator="containsText" text="FAT">
      <formula>NOT(ISERROR(SEARCH("FAT",P113)))</formula>
    </cfRule>
    <cfRule type="containsText" dxfId="2890" priority="3553" operator="containsText" text="FIRE">
      <formula>NOT(ISERROR(SEARCH("FIRE",P113)))</formula>
    </cfRule>
    <cfRule type="containsText" dxfId="2889" priority="3554" operator="containsText" text="COSH">
      <formula>NOT(ISERROR(SEARCH("COSH",P113)))</formula>
    </cfRule>
  </conditionalFormatting>
  <conditionalFormatting sqref="N113">
    <cfRule type="containsText" dxfId="2888" priority="3549" operator="containsText" text="FAT">
      <formula>NOT(ISERROR(SEARCH("FAT",N113)))</formula>
    </cfRule>
    <cfRule type="containsText" dxfId="2887" priority="3550" operator="containsText" text="FIRE">
      <formula>NOT(ISERROR(SEARCH("FIRE",N113)))</formula>
    </cfRule>
    <cfRule type="containsText" dxfId="2886" priority="3551" operator="containsText" text="COSH">
      <formula>NOT(ISERROR(SEARCH("COSH",N113)))</formula>
    </cfRule>
  </conditionalFormatting>
  <conditionalFormatting sqref="O113">
    <cfRule type="containsText" dxfId="2885" priority="3546" operator="containsText" text="FAT">
      <formula>NOT(ISERROR(SEARCH("FAT",O113)))</formula>
    </cfRule>
    <cfRule type="containsText" dxfId="2884" priority="3547" operator="containsText" text="FIRE">
      <formula>NOT(ISERROR(SEARCH("FIRE",O113)))</formula>
    </cfRule>
    <cfRule type="containsText" dxfId="2883" priority="3548" operator="containsText" text="COSH">
      <formula>NOT(ISERROR(SEARCH("COSH",O113)))</formula>
    </cfRule>
  </conditionalFormatting>
  <conditionalFormatting sqref="P112:S112 U112">
    <cfRule type="cellIs" dxfId="2882" priority="3542" operator="equal">
      <formula>"EL"</formula>
    </cfRule>
    <cfRule type="cellIs" dxfId="2881" priority="3543" operator="equal">
      <formula>"SL"</formula>
    </cfRule>
  </conditionalFormatting>
  <conditionalFormatting sqref="P112:S112 U112">
    <cfRule type="containsText" dxfId="2880" priority="3534" operator="containsText" text="EL">
      <formula>NOT(ISERROR(SEARCH("EL",P112)))</formula>
    </cfRule>
    <cfRule type="containsText" dxfId="2879" priority="3535" operator="containsText" text="Q">
      <formula>NOT(ISERROR(SEARCH("Q",P112)))</formula>
    </cfRule>
  </conditionalFormatting>
  <conditionalFormatting sqref="P112:S112 U112">
    <cfRule type="containsText" dxfId="2878" priority="3533" operator="containsText" text="1ET">
      <formula>NOT(ISERROR(SEARCH("1ET",P112)))</formula>
    </cfRule>
  </conditionalFormatting>
  <conditionalFormatting sqref="P112:S112 U112">
    <cfRule type="containsText" dxfId="2877" priority="3531" operator="containsText" text="3ET">
      <formula>NOT(ISERROR(SEARCH("3ET",P112)))</formula>
    </cfRule>
    <cfRule type="containsText" dxfId="2876" priority="3532" operator="containsText" text="1OT">
      <formula>NOT(ISERROR(SEARCH("1OT",P112)))</formula>
    </cfRule>
  </conditionalFormatting>
  <conditionalFormatting sqref="V109">
    <cfRule type="containsText" dxfId="2875" priority="3528" operator="containsText" text="FAT">
      <formula>NOT(ISERROR(SEARCH("FAT",V109)))</formula>
    </cfRule>
    <cfRule type="containsText" dxfId="2874" priority="3529" operator="containsText" text="FIRE">
      <formula>NOT(ISERROR(SEARCH("FIRE",V109)))</formula>
    </cfRule>
    <cfRule type="containsText" dxfId="2873" priority="3530" operator="containsText" text="COSH">
      <formula>NOT(ISERROR(SEARCH("COSH",V109)))</formula>
    </cfRule>
  </conditionalFormatting>
  <conditionalFormatting sqref="V109">
    <cfRule type="containsText" dxfId="2872" priority="3525" operator="containsText" text="FAT">
      <formula>NOT(ISERROR(SEARCH("FAT",V109)))</formula>
    </cfRule>
    <cfRule type="containsText" dxfId="2871" priority="3526" operator="containsText" text="FIRE">
      <formula>NOT(ISERROR(SEARCH("FIRE",V109)))</formula>
    </cfRule>
    <cfRule type="containsText" dxfId="2870" priority="3527" operator="containsText" text="COSH">
      <formula>NOT(ISERROR(SEARCH("COSH",V109)))</formula>
    </cfRule>
  </conditionalFormatting>
  <conditionalFormatting sqref="V109">
    <cfRule type="cellIs" dxfId="2869" priority="3522" operator="between">
      <formula>1</formula>
      <formula>3</formula>
    </cfRule>
  </conditionalFormatting>
  <conditionalFormatting sqref="V109">
    <cfRule type="containsText" dxfId="2868" priority="3518" operator="containsText" text="FAT">
      <formula>NOT(ISERROR(SEARCH("FAT",V109)))</formula>
    </cfRule>
    <cfRule type="containsText" dxfId="2867" priority="3519" operator="containsText" text="FIRE">
      <formula>NOT(ISERROR(SEARCH("FIRE",V109)))</formula>
    </cfRule>
    <cfRule type="containsText" dxfId="2866" priority="3520" operator="containsText" text="COSH">
      <formula>NOT(ISERROR(SEARCH("COSH",V109)))</formula>
    </cfRule>
  </conditionalFormatting>
  <conditionalFormatting sqref="V110">
    <cfRule type="containsText" dxfId="2865" priority="3515" operator="containsText" text="FAT">
      <formula>NOT(ISERROR(SEARCH("FAT",V110)))</formula>
    </cfRule>
    <cfRule type="containsText" dxfId="2864" priority="3516" operator="containsText" text="FIRE">
      <formula>NOT(ISERROR(SEARCH("FIRE",V110)))</formula>
    </cfRule>
    <cfRule type="containsText" dxfId="2863" priority="3517" operator="containsText" text="COSH">
      <formula>NOT(ISERROR(SEARCH("COSH",V110)))</formula>
    </cfRule>
  </conditionalFormatting>
  <conditionalFormatting sqref="V110">
    <cfRule type="containsText" dxfId="2862" priority="3512" operator="containsText" text="FAT">
      <formula>NOT(ISERROR(SEARCH("FAT",V110)))</formula>
    </cfRule>
    <cfRule type="containsText" dxfId="2861" priority="3513" operator="containsText" text="FIRE">
      <formula>NOT(ISERROR(SEARCH("FIRE",V110)))</formula>
    </cfRule>
    <cfRule type="containsText" dxfId="2860" priority="3514" operator="containsText" text="COSH">
      <formula>NOT(ISERROR(SEARCH("COSH",V110)))</formula>
    </cfRule>
  </conditionalFormatting>
  <conditionalFormatting sqref="V110">
    <cfRule type="cellIs" dxfId="2859" priority="3509" operator="between">
      <formula>1</formula>
      <formula>3</formula>
    </cfRule>
  </conditionalFormatting>
  <conditionalFormatting sqref="V110">
    <cfRule type="containsText" dxfId="2858" priority="3505" operator="containsText" text="FAT">
      <formula>NOT(ISERROR(SEARCH("FAT",V110)))</formula>
    </cfRule>
    <cfRule type="containsText" dxfId="2857" priority="3506" operator="containsText" text="FIRE">
      <formula>NOT(ISERROR(SEARCH("FIRE",V110)))</formula>
    </cfRule>
    <cfRule type="containsText" dxfId="2856" priority="3507" operator="containsText" text="COSH">
      <formula>NOT(ISERROR(SEARCH("COSH",V110)))</formula>
    </cfRule>
  </conditionalFormatting>
  <conditionalFormatting sqref="V111">
    <cfRule type="containsText" dxfId="2855" priority="3502" operator="containsText" text="FAT">
      <formula>NOT(ISERROR(SEARCH("FAT",V111)))</formula>
    </cfRule>
    <cfRule type="containsText" dxfId="2854" priority="3503" operator="containsText" text="FIRE">
      <formula>NOT(ISERROR(SEARCH("FIRE",V111)))</formula>
    </cfRule>
    <cfRule type="containsText" dxfId="2853" priority="3504" operator="containsText" text="COSH">
      <formula>NOT(ISERROR(SEARCH("COSH",V111)))</formula>
    </cfRule>
  </conditionalFormatting>
  <conditionalFormatting sqref="V111">
    <cfRule type="containsText" dxfId="2852" priority="3499" operator="containsText" text="FAT">
      <formula>NOT(ISERROR(SEARCH("FAT",V111)))</formula>
    </cfRule>
    <cfRule type="containsText" dxfId="2851" priority="3500" operator="containsText" text="FIRE">
      <formula>NOT(ISERROR(SEARCH("FIRE",V111)))</formula>
    </cfRule>
    <cfRule type="containsText" dxfId="2850" priority="3501" operator="containsText" text="COSH">
      <formula>NOT(ISERROR(SEARCH("COSH",V111)))</formula>
    </cfRule>
  </conditionalFormatting>
  <conditionalFormatting sqref="V111">
    <cfRule type="cellIs" dxfId="2849" priority="3496" operator="between">
      <formula>1</formula>
      <formula>3</formula>
    </cfRule>
  </conditionalFormatting>
  <conditionalFormatting sqref="V111">
    <cfRule type="containsText" dxfId="2848" priority="3492" operator="containsText" text="FAT">
      <formula>NOT(ISERROR(SEARCH("FAT",V111)))</formula>
    </cfRule>
    <cfRule type="containsText" dxfId="2847" priority="3493" operator="containsText" text="FIRE">
      <formula>NOT(ISERROR(SEARCH("FIRE",V111)))</formula>
    </cfRule>
    <cfRule type="containsText" dxfId="2846" priority="3494" operator="containsText" text="COSH">
      <formula>NOT(ISERROR(SEARCH("COSH",V111)))</formula>
    </cfRule>
  </conditionalFormatting>
  <conditionalFormatting sqref="G114">
    <cfRule type="containsText" dxfId="2845" priority="3489" operator="containsText" text="FAT">
      <formula>NOT(ISERROR(SEARCH("FAT",G114)))</formula>
    </cfRule>
    <cfRule type="containsText" dxfId="2844" priority="3490" operator="containsText" text="FIRE">
      <formula>NOT(ISERROR(SEARCH("FIRE",G114)))</formula>
    </cfRule>
    <cfRule type="containsText" dxfId="2843" priority="3491" operator="containsText" text="COSH">
      <formula>NOT(ISERROR(SEARCH("COSH",G114)))</formula>
    </cfRule>
  </conditionalFormatting>
  <conditionalFormatting sqref="U114">
    <cfRule type="cellIs" dxfId="2842" priority="3485" operator="equal">
      <formula>"EL"</formula>
    </cfRule>
    <cfRule type="cellIs" dxfId="2841" priority="3486" operator="equal">
      <formula>"SL"</formula>
    </cfRule>
  </conditionalFormatting>
  <conditionalFormatting sqref="U114">
    <cfRule type="containsText" dxfId="2840" priority="3477" operator="containsText" text="EL">
      <formula>NOT(ISERROR(SEARCH("EL",U114)))</formula>
    </cfRule>
    <cfRule type="containsText" dxfId="2839" priority="3478" operator="containsText" text="Q">
      <formula>NOT(ISERROR(SEARCH("Q",U114)))</formula>
    </cfRule>
  </conditionalFormatting>
  <conditionalFormatting sqref="U114">
    <cfRule type="containsText" dxfId="2838" priority="3476" operator="containsText" text="1ET">
      <formula>NOT(ISERROR(SEARCH("1ET",U114)))</formula>
    </cfRule>
  </conditionalFormatting>
  <conditionalFormatting sqref="U114">
    <cfRule type="containsText" dxfId="2837" priority="3474" operator="containsText" text="3ET">
      <formula>NOT(ISERROR(SEARCH("3ET",U114)))</formula>
    </cfRule>
    <cfRule type="containsText" dxfId="2836" priority="3475" operator="containsText" text="1OT">
      <formula>NOT(ISERROR(SEARCH("1OT",U114)))</formula>
    </cfRule>
  </conditionalFormatting>
  <conditionalFormatting sqref="G115:K115 M115:N115">
    <cfRule type="containsText" dxfId="2835" priority="3471" operator="containsText" text="FAT">
      <formula>NOT(ISERROR(SEARCH("FAT",G115)))</formula>
    </cfRule>
    <cfRule type="containsText" dxfId="2834" priority="3472" operator="containsText" text="FIRE">
      <formula>NOT(ISERROR(SEARCH("FIRE",G115)))</formula>
    </cfRule>
    <cfRule type="containsText" dxfId="2833" priority="3473" operator="containsText" text="COSH">
      <formula>NOT(ISERROR(SEARCH("COSH",G115)))</formula>
    </cfRule>
  </conditionalFormatting>
  <conditionalFormatting sqref="N115">
    <cfRule type="containsText" dxfId="2832" priority="3468" operator="containsText" text="FAT">
      <formula>NOT(ISERROR(SEARCH("FAT",N115)))</formula>
    </cfRule>
    <cfRule type="containsText" dxfId="2831" priority="3469" operator="containsText" text="FIRE">
      <formula>NOT(ISERROR(SEARCH("FIRE",N115)))</formula>
    </cfRule>
    <cfRule type="containsText" dxfId="2830" priority="3470" operator="containsText" text="COSH">
      <formula>NOT(ISERROR(SEARCH("COSH",N115)))</formula>
    </cfRule>
  </conditionalFormatting>
  <conditionalFormatting sqref="J115">
    <cfRule type="containsText" dxfId="2829" priority="3465" operator="containsText" text="FAT">
      <formula>NOT(ISERROR(SEARCH("FAT",J115)))</formula>
    </cfRule>
    <cfRule type="containsText" dxfId="2828" priority="3466" operator="containsText" text="FIRE">
      <formula>NOT(ISERROR(SEARCH("FIRE",J115)))</formula>
    </cfRule>
    <cfRule type="containsText" dxfId="2827" priority="3467" operator="containsText" text="COSH">
      <formula>NOT(ISERROR(SEARCH("COSH",J115)))</formula>
    </cfRule>
  </conditionalFormatting>
  <conditionalFormatting sqref="H115">
    <cfRule type="containsText" dxfId="2826" priority="3462" operator="containsText" text="FAT">
      <formula>NOT(ISERROR(SEARCH("FAT",H115)))</formula>
    </cfRule>
    <cfRule type="containsText" dxfId="2825" priority="3463" operator="containsText" text="FIRE">
      <formula>NOT(ISERROR(SEARCH("FIRE",H115)))</formula>
    </cfRule>
    <cfRule type="containsText" dxfId="2824" priority="3464" operator="containsText" text="COSH">
      <formula>NOT(ISERROR(SEARCH("COSH",H115)))</formula>
    </cfRule>
  </conditionalFormatting>
  <conditionalFormatting sqref="O115">
    <cfRule type="containsText" dxfId="2823" priority="3459" operator="containsText" text="FAT">
      <formula>NOT(ISERROR(SEARCH("FAT",O115)))</formula>
    </cfRule>
    <cfRule type="containsText" dxfId="2822" priority="3460" operator="containsText" text="FIRE">
      <formula>NOT(ISERROR(SEARCH("FIRE",O115)))</formula>
    </cfRule>
    <cfRule type="containsText" dxfId="2821" priority="3461" operator="containsText" text="COSH">
      <formula>NOT(ISERROR(SEARCH("COSH",O115)))</formula>
    </cfRule>
  </conditionalFormatting>
  <conditionalFormatting sqref="G115:K115 M115:O115">
    <cfRule type="cellIs" dxfId="2820" priority="3456" operator="between">
      <formula>1</formula>
      <formula>3</formula>
    </cfRule>
  </conditionalFormatting>
  <conditionalFormatting sqref="G115">
    <cfRule type="containsText" dxfId="2819" priority="3452" operator="containsText" text="FAT">
      <formula>NOT(ISERROR(SEARCH("FAT",G115)))</formula>
    </cfRule>
    <cfRule type="containsText" dxfId="2818" priority="3453" operator="containsText" text="FIRE">
      <formula>NOT(ISERROR(SEARCH("FIRE",G115)))</formula>
    </cfRule>
    <cfRule type="containsText" dxfId="2817" priority="3454" operator="containsText" text="COSH">
      <formula>NOT(ISERROR(SEARCH("COSH",G115)))</formula>
    </cfRule>
  </conditionalFormatting>
  <conditionalFormatting sqref="J115">
    <cfRule type="containsText" dxfId="2816" priority="3449" operator="containsText" text="FAT">
      <formula>NOT(ISERROR(SEARCH("FAT",J115)))</formula>
    </cfRule>
    <cfRule type="containsText" dxfId="2815" priority="3450" operator="containsText" text="FIRE">
      <formula>NOT(ISERROR(SEARCH("FIRE",J115)))</formula>
    </cfRule>
    <cfRule type="containsText" dxfId="2814" priority="3451" operator="containsText" text="COSH">
      <formula>NOT(ISERROR(SEARCH("COSH",J115)))</formula>
    </cfRule>
  </conditionalFormatting>
  <conditionalFormatting sqref="N115">
    <cfRule type="containsText" dxfId="2813" priority="3446" operator="containsText" text="FAT">
      <formula>NOT(ISERROR(SEARCH("FAT",N115)))</formula>
    </cfRule>
    <cfRule type="containsText" dxfId="2812" priority="3447" operator="containsText" text="FIRE">
      <formula>NOT(ISERROR(SEARCH("FIRE",N115)))</formula>
    </cfRule>
    <cfRule type="containsText" dxfId="2811" priority="3448" operator="containsText" text="COSH">
      <formula>NOT(ISERROR(SEARCH("COSH",N115)))</formula>
    </cfRule>
  </conditionalFormatting>
  <conditionalFormatting sqref="P115:S115 U115">
    <cfRule type="cellIs" dxfId="2810" priority="3442" operator="equal">
      <formula>"EL"</formula>
    </cfRule>
    <cfRule type="cellIs" dxfId="2809" priority="3443" operator="equal">
      <formula>"SL"</formula>
    </cfRule>
  </conditionalFormatting>
  <conditionalFormatting sqref="P115:S115 U115">
    <cfRule type="containsText" dxfId="2808" priority="3434" operator="containsText" text="EL">
      <formula>NOT(ISERROR(SEARCH("EL",P115)))</formula>
    </cfRule>
    <cfRule type="containsText" dxfId="2807" priority="3435" operator="containsText" text="Q">
      <formula>NOT(ISERROR(SEARCH("Q",P115)))</formula>
    </cfRule>
  </conditionalFormatting>
  <conditionalFormatting sqref="P115:S115 U115">
    <cfRule type="containsText" dxfId="2806" priority="3433" operator="containsText" text="1ET">
      <formula>NOT(ISERROR(SEARCH("1ET",P115)))</formula>
    </cfRule>
  </conditionalFormatting>
  <conditionalFormatting sqref="P115:S115 U115">
    <cfRule type="containsText" dxfId="2805" priority="3431" operator="containsText" text="3ET">
      <formula>NOT(ISERROR(SEARCH("3ET",P115)))</formula>
    </cfRule>
    <cfRule type="containsText" dxfId="2804" priority="3432" operator="containsText" text="1OT">
      <formula>NOT(ISERROR(SEARCH("1OT",P115)))</formula>
    </cfRule>
  </conditionalFormatting>
  <conditionalFormatting sqref="J114">
    <cfRule type="containsText" dxfId="2803" priority="3421" operator="containsText" text="EL">
      <formula>NOT(ISERROR(SEARCH("EL",J114)))</formula>
    </cfRule>
    <cfRule type="containsText" dxfId="2802" priority="3422" operator="containsText" text="Q">
      <formula>NOT(ISERROR(SEARCH("Q",J114)))</formula>
    </cfRule>
  </conditionalFormatting>
  <conditionalFormatting sqref="J114">
    <cfRule type="containsText" dxfId="2801" priority="3420" operator="containsText" text="1ET">
      <formula>NOT(ISERROR(SEARCH("1ET",J114)))</formula>
    </cfRule>
  </conditionalFormatting>
  <conditionalFormatting sqref="J114">
    <cfRule type="containsText" dxfId="2800" priority="3418" operator="containsText" text="3ET">
      <formula>NOT(ISERROR(SEARCH("3ET",J114)))</formula>
    </cfRule>
    <cfRule type="containsText" dxfId="2799" priority="3419" operator="containsText" text="1OT">
      <formula>NOT(ISERROR(SEARCH("1OT",J114)))</formula>
    </cfRule>
  </conditionalFormatting>
  <conditionalFormatting sqref="K114 M114:N114">
    <cfRule type="containsText" dxfId="2798" priority="3408" operator="containsText" text="EL">
      <formula>NOT(ISERROR(SEARCH("EL",K114)))</formula>
    </cfRule>
    <cfRule type="containsText" dxfId="2797" priority="3409" operator="containsText" text="Q">
      <formula>NOT(ISERROR(SEARCH("Q",K114)))</formula>
    </cfRule>
  </conditionalFormatting>
  <conditionalFormatting sqref="K114 M114:N114">
    <cfRule type="containsText" dxfId="2796" priority="3407" operator="containsText" text="1ET">
      <formula>NOT(ISERROR(SEARCH("1ET",K114)))</formula>
    </cfRule>
  </conditionalFormatting>
  <conditionalFormatting sqref="K114 M114:N114">
    <cfRule type="containsText" dxfId="2795" priority="3405" operator="containsText" text="3ET">
      <formula>NOT(ISERROR(SEARCH("3ET",K114)))</formula>
    </cfRule>
    <cfRule type="containsText" dxfId="2794" priority="3406" operator="containsText" text="1OT">
      <formula>NOT(ISERROR(SEARCH("1OT",K114)))</formula>
    </cfRule>
  </conditionalFormatting>
  <conditionalFormatting sqref="O114">
    <cfRule type="containsText" dxfId="2793" priority="3402" operator="containsText" text="FAT">
      <formula>NOT(ISERROR(SEARCH("FAT",O114)))</formula>
    </cfRule>
    <cfRule type="containsText" dxfId="2792" priority="3403" operator="containsText" text="FIRE">
      <formula>NOT(ISERROR(SEARCH("FIRE",O114)))</formula>
    </cfRule>
    <cfRule type="containsText" dxfId="2791" priority="3404" operator="containsText" text="COSH">
      <formula>NOT(ISERROR(SEARCH("COSH",O114)))</formula>
    </cfRule>
  </conditionalFormatting>
  <conditionalFormatting sqref="O114">
    <cfRule type="containsText" dxfId="2790" priority="3399" operator="containsText" text="FAT">
      <formula>NOT(ISERROR(SEARCH("FAT",O114)))</formula>
    </cfRule>
    <cfRule type="containsText" dxfId="2789" priority="3400" operator="containsText" text="FIRE">
      <formula>NOT(ISERROR(SEARCH("FIRE",O114)))</formula>
    </cfRule>
    <cfRule type="containsText" dxfId="2788" priority="3401" operator="containsText" text="COSH">
      <formula>NOT(ISERROR(SEARCH("COSH",O114)))</formula>
    </cfRule>
  </conditionalFormatting>
  <conditionalFormatting sqref="O114">
    <cfRule type="cellIs" dxfId="2787" priority="3396" operator="between">
      <formula>1</formula>
      <formula>3</formula>
    </cfRule>
  </conditionalFormatting>
  <conditionalFormatting sqref="O114">
    <cfRule type="containsText" dxfId="2786" priority="3392" operator="containsText" text="FAT">
      <formula>NOT(ISERROR(SEARCH("FAT",O114)))</formula>
    </cfRule>
    <cfRule type="containsText" dxfId="2785" priority="3393" operator="containsText" text="FIRE">
      <formula>NOT(ISERROR(SEARCH("FIRE",O114)))</formula>
    </cfRule>
    <cfRule type="containsText" dxfId="2784" priority="3394" operator="containsText" text="COSH">
      <formula>NOT(ISERROR(SEARCH("COSH",O114)))</formula>
    </cfRule>
  </conditionalFormatting>
  <conditionalFormatting sqref="P114:S114">
    <cfRule type="containsText" dxfId="2783" priority="3389" operator="containsText" text="FAT">
      <formula>NOT(ISERROR(SEARCH("FAT",P114)))</formula>
    </cfRule>
    <cfRule type="containsText" dxfId="2782" priority="3390" operator="containsText" text="FIRE">
      <formula>NOT(ISERROR(SEARCH("FIRE",P114)))</formula>
    </cfRule>
    <cfRule type="containsText" dxfId="2781" priority="3391" operator="containsText" text="COSH">
      <formula>NOT(ISERROR(SEARCH("COSH",P114)))</formula>
    </cfRule>
  </conditionalFormatting>
  <conditionalFormatting sqref="P114">
    <cfRule type="containsText" dxfId="2780" priority="3386" operator="containsText" text="FAT">
      <formula>NOT(ISERROR(SEARCH("FAT",P114)))</formula>
    </cfRule>
    <cfRule type="containsText" dxfId="2779" priority="3387" operator="containsText" text="FIRE">
      <formula>NOT(ISERROR(SEARCH("FIRE",P114)))</formula>
    </cfRule>
    <cfRule type="containsText" dxfId="2778" priority="3388" operator="containsText" text="COSH">
      <formula>NOT(ISERROR(SEARCH("COSH",P114)))</formula>
    </cfRule>
  </conditionalFormatting>
  <conditionalFormatting sqref="Q114">
    <cfRule type="containsText" dxfId="2777" priority="3383" operator="containsText" text="FAT">
      <formula>NOT(ISERROR(SEARCH("FAT",Q114)))</formula>
    </cfRule>
    <cfRule type="containsText" dxfId="2776" priority="3384" operator="containsText" text="FIRE">
      <formula>NOT(ISERROR(SEARCH("FIRE",Q114)))</formula>
    </cfRule>
    <cfRule type="containsText" dxfId="2775" priority="3385" operator="containsText" text="COSH">
      <formula>NOT(ISERROR(SEARCH("COSH",Q114)))</formula>
    </cfRule>
  </conditionalFormatting>
  <conditionalFormatting sqref="P114:S114">
    <cfRule type="cellIs" dxfId="2774" priority="3380" operator="between">
      <formula>1</formula>
      <formula>3</formula>
    </cfRule>
  </conditionalFormatting>
  <conditionalFormatting sqref="R114">
    <cfRule type="containsText" dxfId="2773" priority="3376" operator="containsText" text="FAT">
      <formula>NOT(ISERROR(SEARCH("FAT",R114)))</formula>
    </cfRule>
    <cfRule type="containsText" dxfId="2772" priority="3377" operator="containsText" text="FIRE">
      <formula>NOT(ISERROR(SEARCH("FIRE",R114)))</formula>
    </cfRule>
    <cfRule type="containsText" dxfId="2771" priority="3378" operator="containsText" text="COSH">
      <formula>NOT(ISERROR(SEARCH("COSH",R114)))</formula>
    </cfRule>
  </conditionalFormatting>
  <conditionalFormatting sqref="P114">
    <cfRule type="containsText" dxfId="2770" priority="3373" operator="containsText" text="FAT">
      <formula>NOT(ISERROR(SEARCH("FAT",P114)))</formula>
    </cfRule>
    <cfRule type="containsText" dxfId="2769" priority="3374" operator="containsText" text="FIRE">
      <formula>NOT(ISERROR(SEARCH("FIRE",P114)))</formula>
    </cfRule>
    <cfRule type="containsText" dxfId="2768" priority="3375" operator="containsText" text="COSH">
      <formula>NOT(ISERROR(SEARCH("COSH",P114)))</formula>
    </cfRule>
  </conditionalFormatting>
  <conditionalFormatting sqref="X109:Z109">
    <cfRule type="cellIs" dxfId="2767" priority="3369" operator="equal">
      <formula>"EL"</formula>
    </cfRule>
    <cfRule type="cellIs" dxfId="2766" priority="3370" operator="equal">
      <formula>"SL"</formula>
    </cfRule>
  </conditionalFormatting>
  <conditionalFormatting sqref="X109:Z109">
    <cfRule type="containsText" dxfId="2765" priority="3361" operator="containsText" text="EL">
      <formula>NOT(ISERROR(SEARCH("EL",X109)))</formula>
    </cfRule>
    <cfRule type="containsText" dxfId="2764" priority="3362" operator="containsText" text="Q">
      <formula>NOT(ISERROR(SEARCH("Q",X109)))</formula>
    </cfRule>
  </conditionalFormatting>
  <conditionalFormatting sqref="X109:Z109">
    <cfRule type="containsText" dxfId="2763" priority="3360" operator="containsText" text="1ET">
      <formula>NOT(ISERROR(SEARCH("1ET",X109)))</formula>
    </cfRule>
  </conditionalFormatting>
  <conditionalFormatting sqref="X109:Z109">
    <cfRule type="containsText" dxfId="2762" priority="3358" operator="containsText" text="3ET">
      <formula>NOT(ISERROR(SEARCH("3ET",X109)))</formula>
    </cfRule>
    <cfRule type="containsText" dxfId="2761" priority="3359" operator="containsText" text="1OT">
      <formula>NOT(ISERROR(SEARCH("1OT",X109)))</formula>
    </cfRule>
  </conditionalFormatting>
  <conditionalFormatting sqref="G39:I39 K39">
    <cfRule type="containsText" dxfId="2760" priority="3348" operator="containsText" text="EL">
      <formula>NOT(ISERROR(SEARCH("EL",G39)))</formula>
    </cfRule>
    <cfRule type="containsText" dxfId="2759" priority="3349" operator="containsText" text="Q">
      <formula>NOT(ISERROR(SEARCH("Q",G39)))</formula>
    </cfRule>
  </conditionalFormatting>
  <conditionalFormatting sqref="G39:I39 K39">
    <cfRule type="containsText" dxfId="2758" priority="3347" operator="containsText" text="1ET">
      <formula>NOT(ISERROR(SEARCH("1ET",G39)))</formula>
    </cfRule>
  </conditionalFormatting>
  <conditionalFormatting sqref="G39:I39 K39">
    <cfRule type="containsText" dxfId="2757" priority="3345" operator="containsText" text="3ET">
      <formula>NOT(ISERROR(SEARCH("3ET",G39)))</formula>
    </cfRule>
    <cfRule type="containsText" dxfId="2756" priority="3346" operator="containsText" text="1OT">
      <formula>NOT(ISERROR(SEARCH("1OT",G39)))</formula>
    </cfRule>
  </conditionalFormatting>
  <conditionalFormatting sqref="AA39:AC39 M39:P39 T39:Y39 R39">
    <cfRule type="containsText" dxfId="2755" priority="3335" operator="containsText" text="EL">
      <formula>NOT(ISERROR(SEARCH("EL",M39)))</formula>
    </cfRule>
    <cfRule type="containsText" dxfId="2754" priority="3336" operator="containsText" text="Q">
      <formula>NOT(ISERROR(SEARCH("Q",M39)))</formula>
    </cfRule>
  </conditionalFormatting>
  <conditionalFormatting sqref="AA39:AC39 M39:P39 T39:Y39 R39">
    <cfRule type="containsText" dxfId="2753" priority="3334" operator="containsText" text="1ET">
      <formula>NOT(ISERROR(SEARCH("1ET",M39)))</formula>
    </cfRule>
  </conditionalFormatting>
  <conditionalFormatting sqref="AA39:AC39 M39:P39 T39:Y39 R39">
    <cfRule type="containsText" dxfId="2752" priority="3332" operator="containsText" text="3ET">
      <formula>NOT(ISERROR(SEARCH("3ET",M39)))</formula>
    </cfRule>
    <cfRule type="containsText" dxfId="2751" priority="3333" operator="containsText" text="1OT">
      <formula>NOT(ISERROR(SEARCH("1OT",M39)))</formula>
    </cfRule>
  </conditionalFormatting>
  <conditionalFormatting sqref="G40:I42 M40:P40 M41:M42 T40:Y40 K40:K42 R40">
    <cfRule type="cellIs" dxfId="2750" priority="3328" operator="equal">
      <formula>"EL"</formula>
    </cfRule>
    <cfRule type="cellIs" dxfId="2749" priority="3329" operator="equal">
      <formula>"SL"</formula>
    </cfRule>
  </conditionalFormatting>
  <conditionalFormatting sqref="G40:I42 M40:P40 M41:M42 T40:Y40 K40:K42 R40">
    <cfRule type="containsText" dxfId="2748" priority="3320" operator="containsText" text="EL">
      <formula>NOT(ISERROR(SEARCH("EL",G40)))</formula>
    </cfRule>
    <cfRule type="containsText" dxfId="2747" priority="3321" operator="containsText" text="Q">
      <formula>NOT(ISERROR(SEARCH("Q",G40)))</formula>
    </cfRule>
  </conditionalFormatting>
  <conditionalFormatting sqref="G40:I42 M40:P40 M41:M42 T40:Y40 K40:K42 R40">
    <cfRule type="containsText" dxfId="2746" priority="3319" operator="containsText" text="1ET">
      <formula>NOT(ISERROR(SEARCH("1ET",G40)))</formula>
    </cfRule>
  </conditionalFormatting>
  <conditionalFormatting sqref="G40:I42 M40:P40 M41:M42 T40:Y40 K40:K42 R40">
    <cfRule type="containsText" dxfId="2745" priority="3317" operator="containsText" text="3ET">
      <formula>NOT(ISERROR(SEARCH("3ET",G40)))</formula>
    </cfRule>
    <cfRule type="containsText" dxfId="2744" priority="3318" operator="containsText" text="1OT">
      <formula>NOT(ISERROR(SEARCH("1OT",G40)))</formula>
    </cfRule>
  </conditionalFormatting>
  <conditionalFormatting sqref="M41:P42 T41:Y42 R41:R42">
    <cfRule type="cellIs" dxfId="2743" priority="3313" operator="equal">
      <formula>"EL"</formula>
    </cfRule>
    <cfRule type="cellIs" dxfId="2742" priority="3314" operator="equal">
      <formula>"SL"</formula>
    </cfRule>
  </conditionalFormatting>
  <conditionalFormatting sqref="M41:P42 T41:Y42 R41:R42">
    <cfRule type="containsText" dxfId="2741" priority="3305" operator="containsText" text="EL">
      <formula>NOT(ISERROR(SEARCH("EL",M41)))</formula>
    </cfRule>
    <cfRule type="containsText" dxfId="2740" priority="3306" operator="containsText" text="Q">
      <formula>NOT(ISERROR(SEARCH("Q",M41)))</formula>
    </cfRule>
  </conditionalFormatting>
  <conditionalFormatting sqref="M41:P42 T41:Y42 R41:R42">
    <cfRule type="containsText" dxfId="2739" priority="3304" operator="containsText" text="1ET">
      <formula>NOT(ISERROR(SEARCH("1ET",M41)))</formula>
    </cfRule>
  </conditionalFormatting>
  <conditionalFormatting sqref="M41:P42 T41:Y42 R41:R42">
    <cfRule type="containsText" dxfId="2738" priority="3302" operator="containsText" text="3ET">
      <formula>NOT(ISERROR(SEARCH("3ET",M41)))</formula>
    </cfRule>
    <cfRule type="containsText" dxfId="2737" priority="3303" operator="containsText" text="1OT">
      <formula>NOT(ISERROR(SEARCH("1OT",M41)))</formula>
    </cfRule>
  </conditionalFormatting>
  <conditionalFormatting sqref="G43:I43 K43">
    <cfRule type="containsText" dxfId="2736" priority="3292" operator="containsText" text="EL">
      <formula>NOT(ISERROR(SEARCH("EL",G43)))</formula>
    </cfRule>
    <cfRule type="containsText" dxfId="2735" priority="3293" operator="containsText" text="Q">
      <formula>NOT(ISERROR(SEARCH("Q",G43)))</formula>
    </cfRule>
  </conditionalFormatting>
  <conditionalFormatting sqref="G43:I43 K43">
    <cfRule type="containsText" dxfId="2734" priority="3291" operator="containsText" text="1ET">
      <formula>NOT(ISERROR(SEARCH("1ET",G43)))</formula>
    </cfRule>
  </conditionalFormatting>
  <conditionalFormatting sqref="G43:I43 K43">
    <cfRule type="containsText" dxfId="2733" priority="3289" operator="containsText" text="3ET">
      <formula>NOT(ISERROR(SEARCH("3ET",G43)))</formula>
    </cfRule>
    <cfRule type="containsText" dxfId="2732" priority="3290" operator="containsText" text="1OT">
      <formula>NOT(ISERROR(SEARCH("1OT",G43)))</formula>
    </cfRule>
  </conditionalFormatting>
  <conditionalFormatting sqref="M44:P44 X43:Y44 T44:W44 R44">
    <cfRule type="containsText" dxfId="2731" priority="3279" operator="containsText" text="EL">
      <formula>NOT(ISERROR(SEARCH("EL",M43)))</formula>
    </cfRule>
    <cfRule type="containsText" dxfId="2730" priority="3280" operator="containsText" text="Q">
      <formula>NOT(ISERROR(SEARCH("Q",M43)))</formula>
    </cfRule>
  </conditionalFormatting>
  <conditionalFormatting sqref="M44:P44 X43:Y44 T44:W44 R44">
    <cfRule type="containsText" dxfId="2729" priority="3278" operator="containsText" text="1ET">
      <formula>NOT(ISERROR(SEARCH("1ET",M43)))</formula>
    </cfRule>
  </conditionalFormatting>
  <conditionalFormatting sqref="M44:P44 X43:Y44 T44:W44 R44">
    <cfRule type="containsText" dxfId="2728" priority="3276" operator="containsText" text="3ET">
      <formula>NOT(ISERROR(SEARCH("3ET",M43)))</formula>
    </cfRule>
    <cfRule type="containsText" dxfId="2727" priority="3277" operator="containsText" text="1OT">
      <formula>NOT(ISERROR(SEARCH("1OT",M43)))</formula>
    </cfRule>
  </conditionalFormatting>
  <conditionalFormatting sqref="M44:P44 T44:Y44 R44">
    <cfRule type="containsText" dxfId="2726" priority="3266" operator="containsText" text="EL">
      <formula>NOT(ISERROR(SEARCH("EL",M44)))</formula>
    </cfRule>
    <cfRule type="containsText" dxfId="2725" priority="3267" operator="containsText" text="Q">
      <formula>NOT(ISERROR(SEARCH("Q",M44)))</formula>
    </cfRule>
  </conditionalFormatting>
  <conditionalFormatting sqref="M44:P44 T44:Y44 R44">
    <cfRule type="containsText" dxfId="2724" priority="3265" operator="containsText" text="1ET">
      <formula>NOT(ISERROR(SEARCH("1ET",M44)))</formula>
    </cfRule>
  </conditionalFormatting>
  <conditionalFormatting sqref="M43:P43 R43">
    <cfRule type="containsText" dxfId="2723" priority="3255" operator="containsText" text="EL">
      <formula>NOT(ISERROR(SEARCH("EL",M43)))</formula>
    </cfRule>
    <cfRule type="containsText" dxfId="2722" priority="3256" operator="containsText" text="Q">
      <formula>NOT(ISERROR(SEARCH("Q",M43)))</formula>
    </cfRule>
  </conditionalFormatting>
  <conditionalFormatting sqref="M43:P43 R43">
    <cfRule type="containsText" dxfId="2721" priority="3254" operator="containsText" text="1ET">
      <formula>NOT(ISERROR(SEARCH("1ET",M43)))</formula>
    </cfRule>
  </conditionalFormatting>
  <conditionalFormatting sqref="M43:P43 R43">
    <cfRule type="containsText" dxfId="2720" priority="3252" operator="containsText" text="3ET">
      <formula>NOT(ISERROR(SEARCH("3ET",M43)))</formula>
    </cfRule>
    <cfRule type="containsText" dxfId="2719" priority="3253" operator="containsText" text="1OT">
      <formula>NOT(ISERROR(SEARCH("1OT",M43)))</formula>
    </cfRule>
  </conditionalFormatting>
  <conditionalFormatting sqref="T43:W43">
    <cfRule type="containsText" dxfId="2718" priority="3242" operator="containsText" text="EL">
      <formula>NOT(ISERROR(SEARCH("EL",T43)))</formula>
    </cfRule>
    <cfRule type="containsText" dxfId="2717" priority="3243" operator="containsText" text="Q">
      <formula>NOT(ISERROR(SEARCH("Q",T43)))</formula>
    </cfRule>
  </conditionalFormatting>
  <conditionalFormatting sqref="T43:W43">
    <cfRule type="containsText" dxfId="2716" priority="3241" operator="containsText" text="1ET">
      <formula>NOT(ISERROR(SEARCH("1ET",T43)))</formula>
    </cfRule>
  </conditionalFormatting>
  <conditionalFormatting sqref="T43:W43">
    <cfRule type="containsText" dxfId="2715" priority="3239" operator="containsText" text="3ET">
      <formula>NOT(ISERROR(SEARCH("3ET",T43)))</formula>
    </cfRule>
    <cfRule type="containsText" dxfId="2714" priority="3240" operator="containsText" text="1OT">
      <formula>NOT(ISERROR(SEARCH("1OT",T43)))</formula>
    </cfRule>
  </conditionalFormatting>
  <conditionalFormatting sqref="M45:P46 T45:Y46 R45:R46">
    <cfRule type="containsText" dxfId="2713" priority="3229" operator="containsText" text="EL">
      <formula>NOT(ISERROR(SEARCH("EL",M45)))</formula>
    </cfRule>
    <cfRule type="containsText" dxfId="2712" priority="3230" operator="containsText" text="Q">
      <formula>NOT(ISERROR(SEARCH("Q",M45)))</formula>
    </cfRule>
  </conditionalFormatting>
  <conditionalFormatting sqref="M45:P46 T45:Y46 R45:R46">
    <cfRule type="containsText" dxfId="2711" priority="3228" operator="containsText" text="1ET">
      <formula>NOT(ISERROR(SEARCH("1ET",M45)))</formula>
    </cfRule>
  </conditionalFormatting>
  <conditionalFormatting sqref="M45:P46 T45:Y46 R45:R46">
    <cfRule type="containsText" dxfId="2710" priority="3226" operator="containsText" text="3ET">
      <formula>NOT(ISERROR(SEARCH("3ET",M45)))</formula>
    </cfRule>
    <cfRule type="containsText" dxfId="2709" priority="3227" operator="containsText" text="1OT">
      <formula>NOT(ISERROR(SEARCH("1OT",M45)))</formula>
    </cfRule>
  </conditionalFormatting>
  <conditionalFormatting sqref="K47:K48 N47:P47 T47:Y50 R47">
    <cfRule type="containsText" dxfId="2708" priority="3216" operator="containsText" text="EL">
      <formula>NOT(ISERROR(SEARCH("EL",K47)))</formula>
    </cfRule>
    <cfRule type="containsText" dxfId="2707" priority="3217" operator="containsText" text="Q">
      <formula>NOT(ISERROR(SEARCH("Q",K47)))</formula>
    </cfRule>
  </conditionalFormatting>
  <conditionalFormatting sqref="K47:K48 N47:P47 T47:Y50 R47">
    <cfRule type="containsText" dxfId="2706" priority="3215" operator="containsText" text="1ET">
      <formula>NOT(ISERROR(SEARCH("1ET",K47)))</formula>
    </cfRule>
  </conditionalFormatting>
  <conditionalFormatting sqref="K47:K48 N47:P47 T47:Y50 R47">
    <cfRule type="containsText" dxfId="2705" priority="3213" operator="containsText" text="3ET">
      <formula>NOT(ISERROR(SEARCH("3ET",K47)))</formula>
    </cfRule>
    <cfRule type="containsText" dxfId="2704" priority="3214" operator="containsText" text="1OT">
      <formula>NOT(ISERROR(SEARCH("1OT",K47)))</formula>
    </cfRule>
  </conditionalFormatting>
  <conditionalFormatting sqref="I51">
    <cfRule type="containsText" dxfId="2703" priority="3203" operator="containsText" text="EL">
      <formula>NOT(ISERROR(SEARCH("EL",I51)))</formula>
    </cfRule>
    <cfRule type="containsText" dxfId="2702" priority="3204" operator="containsText" text="Q">
      <formula>NOT(ISERROR(SEARCH("Q",I51)))</formula>
    </cfRule>
  </conditionalFormatting>
  <conditionalFormatting sqref="I51">
    <cfRule type="containsText" dxfId="2701" priority="3202" operator="containsText" text="1ET">
      <formula>NOT(ISERROR(SEARCH("1ET",I51)))</formula>
    </cfRule>
  </conditionalFormatting>
  <conditionalFormatting sqref="I51">
    <cfRule type="containsText" dxfId="2700" priority="3200" operator="containsText" text="3ET">
      <formula>NOT(ISERROR(SEARCH("3ET",I51)))</formula>
    </cfRule>
    <cfRule type="containsText" dxfId="2699" priority="3201" operator="containsText" text="1OT">
      <formula>NOT(ISERROR(SEARCH("1OT",I51)))</formula>
    </cfRule>
  </conditionalFormatting>
  <conditionalFormatting sqref="R48">
    <cfRule type="containsText" dxfId="2698" priority="3190" operator="containsText" text="EL">
      <formula>NOT(ISERROR(SEARCH("EL",R48)))</formula>
    </cfRule>
    <cfRule type="containsText" dxfId="2697" priority="3191" operator="containsText" text="Q">
      <formula>NOT(ISERROR(SEARCH("Q",R48)))</formula>
    </cfRule>
  </conditionalFormatting>
  <conditionalFormatting sqref="R48">
    <cfRule type="containsText" dxfId="2696" priority="3189" operator="containsText" text="1ET">
      <formula>NOT(ISERROR(SEARCH("1ET",R48)))</formula>
    </cfRule>
  </conditionalFormatting>
  <conditionalFormatting sqref="R48">
    <cfRule type="containsText" dxfId="2695" priority="3187" operator="containsText" text="3ET">
      <formula>NOT(ISERROR(SEARCH("3ET",R48)))</formula>
    </cfRule>
    <cfRule type="containsText" dxfId="2694" priority="3188" operator="containsText" text="1OT">
      <formula>NOT(ISERROR(SEARCH("1OT",R48)))</formula>
    </cfRule>
  </conditionalFormatting>
  <conditionalFormatting sqref="W51:Y51">
    <cfRule type="containsText" dxfId="2693" priority="3177" operator="containsText" text="EL">
      <formula>NOT(ISERROR(SEARCH("EL",W51)))</formula>
    </cfRule>
    <cfRule type="containsText" dxfId="2692" priority="3178" operator="containsText" text="Q">
      <formula>NOT(ISERROR(SEARCH("Q",W51)))</formula>
    </cfRule>
  </conditionalFormatting>
  <conditionalFormatting sqref="W51:Y51">
    <cfRule type="containsText" dxfId="2691" priority="3176" operator="containsText" text="1ET">
      <formula>NOT(ISERROR(SEARCH("1ET",W51)))</formula>
    </cfRule>
  </conditionalFormatting>
  <conditionalFormatting sqref="R49">
    <cfRule type="containsText" dxfId="2690" priority="3166" operator="containsText" text="EL">
      <formula>NOT(ISERROR(SEARCH("EL",R49)))</formula>
    </cfRule>
    <cfRule type="containsText" dxfId="2689" priority="3167" operator="containsText" text="Q">
      <formula>NOT(ISERROR(SEARCH("Q",R49)))</formula>
    </cfRule>
  </conditionalFormatting>
  <conditionalFormatting sqref="R49">
    <cfRule type="containsText" dxfId="2688" priority="3165" operator="containsText" text="1ET">
      <formula>NOT(ISERROR(SEARCH("1ET",R49)))</formula>
    </cfRule>
  </conditionalFormatting>
  <conditionalFormatting sqref="R49 W51:Y51">
    <cfRule type="containsText" dxfId="2687" priority="3163" operator="containsText" text="3ET">
      <formula>NOT(ISERROR(SEARCH("3ET",R49)))</formula>
    </cfRule>
    <cfRule type="containsText" dxfId="2686" priority="3164" operator="containsText" text="1OT">
      <formula>NOT(ISERROR(SEARCH("1OT",R49)))</formula>
    </cfRule>
  </conditionalFormatting>
  <conditionalFormatting sqref="P50 R50">
    <cfRule type="containsText" dxfId="2685" priority="3153" operator="containsText" text="EL">
      <formula>NOT(ISERROR(SEARCH("EL",P50)))</formula>
    </cfRule>
    <cfRule type="containsText" dxfId="2684" priority="3154" operator="containsText" text="Q">
      <formula>NOT(ISERROR(SEARCH("Q",P50)))</formula>
    </cfRule>
  </conditionalFormatting>
  <conditionalFormatting sqref="P50 R50">
    <cfRule type="containsText" dxfId="2683" priority="3152" operator="containsText" text="1ET">
      <formula>NOT(ISERROR(SEARCH("1ET",P50)))</formula>
    </cfRule>
  </conditionalFormatting>
  <conditionalFormatting sqref="P50 R50">
    <cfRule type="containsText" dxfId="2682" priority="3150" operator="containsText" text="3ET">
      <formula>NOT(ISERROR(SEARCH("3ET",P50)))</formula>
    </cfRule>
    <cfRule type="containsText" dxfId="2681" priority="3151" operator="containsText" text="1OT">
      <formula>NOT(ISERROR(SEARCH("1OT",P50)))</formula>
    </cfRule>
  </conditionalFormatting>
  <conditionalFormatting sqref="K51">
    <cfRule type="containsText" dxfId="2680" priority="3140" operator="containsText" text="EL">
      <formula>NOT(ISERROR(SEARCH("EL",K51)))</formula>
    </cfRule>
    <cfRule type="containsText" dxfId="2679" priority="3141" operator="containsText" text="Q">
      <formula>NOT(ISERROR(SEARCH("Q",K51)))</formula>
    </cfRule>
  </conditionalFormatting>
  <conditionalFormatting sqref="K51">
    <cfRule type="containsText" dxfId="2678" priority="3139" operator="containsText" text="1ET">
      <formula>NOT(ISERROR(SEARCH("1ET",K51)))</formula>
    </cfRule>
  </conditionalFormatting>
  <conditionalFormatting sqref="K51">
    <cfRule type="containsText" dxfId="2677" priority="3137" operator="containsText" text="3ET">
      <formula>NOT(ISERROR(SEARCH("3ET",K51)))</formula>
    </cfRule>
    <cfRule type="containsText" dxfId="2676" priority="3138" operator="containsText" text="1OT">
      <formula>NOT(ISERROR(SEARCH("1OT",K51)))</formula>
    </cfRule>
  </conditionalFormatting>
  <conditionalFormatting sqref="M51:P51 R51">
    <cfRule type="containsText" dxfId="2675" priority="3127" operator="containsText" text="EL">
      <formula>NOT(ISERROR(SEARCH("EL",M51)))</formula>
    </cfRule>
    <cfRule type="containsText" dxfId="2674" priority="3128" operator="containsText" text="Q">
      <formula>NOT(ISERROR(SEARCH("Q",M51)))</formula>
    </cfRule>
  </conditionalFormatting>
  <conditionalFormatting sqref="M51:P51 R51">
    <cfRule type="containsText" dxfId="2673" priority="3126" operator="containsText" text="1ET">
      <formula>NOT(ISERROR(SEARCH("1ET",M51)))</formula>
    </cfRule>
  </conditionalFormatting>
  <conditionalFormatting sqref="M51:P51 R51">
    <cfRule type="containsText" dxfId="2672" priority="3124" operator="containsText" text="3ET">
      <formula>NOT(ISERROR(SEARCH("3ET",M51)))</formula>
    </cfRule>
    <cfRule type="containsText" dxfId="2671" priority="3125" operator="containsText" text="1OT">
      <formula>NOT(ISERROR(SEARCH("1OT",M51)))</formula>
    </cfRule>
  </conditionalFormatting>
  <conditionalFormatting sqref="T51:V51">
    <cfRule type="containsText" dxfId="2670" priority="3114" operator="containsText" text="EL">
      <formula>NOT(ISERROR(SEARCH("EL",T51)))</formula>
    </cfRule>
    <cfRule type="containsText" dxfId="2669" priority="3115" operator="containsText" text="Q">
      <formula>NOT(ISERROR(SEARCH("Q",T51)))</formula>
    </cfRule>
  </conditionalFormatting>
  <conditionalFormatting sqref="T51:V51">
    <cfRule type="containsText" dxfId="2668" priority="3113" operator="containsText" text="1ET">
      <formula>NOT(ISERROR(SEARCH("1ET",T51)))</formula>
    </cfRule>
  </conditionalFormatting>
  <conditionalFormatting sqref="T51:V51">
    <cfRule type="containsText" dxfId="2667" priority="3111" operator="containsText" text="3ET">
      <formula>NOT(ISERROR(SEARCH("3ET",T51)))</formula>
    </cfRule>
    <cfRule type="containsText" dxfId="2666" priority="3112" operator="containsText" text="1OT">
      <formula>NOT(ISERROR(SEARCH("1OT",T51)))</formula>
    </cfRule>
  </conditionalFormatting>
  <conditionalFormatting sqref="K49:K50">
    <cfRule type="containsText" dxfId="2665" priority="3101" operator="containsText" text="EL">
      <formula>NOT(ISERROR(SEARCH("EL",K49)))</formula>
    </cfRule>
    <cfRule type="containsText" dxfId="2664" priority="3102" operator="containsText" text="Q">
      <formula>NOT(ISERROR(SEARCH("Q",K49)))</formula>
    </cfRule>
  </conditionalFormatting>
  <conditionalFormatting sqref="K49:K50">
    <cfRule type="containsText" dxfId="2663" priority="3100" operator="containsText" text="1ET">
      <formula>NOT(ISERROR(SEARCH("1ET",K49)))</formula>
    </cfRule>
  </conditionalFormatting>
  <conditionalFormatting sqref="K49:K50">
    <cfRule type="containsText" dxfId="2662" priority="3098" operator="containsText" text="3ET">
      <formula>NOT(ISERROR(SEARCH("3ET",K49)))</formula>
    </cfRule>
    <cfRule type="containsText" dxfId="2661" priority="3099" operator="containsText" text="1OT">
      <formula>NOT(ISERROR(SEARCH("1OT",K49)))</formula>
    </cfRule>
  </conditionalFormatting>
  <conditionalFormatting sqref="I47:I48">
    <cfRule type="containsText" dxfId="2660" priority="3088" operator="containsText" text="EL">
      <formula>NOT(ISERROR(SEARCH("EL",I47)))</formula>
    </cfRule>
    <cfRule type="containsText" dxfId="2659" priority="3089" operator="containsText" text="Q">
      <formula>NOT(ISERROR(SEARCH("Q",I47)))</formula>
    </cfRule>
  </conditionalFormatting>
  <conditionalFormatting sqref="I47:I48">
    <cfRule type="containsText" dxfId="2658" priority="3087" operator="containsText" text="1ET">
      <formula>NOT(ISERROR(SEARCH("1ET",I47)))</formula>
    </cfRule>
  </conditionalFormatting>
  <conditionalFormatting sqref="I47:I48">
    <cfRule type="containsText" dxfId="2657" priority="3085" operator="containsText" text="3ET">
      <formula>NOT(ISERROR(SEARCH("3ET",I47)))</formula>
    </cfRule>
    <cfRule type="containsText" dxfId="2656" priority="3086" operator="containsText" text="1OT">
      <formula>NOT(ISERROR(SEARCH("1OT",I47)))</formula>
    </cfRule>
  </conditionalFormatting>
  <conditionalFormatting sqref="I49:I50">
    <cfRule type="containsText" dxfId="2655" priority="3075" operator="containsText" text="EL">
      <formula>NOT(ISERROR(SEARCH("EL",I49)))</formula>
    </cfRule>
    <cfRule type="containsText" dxfId="2654" priority="3076" operator="containsText" text="Q">
      <formula>NOT(ISERROR(SEARCH("Q",I49)))</formula>
    </cfRule>
  </conditionalFormatting>
  <conditionalFormatting sqref="I49:I50">
    <cfRule type="containsText" dxfId="2653" priority="3074" operator="containsText" text="1ET">
      <formula>NOT(ISERROR(SEARCH("1ET",I49)))</formula>
    </cfRule>
  </conditionalFormatting>
  <conditionalFormatting sqref="I49:I50">
    <cfRule type="containsText" dxfId="2652" priority="3072" operator="containsText" text="3ET">
      <formula>NOT(ISERROR(SEARCH("3ET",I49)))</formula>
    </cfRule>
    <cfRule type="containsText" dxfId="2651" priority="3073" operator="containsText" text="1OT">
      <formula>NOT(ISERROR(SEARCH("1OT",I49)))</formula>
    </cfRule>
  </conditionalFormatting>
  <conditionalFormatting sqref="M47 M48:O48">
    <cfRule type="containsText" dxfId="2650" priority="3062" operator="containsText" text="EL">
      <formula>NOT(ISERROR(SEARCH("EL",M47)))</formula>
    </cfRule>
    <cfRule type="containsText" dxfId="2649" priority="3063" operator="containsText" text="Q">
      <formula>NOT(ISERROR(SEARCH("Q",M47)))</formula>
    </cfRule>
  </conditionalFormatting>
  <conditionalFormatting sqref="M47 M48:O48">
    <cfRule type="containsText" dxfId="2648" priority="3061" operator="containsText" text="1ET">
      <formula>NOT(ISERROR(SEARCH("1ET",M47)))</formula>
    </cfRule>
  </conditionalFormatting>
  <conditionalFormatting sqref="M47 M48:O48">
    <cfRule type="containsText" dxfId="2647" priority="3059" operator="containsText" text="3ET">
      <formula>NOT(ISERROR(SEARCH("3ET",M47)))</formula>
    </cfRule>
    <cfRule type="containsText" dxfId="2646" priority="3060" operator="containsText" text="1OT">
      <formula>NOT(ISERROR(SEARCH("1OT",M47)))</formula>
    </cfRule>
  </conditionalFormatting>
  <conditionalFormatting sqref="M49:O50">
    <cfRule type="containsText" dxfId="2645" priority="3049" operator="containsText" text="EL">
      <formula>NOT(ISERROR(SEARCH("EL",M49)))</formula>
    </cfRule>
    <cfRule type="containsText" dxfId="2644" priority="3050" operator="containsText" text="Q">
      <formula>NOT(ISERROR(SEARCH("Q",M49)))</formula>
    </cfRule>
  </conditionalFormatting>
  <conditionalFormatting sqref="M49:O50">
    <cfRule type="containsText" dxfId="2643" priority="3048" operator="containsText" text="1ET">
      <formula>NOT(ISERROR(SEARCH("1ET",M49)))</formula>
    </cfRule>
  </conditionalFormatting>
  <conditionalFormatting sqref="M49:O50">
    <cfRule type="containsText" dxfId="2642" priority="3046" operator="containsText" text="3ET">
      <formula>NOT(ISERROR(SEARCH("3ET",M49)))</formula>
    </cfRule>
    <cfRule type="containsText" dxfId="2641" priority="3047" operator="containsText" text="1OT">
      <formula>NOT(ISERROR(SEARCH("1OT",M49)))</formula>
    </cfRule>
  </conditionalFormatting>
  <conditionalFormatting sqref="P48">
    <cfRule type="containsText" dxfId="2640" priority="3036" operator="containsText" text="EL">
      <formula>NOT(ISERROR(SEARCH("EL",P48)))</formula>
    </cfRule>
    <cfRule type="containsText" dxfId="2639" priority="3037" operator="containsText" text="Q">
      <formula>NOT(ISERROR(SEARCH("Q",P48)))</formula>
    </cfRule>
  </conditionalFormatting>
  <conditionalFormatting sqref="P48">
    <cfRule type="containsText" dxfId="2638" priority="3035" operator="containsText" text="1ET">
      <formula>NOT(ISERROR(SEARCH("1ET",P48)))</formula>
    </cfRule>
  </conditionalFormatting>
  <conditionalFormatting sqref="P48">
    <cfRule type="containsText" dxfId="2637" priority="3033" operator="containsText" text="3ET">
      <formula>NOT(ISERROR(SEARCH("3ET",P48)))</formula>
    </cfRule>
    <cfRule type="containsText" dxfId="2636" priority="3034" operator="containsText" text="1OT">
      <formula>NOT(ISERROR(SEARCH("1OT",P48)))</formula>
    </cfRule>
  </conditionalFormatting>
  <conditionalFormatting sqref="P49">
    <cfRule type="containsText" dxfId="2635" priority="3023" operator="containsText" text="EL">
      <formula>NOT(ISERROR(SEARCH("EL",P49)))</formula>
    </cfRule>
    <cfRule type="containsText" dxfId="2634" priority="3024" operator="containsText" text="Q">
      <formula>NOT(ISERROR(SEARCH("Q",P49)))</formula>
    </cfRule>
  </conditionalFormatting>
  <conditionalFormatting sqref="P49">
    <cfRule type="containsText" dxfId="2633" priority="3022" operator="containsText" text="1ET">
      <formula>NOT(ISERROR(SEARCH("1ET",P49)))</formula>
    </cfRule>
  </conditionalFormatting>
  <conditionalFormatting sqref="P49">
    <cfRule type="containsText" dxfId="2632" priority="3020" operator="containsText" text="3ET">
      <formula>NOT(ISERROR(SEARCH("3ET",P49)))</formula>
    </cfRule>
    <cfRule type="containsText" dxfId="2631" priority="3021" operator="containsText" text="1OT">
      <formula>NOT(ISERROR(SEARCH("1OT",P49)))</formula>
    </cfRule>
  </conditionalFormatting>
  <conditionalFormatting sqref="R52:T52 V52:Y52">
    <cfRule type="containsText" dxfId="2630" priority="3010" operator="containsText" text="EL">
      <formula>NOT(ISERROR(SEARCH("EL",R52)))</formula>
    </cfRule>
    <cfRule type="containsText" dxfId="2629" priority="3011" operator="containsText" text="Q">
      <formula>NOT(ISERROR(SEARCH("Q",R52)))</formula>
    </cfRule>
  </conditionalFormatting>
  <conditionalFormatting sqref="R52:T52 V52:Y52">
    <cfRule type="containsText" dxfId="2628" priority="3009" operator="containsText" text="1ET">
      <formula>NOT(ISERROR(SEARCH("1ET",R52)))</formula>
    </cfRule>
  </conditionalFormatting>
  <conditionalFormatting sqref="K54 N54:O54 R54:T54 V54:Y54">
    <cfRule type="containsText" dxfId="2627" priority="2999" operator="containsText" text="EL">
      <formula>NOT(ISERROR(SEARCH("EL",K54)))</formula>
    </cfRule>
    <cfRule type="containsText" dxfId="2626" priority="3000" operator="containsText" text="Q">
      <formula>NOT(ISERROR(SEARCH("Q",K54)))</formula>
    </cfRule>
  </conditionalFormatting>
  <conditionalFormatting sqref="K54 N54:O54 R54:T54 V54:Y54">
    <cfRule type="containsText" dxfId="2625" priority="2998" operator="containsText" text="1ET">
      <formula>NOT(ISERROR(SEARCH("1ET",K54)))</formula>
    </cfRule>
  </conditionalFormatting>
  <conditionalFormatting sqref="K54 N54:O54 R52:T52 R54:T54 V52:Y52 V54:Y54">
    <cfRule type="containsText" dxfId="2624" priority="2996" operator="containsText" text="3ET">
      <formula>NOT(ISERROR(SEARCH("3ET",K52)))</formula>
    </cfRule>
    <cfRule type="containsText" dxfId="2623" priority="2997" operator="containsText" text="1OT">
      <formula>NOT(ISERROR(SEARCH("1OT",K52)))</formula>
    </cfRule>
  </conditionalFormatting>
  <conditionalFormatting sqref="R54 N54:O54">
    <cfRule type="containsText" dxfId="2622" priority="2986" operator="containsText" text="EL">
      <formula>NOT(ISERROR(SEARCH("EL",N54)))</formula>
    </cfRule>
    <cfRule type="containsText" dxfId="2621" priority="2987" operator="containsText" text="Q">
      <formula>NOT(ISERROR(SEARCH("Q",N54)))</formula>
    </cfRule>
  </conditionalFormatting>
  <conditionalFormatting sqref="R54 N54:O54">
    <cfRule type="containsText" dxfId="2620" priority="2985" operator="containsText" text="1ET">
      <formula>NOT(ISERROR(SEARCH("1ET",N54)))</formula>
    </cfRule>
  </conditionalFormatting>
  <conditionalFormatting sqref="R54 N54:O54">
    <cfRule type="containsText" dxfId="2619" priority="2983" operator="containsText" text="3ET">
      <formula>NOT(ISERROR(SEARCH("3ET",N54)))</formula>
    </cfRule>
    <cfRule type="containsText" dxfId="2618" priority="2984" operator="containsText" text="1OT">
      <formula>NOT(ISERROR(SEARCH("1OT",N54)))</formula>
    </cfRule>
  </conditionalFormatting>
  <conditionalFormatting sqref="K52">
    <cfRule type="containsText" dxfId="2617" priority="2973" operator="containsText" text="EL">
      <formula>NOT(ISERROR(SEARCH("EL",K52)))</formula>
    </cfRule>
    <cfRule type="containsText" dxfId="2616" priority="2974" operator="containsText" text="Q">
      <formula>NOT(ISERROR(SEARCH("Q",K52)))</formula>
    </cfRule>
  </conditionalFormatting>
  <conditionalFormatting sqref="K52">
    <cfRule type="containsText" dxfId="2615" priority="2972" operator="containsText" text="1ET">
      <formula>NOT(ISERROR(SEARCH("1ET",K52)))</formula>
    </cfRule>
  </conditionalFormatting>
  <conditionalFormatting sqref="K52">
    <cfRule type="containsText" dxfId="2614" priority="2970" operator="containsText" text="3ET">
      <formula>NOT(ISERROR(SEARCH("3ET",K52)))</formula>
    </cfRule>
    <cfRule type="containsText" dxfId="2613" priority="2971" operator="containsText" text="1OT">
      <formula>NOT(ISERROR(SEARCH("1OT",K52)))</formula>
    </cfRule>
  </conditionalFormatting>
  <conditionalFormatting sqref="M52:O52">
    <cfRule type="containsText" dxfId="2612" priority="2960" operator="containsText" text="EL">
      <formula>NOT(ISERROR(SEARCH("EL",M52)))</formula>
    </cfRule>
    <cfRule type="containsText" dxfId="2611" priority="2961" operator="containsText" text="Q">
      <formula>NOT(ISERROR(SEARCH("Q",M52)))</formula>
    </cfRule>
  </conditionalFormatting>
  <conditionalFormatting sqref="M52:O52">
    <cfRule type="containsText" dxfId="2610" priority="2959" operator="containsText" text="1ET">
      <formula>NOT(ISERROR(SEARCH("1ET",M52)))</formula>
    </cfRule>
  </conditionalFormatting>
  <conditionalFormatting sqref="M52:O52">
    <cfRule type="containsText" dxfId="2609" priority="2957" operator="containsText" text="3ET">
      <formula>NOT(ISERROR(SEARCH("3ET",M52)))</formula>
    </cfRule>
    <cfRule type="containsText" dxfId="2608" priority="2958" operator="containsText" text="1OT">
      <formula>NOT(ISERROR(SEARCH("1OT",M52)))</formula>
    </cfRule>
  </conditionalFormatting>
  <conditionalFormatting sqref="M55:N56 M54 K55:K56 L55">
    <cfRule type="cellIs" dxfId="2607" priority="2953" operator="equal">
      <formula>"EL"</formula>
    </cfRule>
    <cfRule type="cellIs" dxfId="2606" priority="2954" operator="equal">
      <formula>"SL"</formula>
    </cfRule>
  </conditionalFormatting>
  <conditionalFormatting sqref="M55:N56 M54 K55:K56 L55">
    <cfRule type="containsText" dxfId="2605" priority="2938" operator="containsText" text="EL">
      <formula>NOT(ISERROR(SEARCH("EL",K54)))</formula>
    </cfRule>
    <cfRule type="containsText" dxfId="2604" priority="2939" operator="containsText" text="Q">
      <formula>NOT(ISERROR(SEARCH("Q",K54)))</formula>
    </cfRule>
  </conditionalFormatting>
  <conditionalFormatting sqref="M55:N56 M54 K55:K56 L55">
    <cfRule type="containsText" dxfId="2603" priority="2937" operator="containsText" text="1ET">
      <formula>NOT(ISERROR(SEARCH("1ET",K54)))</formula>
    </cfRule>
  </conditionalFormatting>
  <conditionalFormatting sqref="M55:N56 M54 K55:K56 L55">
    <cfRule type="containsText" dxfId="2602" priority="2935" operator="containsText" text="3ET">
      <formula>NOT(ISERROR(SEARCH("3ET",K54)))</formula>
    </cfRule>
    <cfRule type="containsText" dxfId="2601" priority="2936" operator="containsText" text="1OT">
      <formula>NOT(ISERROR(SEARCH("1OT",K54)))</formula>
    </cfRule>
  </conditionalFormatting>
  <conditionalFormatting sqref="O55:P56 W56:Y56 T55:V56 R55:R56">
    <cfRule type="cellIs" dxfId="2600" priority="2931" operator="equal">
      <formula>"EL"</formula>
    </cfRule>
    <cfRule type="cellIs" dxfId="2599" priority="2932" operator="equal">
      <formula>"SL"</formula>
    </cfRule>
  </conditionalFormatting>
  <conditionalFormatting sqref="O55:P56 W56:Y56 T55:V56 R55:R56">
    <cfRule type="containsText" dxfId="2598" priority="2916" operator="containsText" text="EL">
      <formula>NOT(ISERROR(SEARCH("EL",O55)))</formula>
    </cfRule>
    <cfRule type="containsText" dxfId="2597" priority="2917" operator="containsText" text="Q">
      <formula>NOT(ISERROR(SEARCH("Q",O55)))</formula>
    </cfRule>
  </conditionalFormatting>
  <conditionalFormatting sqref="O55:P56 W56:Y56 T55:V56 R55:R56">
    <cfRule type="containsText" dxfId="2596" priority="2915" operator="containsText" text="1ET">
      <formula>NOT(ISERROR(SEARCH("1ET",O55)))</formula>
    </cfRule>
  </conditionalFormatting>
  <conditionalFormatting sqref="O55:P56 W56:Y56 T55:V56 R55:R56">
    <cfRule type="containsText" dxfId="2595" priority="2913" operator="containsText" text="3ET">
      <formula>NOT(ISERROR(SEARCH("3ET",O55)))</formula>
    </cfRule>
    <cfRule type="containsText" dxfId="2594" priority="2914" operator="containsText" text="1OT">
      <formula>NOT(ISERROR(SEARCH("1OT",O55)))</formula>
    </cfRule>
  </conditionalFormatting>
  <conditionalFormatting sqref="K57 M60 M57 K60">
    <cfRule type="cellIs" dxfId="2593" priority="2909" operator="equal">
      <formula>"EL"</formula>
    </cfRule>
    <cfRule type="cellIs" dxfId="2592" priority="2910" operator="equal">
      <formula>"SL"</formula>
    </cfRule>
  </conditionalFormatting>
  <conditionalFormatting sqref="K57 M60 M57 K60">
    <cfRule type="containsText" dxfId="2591" priority="2894" operator="containsText" text="EL">
      <formula>NOT(ISERROR(SEARCH("EL",K57)))</formula>
    </cfRule>
    <cfRule type="containsText" dxfId="2590" priority="2895" operator="containsText" text="Q">
      <formula>NOT(ISERROR(SEARCH("Q",K57)))</formula>
    </cfRule>
  </conditionalFormatting>
  <conditionalFormatting sqref="K57 M60 M57 K60">
    <cfRule type="containsText" dxfId="2589" priority="2893" operator="containsText" text="1ET">
      <formula>NOT(ISERROR(SEARCH("1ET",K57)))</formula>
    </cfRule>
  </conditionalFormatting>
  <conditionalFormatting sqref="K57 M60 M57 K60">
    <cfRule type="containsText" dxfId="2588" priority="2891" operator="containsText" text="3ET">
      <formula>NOT(ISERROR(SEARCH("3ET",K57)))</formula>
    </cfRule>
    <cfRule type="containsText" dxfId="2587" priority="2892" operator="containsText" text="1OT">
      <formula>NOT(ISERROR(SEARCH("1OT",K57)))</formula>
    </cfRule>
  </conditionalFormatting>
  <conditionalFormatting sqref="K58">
    <cfRule type="containsText" dxfId="2586" priority="2881" operator="containsText" text="EL">
      <formula>NOT(ISERROR(SEARCH("EL",K58)))</formula>
    </cfRule>
    <cfRule type="containsText" dxfId="2585" priority="2882" operator="containsText" text="Q">
      <formula>NOT(ISERROR(SEARCH("Q",K58)))</formula>
    </cfRule>
  </conditionalFormatting>
  <conditionalFormatting sqref="K58">
    <cfRule type="containsText" dxfId="2584" priority="2880" operator="containsText" text="1ET">
      <formula>NOT(ISERROR(SEARCH("1ET",K58)))</formula>
    </cfRule>
  </conditionalFormatting>
  <conditionalFormatting sqref="K58">
    <cfRule type="containsText" dxfId="2583" priority="2878" operator="containsText" text="3ET">
      <formula>NOT(ISERROR(SEARCH("3ET",K58)))</formula>
    </cfRule>
    <cfRule type="containsText" dxfId="2582" priority="2879" operator="containsText" text="1OT">
      <formula>NOT(ISERROR(SEARCH("1OT",K58)))</formula>
    </cfRule>
  </conditionalFormatting>
  <conditionalFormatting sqref="N57 N60">
    <cfRule type="cellIs" dxfId="2581" priority="2874" operator="equal">
      <formula>"EL"</formula>
    </cfRule>
    <cfRule type="cellIs" dxfId="2580" priority="2875" operator="equal">
      <formula>"SL"</formula>
    </cfRule>
  </conditionalFormatting>
  <conditionalFormatting sqref="N57 N60">
    <cfRule type="containsText" dxfId="2579" priority="2859" operator="containsText" text="EL">
      <formula>NOT(ISERROR(SEARCH("EL",N57)))</formula>
    </cfRule>
    <cfRule type="containsText" dxfId="2578" priority="2860" operator="containsText" text="Q">
      <formula>NOT(ISERROR(SEARCH("Q",N57)))</formula>
    </cfRule>
  </conditionalFormatting>
  <conditionalFormatting sqref="N57 N60">
    <cfRule type="containsText" dxfId="2577" priority="2858" operator="containsText" text="1ET">
      <formula>NOT(ISERROR(SEARCH("1ET",N57)))</formula>
    </cfRule>
  </conditionalFormatting>
  <conditionalFormatting sqref="N57 N60">
    <cfRule type="containsText" dxfId="2576" priority="2856" operator="containsText" text="3ET">
      <formula>NOT(ISERROR(SEARCH("3ET",N57)))</formula>
    </cfRule>
    <cfRule type="containsText" dxfId="2575" priority="2857" operator="containsText" text="1OT">
      <formula>NOT(ISERROR(SEARCH("1OT",N57)))</formula>
    </cfRule>
  </conditionalFormatting>
  <conditionalFormatting sqref="M58:P58 R58">
    <cfRule type="cellIs" dxfId="2574" priority="2852" operator="equal">
      <formula>"EL"</formula>
    </cfRule>
    <cfRule type="cellIs" dxfId="2573" priority="2853" operator="equal">
      <formula>"SL"</formula>
    </cfRule>
  </conditionalFormatting>
  <conditionalFormatting sqref="M58:P58 R58">
    <cfRule type="containsText" dxfId="2572" priority="2837" operator="containsText" text="EL">
      <formula>NOT(ISERROR(SEARCH("EL",M58)))</formula>
    </cfRule>
    <cfRule type="containsText" dxfId="2571" priority="2838" operator="containsText" text="Q">
      <formula>NOT(ISERROR(SEARCH("Q",M58)))</formula>
    </cfRule>
  </conditionalFormatting>
  <conditionalFormatting sqref="M58:P58 R58">
    <cfRule type="containsText" dxfId="2570" priority="2836" operator="containsText" text="1ET">
      <formula>NOT(ISERROR(SEARCH("1ET",M58)))</formula>
    </cfRule>
  </conditionalFormatting>
  <conditionalFormatting sqref="M58:P58 R58">
    <cfRule type="containsText" dxfId="2569" priority="2834" operator="containsText" text="3ET">
      <formula>NOT(ISERROR(SEARCH("3ET",M58)))</formula>
    </cfRule>
    <cfRule type="containsText" dxfId="2568" priority="2835" operator="containsText" text="1OT">
      <formula>NOT(ISERROR(SEARCH("1OT",M58)))</formula>
    </cfRule>
  </conditionalFormatting>
  <conditionalFormatting sqref="O57:P57 O60:P60 T57:V57 T60:Y60 R60 R57">
    <cfRule type="cellIs" dxfId="2567" priority="2830" operator="equal">
      <formula>"EL"</formula>
    </cfRule>
    <cfRule type="cellIs" dxfId="2566" priority="2831" operator="equal">
      <formula>"SL"</formula>
    </cfRule>
  </conditionalFormatting>
  <conditionalFormatting sqref="O60:P60 O57:P57 T57:V57 T60:Y60 R57 R60">
    <cfRule type="containsText" dxfId="2565" priority="2815" operator="containsText" text="EL">
      <formula>NOT(ISERROR(SEARCH("EL",O57)))</formula>
    </cfRule>
    <cfRule type="containsText" dxfId="2564" priority="2816" operator="containsText" text="Q">
      <formula>NOT(ISERROR(SEARCH("Q",O57)))</formula>
    </cfRule>
  </conditionalFormatting>
  <conditionalFormatting sqref="O60:P60 O57:P57 T57:V57 T60:Y60 R57 R60">
    <cfRule type="containsText" dxfId="2563" priority="2814" operator="containsText" text="1ET">
      <formula>NOT(ISERROR(SEARCH("1ET",O57)))</formula>
    </cfRule>
  </conditionalFormatting>
  <conditionalFormatting sqref="O60:P60 O57:P57 T57:V57 T60:Y60 R57 R60">
    <cfRule type="containsText" dxfId="2562" priority="2812" operator="containsText" text="3ET">
      <formula>NOT(ISERROR(SEARCH("3ET",O57)))</formula>
    </cfRule>
    <cfRule type="containsText" dxfId="2561" priority="2813" operator="containsText" text="1OT">
      <formula>NOT(ISERROR(SEARCH("1OT",O57)))</formula>
    </cfRule>
  </conditionalFormatting>
  <conditionalFormatting sqref="T58:Y58">
    <cfRule type="cellIs" dxfId="2560" priority="2808" operator="equal">
      <formula>"EL"</formula>
    </cfRule>
    <cfRule type="cellIs" dxfId="2559" priority="2809" operator="equal">
      <formula>"SL"</formula>
    </cfRule>
  </conditionalFormatting>
  <conditionalFormatting sqref="T58:Y58">
    <cfRule type="containsText" dxfId="2558" priority="2793" operator="containsText" text="EL">
      <formula>NOT(ISERROR(SEARCH("EL",T58)))</formula>
    </cfRule>
    <cfRule type="containsText" dxfId="2557" priority="2794" operator="containsText" text="Q">
      <formula>NOT(ISERROR(SEARCH("Q",T58)))</formula>
    </cfRule>
  </conditionalFormatting>
  <conditionalFormatting sqref="T58:Y58">
    <cfRule type="containsText" dxfId="2556" priority="2792" operator="containsText" text="1ET">
      <formula>NOT(ISERROR(SEARCH("1ET",T58)))</formula>
    </cfRule>
  </conditionalFormatting>
  <conditionalFormatting sqref="T58:Y58">
    <cfRule type="containsText" dxfId="2555" priority="2790" operator="containsText" text="3ET">
      <formula>NOT(ISERROR(SEARCH("3ET",T58)))</formula>
    </cfRule>
    <cfRule type="containsText" dxfId="2554" priority="2791" operator="containsText" text="1OT">
      <formula>NOT(ISERROR(SEARCH("1OT",T58)))</formula>
    </cfRule>
  </conditionalFormatting>
  <conditionalFormatting sqref="L41:L44">
    <cfRule type="containsText" dxfId="2553" priority="2784" operator="containsText" text="FAT">
      <formula>NOT(ISERROR(SEARCH("FAT",L41)))</formula>
    </cfRule>
    <cfRule type="containsText" dxfId="2552" priority="2785" operator="containsText" text="FIRE">
      <formula>NOT(ISERROR(SEARCH("FIRE",L41)))</formula>
    </cfRule>
    <cfRule type="containsText" dxfId="2551" priority="2786" operator="containsText" text="COSH">
      <formula>NOT(ISERROR(SEARCH("COSH",L41)))</formula>
    </cfRule>
  </conditionalFormatting>
  <conditionalFormatting sqref="L44">
    <cfRule type="containsText" dxfId="2550" priority="2787" operator="containsText" text="FAT">
      <formula>NOT(ISERROR(SEARCH("FAT",L44)))</formula>
    </cfRule>
    <cfRule type="containsText" dxfId="2549" priority="2788" operator="containsText" text="FIRE">
      <formula>NOT(ISERROR(SEARCH("FIRE",L44)))</formula>
    </cfRule>
    <cfRule type="containsText" dxfId="2548" priority="2789" operator="containsText" text="COSH">
      <formula>NOT(ISERROR(SEARCH("COSH",L44)))</formula>
    </cfRule>
  </conditionalFormatting>
  <conditionalFormatting sqref="L42:L43">
    <cfRule type="containsText" dxfId="2547" priority="2781" operator="containsText" text="FAT">
      <formula>NOT(ISERROR(SEARCH("FAT",L42)))</formula>
    </cfRule>
    <cfRule type="containsText" dxfId="2546" priority="2782" operator="containsText" text="FIRE">
      <formula>NOT(ISERROR(SEARCH("FIRE",L42)))</formula>
    </cfRule>
    <cfRule type="containsText" dxfId="2545" priority="2783" operator="containsText" text="COSH">
      <formula>NOT(ISERROR(SEARCH("COSH",L42)))</formula>
    </cfRule>
  </conditionalFormatting>
  <conditionalFormatting sqref="L39">
    <cfRule type="containsText" dxfId="2544" priority="2778" operator="containsText" text="FAT">
      <formula>NOT(ISERROR(SEARCH("FAT",L39)))</formula>
    </cfRule>
    <cfRule type="containsText" dxfId="2543" priority="2779" operator="containsText" text="FIRE">
      <formula>NOT(ISERROR(SEARCH("FIRE",L39)))</formula>
    </cfRule>
    <cfRule type="containsText" dxfId="2542" priority="2780" operator="containsText" text="COSH">
      <formula>NOT(ISERROR(SEARCH("COSH",L39)))</formula>
    </cfRule>
  </conditionalFormatting>
  <conditionalFormatting sqref="L39">
    <cfRule type="cellIs" dxfId="2541" priority="2776" operator="between">
      <formula>1</formula>
      <formula>3</formula>
    </cfRule>
  </conditionalFormatting>
  <conditionalFormatting sqref="L41:L44">
    <cfRule type="cellIs" dxfId="2540" priority="2777" operator="between">
      <formula>1</formula>
      <formula>3</formula>
    </cfRule>
  </conditionalFormatting>
  <conditionalFormatting sqref="L42:L43">
    <cfRule type="containsText" dxfId="2539" priority="2773" operator="containsText" text="FAT">
      <formula>NOT(ISERROR(SEARCH("FAT",L42)))</formula>
    </cfRule>
    <cfRule type="containsText" dxfId="2538" priority="2774" operator="containsText" text="FIRE">
      <formula>NOT(ISERROR(SEARCH("FIRE",L42)))</formula>
    </cfRule>
    <cfRule type="containsText" dxfId="2537" priority="2775" operator="containsText" text="COSH">
      <formula>NOT(ISERROR(SEARCH("COSH",L42)))</formula>
    </cfRule>
  </conditionalFormatting>
  <conditionalFormatting sqref="L39">
    <cfRule type="containsText" dxfId="2536" priority="2770" operator="containsText" text="FAT">
      <formula>NOT(ISERROR(SEARCH("FAT",L39)))</formula>
    </cfRule>
    <cfRule type="containsText" dxfId="2535" priority="2771" operator="containsText" text="FIRE">
      <formula>NOT(ISERROR(SEARCH("FIRE",L39)))</formula>
    </cfRule>
    <cfRule type="containsText" dxfId="2534" priority="2772" operator="containsText" text="COSH">
      <formula>NOT(ISERROR(SEARCH("COSH",L39)))</formula>
    </cfRule>
  </conditionalFormatting>
  <conditionalFormatting sqref="L41:L44">
    <cfRule type="containsText" dxfId="2533" priority="2767" operator="containsText" text="FAT">
      <formula>NOT(ISERROR(SEARCH("FAT",L41)))</formula>
    </cfRule>
    <cfRule type="containsText" dxfId="2532" priority="2768" operator="containsText" text="FIRE">
      <formula>NOT(ISERROR(SEARCH("FIRE",L41)))</formula>
    </cfRule>
    <cfRule type="containsText" dxfId="2531" priority="2769" operator="containsText" text="COSH">
      <formula>NOT(ISERROR(SEARCH("COSH",L41)))</formula>
    </cfRule>
  </conditionalFormatting>
  <conditionalFormatting sqref="L39 L41:L44">
    <cfRule type="cellIs" dxfId="2530" priority="2766" operator="equal">
      <formula>0</formula>
    </cfRule>
  </conditionalFormatting>
  <conditionalFormatting sqref="L41:L44">
    <cfRule type="containsText" dxfId="2529" priority="2763" operator="containsText" text="FAT">
      <formula>NOT(ISERROR(SEARCH("FAT",L41)))</formula>
    </cfRule>
    <cfRule type="containsText" dxfId="2528" priority="2764" operator="containsText" text="FIRE">
      <formula>NOT(ISERROR(SEARCH("FIRE",L41)))</formula>
    </cfRule>
    <cfRule type="containsText" dxfId="2527" priority="2765" operator="containsText" text="COSH">
      <formula>NOT(ISERROR(SEARCH("COSH",L41)))</formula>
    </cfRule>
  </conditionalFormatting>
  <conditionalFormatting sqref="L41:L44">
    <cfRule type="containsText" dxfId="2526" priority="2760" operator="containsText" text="FAT">
      <formula>NOT(ISERROR(SEARCH("FAT",L41)))</formula>
    </cfRule>
    <cfRule type="containsText" dxfId="2525" priority="2761" operator="containsText" text="FIRE">
      <formula>NOT(ISERROR(SEARCH("FIRE",L41)))</formula>
    </cfRule>
    <cfRule type="containsText" dxfId="2524" priority="2762" operator="containsText" text="COSH">
      <formula>NOT(ISERROR(SEARCH("COSH",L41)))</formula>
    </cfRule>
  </conditionalFormatting>
  <conditionalFormatting sqref="L40">
    <cfRule type="containsText" dxfId="2523" priority="2757" operator="containsText" text="FAT">
      <formula>NOT(ISERROR(SEARCH("FAT",L40)))</formula>
    </cfRule>
    <cfRule type="containsText" dxfId="2522" priority="2758" operator="containsText" text="FIRE">
      <formula>NOT(ISERROR(SEARCH("FIRE",L40)))</formula>
    </cfRule>
    <cfRule type="containsText" dxfId="2521" priority="2759" operator="containsText" text="COSH">
      <formula>NOT(ISERROR(SEARCH("COSH",L40)))</formula>
    </cfRule>
  </conditionalFormatting>
  <conditionalFormatting sqref="L40">
    <cfRule type="cellIs" dxfId="2520" priority="2756" operator="between">
      <formula>1</formula>
      <formula>3</formula>
    </cfRule>
  </conditionalFormatting>
  <conditionalFormatting sqref="L40">
    <cfRule type="cellIs" dxfId="2519" priority="2755" operator="equal">
      <formula>0</formula>
    </cfRule>
  </conditionalFormatting>
  <conditionalFormatting sqref="L40">
    <cfRule type="containsText" dxfId="2518" priority="2752" operator="containsText" text="FAT">
      <formula>NOT(ISERROR(SEARCH("FAT",L40)))</formula>
    </cfRule>
    <cfRule type="containsText" dxfId="2517" priority="2753" operator="containsText" text="FIRE">
      <formula>NOT(ISERROR(SEARCH("FIRE",L40)))</formula>
    </cfRule>
    <cfRule type="containsText" dxfId="2516" priority="2754" operator="containsText" text="COSH">
      <formula>NOT(ISERROR(SEARCH("COSH",L40)))</formula>
    </cfRule>
  </conditionalFormatting>
  <conditionalFormatting sqref="L47 L49:L50">
    <cfRule type="containsText" dxfId="2515" priority="2746" operator="containsText" text="FAT">
      <formula>NOT(ISERROR(SEARCH("FAT",L47)))</formula>
    </cfRule>
    <cfRule type="containsText" dxfId="2514" priority="2747" operator="containsText" text="FIRE">
      <formula>NOT(ISERROR(SEARCH("FIRE",L47)))</formula>
    </cfRule>
    <cfRule type="containsText" dxfId="2513" priority="2748" operator="containsText" text="COSH">
      <formula>NOT(ISERROR(SEARCH("COSH",L47)))</formula>
    </cfRule>
  </conditionalFormatting>
  <conditionalFormatting sqref="L50">
    <cfRule type="containsText" dxfId="2512" priority="2749" operator="containsText" text="FAT">
      <formula>NOT(ISERROR(SEARCH("FAT",L50)))</formula>
    </cfRule>
    <cfRule type="containsText" dxfId="2511" priority="2750" operator="containsText" text="FIRE">
      <formula>NOT(ISERROR(SEARCH("FIRE",L50)))</formula>
    </cfRule>
    <cfRule type="containsText" dxfId="2510" priority="2751" operator="containsText" text="COSH">
      <formula>NOT(ISERROR(SEARCH("COSH",L50)))</formula>
    </cfRule>
  </conditionalFormatting>
  <conditionalFormatting sqref="L49">
    <cfRule type="containsText" dxfId="2509" priority="2743" operator="containsText" text="FAT">
      <formula>NOT(ISERROR(SEARCH("FAT",L49)))</formula>
    </cfRule>
    <cfRule type="containsText" dxfId="2508" priority="2744" operator="containsText" text="FIRE">
      <formula>NOT(ISERROR(SEARCH("FIRE",L49)))</formula>
    </cfRule>
    <cfRule type="containsText" dxfId="2507" priority="2745" operator="containsText" text="COSH">
      <formula>NOT(ISERROR(SEARCH("COSH",L49)))</formula>
    </cfRule>
  </conditionalFormatting>
  <conditionalFormatting sqref="L45">
    <cfRule type="containsText" dxfId="2506" priority="2740" operator="containsText" text="FAT">
      <formula>NOT(ISERROR(SEARCH("FAT",L45)))</formula>
    </cfRule>
    <cfRule type="containsText" dxfId="2505" priority="2741" operator="containsText" text="FIRE">
      <formula>NOT(ISERROR(SEARCH("FIRE",L45)))</formula>
    </cfRule>
    <cfRule type="containsText" dxfId="2504" priority="2742" operator="containsText" text="COSH">
      <formula>NOT(ISERROR(SEARCH("COSH",L45)))</formula>
    </cfRule>
  </conditionalFormatting>
  <conditionalFormatting sqref="L45">
    <cfRule type="cellIs" dxfId="2503" priority="2738" operator="between">
      <formula>1</formula>
      <formula>3</formula>
    </cfRule>
  </conditionalFormatting>
  <conditionalFormatting sqref="L47 L49:L50">
    <cfRule type="cellIs" dxfId="2502" priority="2739" operator="between">
      <formula>1</formula>
      <formula>3</formula>
    </cfRule>
  </conditionalFormatting>
  <conditionalFormatting sqref="L49">
    <cfRule type="containsText" dxfId="2501" priority="2735" operator="containsText" text="FAT">
      <formula>NOT(ISERROR(SEARCH("FAT",L49)))</formula>
    </cfRule>
    <cfRule type="containsText" dxfId="2500" priority="2736" operator="containsText" text="FIRE">
      <formula>NOT(ISERROR(SEARCH("FIRE",L49)))</formula>
    </cfRule>
    <cfRule type="containsText" dxfId="2499" priority="2737" operator="containsText" text="COSH">
      <formula>NOT(ISERROR(SEARCH("COSH",L49)))</formula>
    </cfRule>
  </conditionalFormatting>
  <conditionalFormatting sqref="L45">
    <cfRule type="containsText" dxfId="2498" priority="2732" operator="containsText" text="FAT">
      <formula>NOT(ISERROR(SEARCH("FAT",L45)))</formula>
    </cfRule>
    <cfRule type="containsText" dxfId="2497" priority="2733" operator="containsText" text="FIRE">
      <formula>NOT(ISERROR(SEARCH("FIRE",L45)))</formula>
    </cfRule>
    <cfRule type="containsText" dxfId="2496" priority="2734" operator="containsText" text="COSH">
      <formula>NOT(ISERROR(SEARCH("COSH",L45)))</formula>
    </cfRule>
  </conditionalFormatting>
  <conditionalFormatting sqref="L47 L49:L50">
    <cfRule type="containsText" dxfId="2495" priority="2729" operator="containsText" text="FAT">
      <formula>NOT(ISERROR(SEARCH("FAT",L47)))</formula>
    </cfRule>
    <cfRule type="containsText" dxfId="2494" priority="2730" operator="containsText" text="FIRE">
      <formula>NOT(ISERROR(SEARCH("FIRE",L47)))</formula>
    </cfRule>
    <cfRule type="containsText" dxfId="2493" priority="2731" operator="containsText" text="COSH">
      <formula>NOT(ISERROR(SEARCH("COSH",L47)))</formula>
    </cfRule>
  </conditionalFormatting>
  <conditionalFormatting sqref="L45 L47 L49:L50">
    <cfRule type="cellIs" dxfId="2492" priority="2728" operator="equal">
      <formula>0</formula>
    </cfRule>
  </conditionalFormatting>
  <conditionalFormatting sqref="L47 L49:L50">
    <cfRule type="containsText" dxfId="2491" priority="2725" operator="containsText" text="FAT">
      <formula>NOT(ISERROR(SEARCH("FAT",L47)))</formula>
    </cfRule>
    <cfRule type="containsText" dxfId="2490" priority="2726" operator="containsText" text="FIRE">
      <formula>NOT(ISERROR(SEARCH("FIRE",L47)))</formula>
    </cfRule>
    <cfRule type="containsText" dxfId="2489" priority="2727" operator="containsText" text="COSH">
      <formula>NOT(ISERROR(SEARCH("COSH",L47)))</formula>
    </cfRule>
  </conditionalFormatting>
  <conditionalFormatting sqref="L47 L49:L50">
    <cfRule type="containsText" dxfId="2488" priority="2722" operator="containsText" text="FAT">
      <formula>NOT(ISERROR(SEARCH("FAT",L47)))</formula>
    </cfRule>
    <cfRule type="containsText" dxfId="2487" priority="2723" operator="containsText" text="FIRE">
      <formula>NOT(ISERROR(SEARCH("FIRE",L47)))</formula>
    </cfRule>
    <cfRule type="containsText" dxfId="2486" priority="2724" operator="containsText" text="COSH">
      <formula>NOT(ISERROR(SEARCH("COSH",L47)))</formula>
    </cfRule>
  </conditionalFormatting>
  <conditionalFormatting sqref="L46">
    <cfRule type="containsText" dxfId="2485" priority="2719" operator="containsText" text="FAT">
      <formula>NOT(ISERROR(SEARCH("FAT",L46)))</formula>
    </cfRule>
    <cfRule type="containsText" dxfId="2484" priority="2720" operator="containsText" text="FIRE">
      <formula>NOT(ISERROR(SEARCH("FIRE",L46)))</formula>
    </cfRule>
    <cfRule type="containsText" dxfId="2483" priority="2721" operator="containsText" text="COSH">
      <formula>NOT(ISERROR(SEARCH("COSH",L46)))</formula>
    </cfRule>
  </conditionalFormatting>
  <conditionalFormatting sqref="L46">
    <cfRule type="cellIs" dxfId="2482" priority="2718" operator="between">
      <formula>1</formula>
      <formula>3</formula>
    </cfRule>
  </conditionalFormatting>
  <conditionalFormatting sqref="L46">
    <cfRule type="cellIs" dxfId="2481" priority="2717" operator="equal">
      <formula>0</formula>
    </cfRule>
  </conditionalFormatting>
  <conditionalFormatting sqref="L46">
    <cfRule type="containsText" dxfId="2480" priority="2714" operator="containsText" text="FAT">
      <formula>NOT(ISERROR(SEARCH("FAT",L46)))</formula>
    </cfRule>
    <cfRule type="containsText" dxfId="2479" priority="2715" operator="containsText" text="FIRE">
      <formula>NOT(ISERROR(SEARCH("FIRE",L46)))</formula>
    </cfRule>
    <cfRule type="containsText" dxfId="2478" priority="2716" operator="containsText" text="COSH">
      <formula>NOT(ISERROR(SEARCH("COSH",L46)))</formula>
    </cfRule>
  </conditionalFormatting>
  <conditionalFormatting sqref="L51">
    <cfRule type="containsText" dxfId="2477" priority="2711" operator="containsText" text="FAT">
      <formula>NOT(ISERROR(SEARCH("FAT",L51)))</formula>
    </cfRule>
    <cfRule type="containsText" dxfId="2476" priority="2712" operator="containsText" text="FIRE">
      <formula>NOT(ISERROR(SEARCH("FIRE",L51)))</formula>
    </cfRule>
    <cfRule type="containsText" dxfId="2475" priority="2713" operator="containsText" text="COSH">
      <formula>NOT(ISERROR(SEARCH("COSH",L51)))</formula>
    </cfRule>
  </conditionalFormatting>
  <conditionalFormatting sqref="L51">
    <cfRule type="cellIs" dxfId="2474" priority="2710" operator="between">
      <formula>1</formula>
      <formula>3</formula>
    </cfRule>
  </conditionalFormatting>
  <conditionalFormatting sqref="L51">
    <cfRule type="containsText" dxfId="2473" priority="2707" operator="containsText" text="FAT">
      <formula>NOT(ISERROR(SEARCH("FAT",L51)))</formula>
    </cfRule>
    <cfRule type="containsText" dxfId="2472" priority="2708" operator="containsText" text="FIRE">
      <formula>NOT(ISERROR(SEARCH("FIRE",L51)))</formula>
    </cfRule>
    <cfRule type="containsText" dxfId="2471" priority="2709" operator="containsText" text="COSH">
      <formula>NOT(ISERROR(SEARCH("COSH",L51)))</formula>
    </cfRule>
  </conditionalFormatting>
  <conditionalFormatting sqref="L51">
    <cfRule type="cellIs" dxfId="2470" priority="2706" operator="equal">
      <formula>0</formula>
    </cfRule>
  </conditionalFormatting>
  <conditionalFormatting sqref="L52">
    <cfRule type="containsText" dxfId="2469" priority="2703" operator="containsText" text="FAT">
      <formula>NOT(ISERROR(SEARCH("FAT",L52)))</formula>
    </cfRule>
    <cfRule type="containsText" dxfId="2468" priority="2704" operator="containsText" text="FIRE">
      <formula>NOT(ISERROR(SEARCH("FIRE",L52)))</formula>
    </cfRule>
    <cfRule type="containsText" dxfId="2467" priority="2705" operator="containsText" text="COSH">
      <formula>NOT(ISERROR(SEARCH("COSH",L52)))</formula>
    </cfRule>
  </conditionalFormatting>
  <conditionalFormatting sqref="L52">
    <cfRule type="cellIs" dxfId="2466" priority="2702" operator="between">
      <formula>1</formula>
      <formula>3</formula>
    </cfRule>
  </conditionalFormatting>
  <conditionalFormatting sqref="L52">
    <cfRule type="cellIs" dxfId="2465" priority="2701" operator="equal">
      <formula>0</formula>
    </cfRule>
  </conditionalFormatting>
  <conditionalFormatting sqref="L52">
    <cfRule type="containsText" dxfId="2464" priority="2698" operator="containsText" text="FAT">
      <formula>NOT(ISERROR(SEARCH("FAT",L52)))</formula>
    </cfRule>
    <cfRule type="containsText" dxfId="2463" priority="2699" operator="containsText" text="FIRE">
      <formula>NOT(ISERROR(SEARCH("FIRE",L52)))</formula>
    </cfRule>
    <cfRule type="containsText" dxfId="2462" priority="2700" operator="containsText" text="COSH">
      <formula>NOT(ISERROR(SEARCH("COSH",L52)))</formula>
    </cfRule>
  </conditionalFormatting>
  <conditionalFormatting sqref="L56:L58 L60">
    <cfRule type="containsText" dxfId="2461" priority="2692" operator="containsText" text="FAT">
      <formula>NOT(ISERROR(SEARCH("FAT",L56)))</formula>
    </cfRule>
    <cfRule type="containsText" dxfId="2460" priority="2693" operator="containsText" text="FIRE">
      <formula>NOT(ISERROR(SEARCH("FIRE",L56)))</formula>
    </cfRule>
    <cfRule type="containsText" dxfId="2459" priority="2694" operator="containsText" text="COSH">
      <formula>NOT(ISERROR(SEARCH("COSH",L56)))</formula>
    </cfRule>
  </conditionalFormatting>
  <conditionalFormatting sqref="L60">
    <cfRule type="containsText" dxfId="2458" priority="2695" operator="containsText" text="FAT">
      <formula>NOT(ISERROR(SEARCH("FAT",L60)))</formula>
    </cfRule>
    <cfRule type="containsText" dxfId="2457" priority="2696" operator="containsText" text="FIRE">
      <formula>NOT(ISERROR(SEARCH("FIRE",L60)))</formula>
    </cfRule>
    <cfRule type="containsText" dxfId="2456" priority="2697" operator="containsText" text="COSH">
      <formula>NOT(ISERROR(SEARCH("COSH",L60)))</formula>
    </cfRule>
  </conditionalFormatting>
  <conditionalFormatting sqref="L57:L58">
    <cfRule type="containsText" dxfId="2455" priority="2689" operator="containsText" text="FAT">
      <formula>NOT(ISERROR(SEARCH("FAT",L57)))</formula>
    </cfRule>
    <cfRule type="containsText" dxfId="2454" priority="2690" operator="containsText" text="FIRE">
      <formula>NOT(ISERROR(SEARCH("FIRE",L57)))</formula>
    </cfRule>
    <cfRule type="containsText" dxfId="2453" priority="2691" operator="containsText" text="COSH">
      <formula>NOT(ISERROR(SEARCH("COSH",L57)))</formula>
    </cfRule>
  </conditionalFormatting>
  <conditionalFormatting sqref="L54">
    <cfRule type="containsText" dxfId="2452" priority="2686" operator="containsText" text="FAT">
      <formula>NOT(ISERROR(SEARCH("FAT",L54)))</formula>
    </cfRule>
    <cfRule type="containsText" dxfId="2451" priority="2687" operator="containsText" text="FIRE">
      <formula>NOT(ISERROR(SEARCH("FIRE",L54)))</formula>
    </cfRule>
    <cfRule type="containsText" dxfId="2450" priority="2688" operator="containsText" text="COSH">
      <formula>NOT(ISERROR(SEARCH("COSH",L54)))</formula>
    </cfRule>
  </conditionalFormatting>
  <conditionalFormatting sqref="L54">
    <cfRule type="cellIs" dxfId="2449" priority="2684" operator="between">
      <formula>1</formula>
      <formula>3</formula>
    </cfRule>
  </conditionalFormatting>
  <conditionalFormatting sqref="L56:L58 L60">
    <cfRule type="cellIs" dxfId="2448" priority="2685" operator="between">
      <formula>1</formula>
      <formula>3</formula>
    </cfRule>
  </conditionalFormatting>
  <conditionalFormatting sqref="L57:L58">
    <cfRule type="containsText" dxfId="2447" priority="2681" operator="containsText" text="FAT">
      <formula>NOT(ISERROR(SEARCH("FAT",L57)))</formula>
    </cfRule>
    <cfRule type="containsText" dxfId="2446" priority="2682" operator="containsText" text="FIRE">
      <formula>NOT(ISERROR(SEARCH("FIRE",L57)))</formula>
    </cfRule>
    <cfRule type="containsText" dxfId="2445" priority="2683" operator="containsText" text="COSH">
      <formula>NOT(ISERROR(SEARCH("COSH",L57)))</formula>
    </cfRule>
  </conditionalFormatting>
  <conditionalFormatting sqref="L54">
    <cfRule type="containsText" dxfId="2444" priority="2678" operator="containsText" text="FAT">
      <formula>NOT(ISERROR(SEARCH("FAT",L54)))</formula>
    </cfRule>
    <cfRule type="containsText" dxfId="2443" priority="2679" operator="containsText" text="FIRE">
      <formula>NOT(ISERROR(SEARCH("FIRE",L54)))</formula>
    </cfRule>
    <cfRule type="containsText" dxfId="2442" priority="2680" operator="containsText" text="COSH">
      <formula>NOT(ISERROR(SEARCH("COSH",L54)))</formula>
    </cfRule>
  </conditionalFormatting>
  <conditionalFormatting sqref="L56:L58 L60">
    <cfRule type="containsText" dxfId="2441" priority="2675" operator="containsText" text="FAT">
      <formula>NOT(ISERROR(SEARCH("FAT",L56)))</formula>
    </cfRule>
    <cfRule type="containsText" dxfId="2440" priority="2676" operator="containsText" text="FIRE">
      <formula>NOT(ISERROR(SEARCH("FIRE",L56)))</formula>
    </cfRule>
    <cfRule type="containsText" dxfId="2439" priority="2677" operator="containsText" text="COSH">
      <formula>NOT(ISERROR(SEARCH("COSH",L56)))</formula>
    </cfRule>
  </conditionalFormatting>
  <conditionalFormatting sqref="L54 L56:L58 L60">
    <cfRule type="cellIs" dxfId="2438" priority="2674" operator="equal">
      <formula>0</formula>
    </cfRule>
  </conditionalFormatting>
  <conditionalFormatting sqref="L56:L58 L60">
    <cfRule type="containsText" dxfId="2437" priority="2671" operator="containsText" text="FAT">
      <formula>NOT(ISERROR(SEARCH("FAT",L56)))</formula>
    </cfRule>
    <cfRule type="containsText" dxfId="2436" priority="2672" operator="containsText" text="FIRE">
      <formula>NOT(ISERROR(SEARCH("FIRE",L56)))</formula>
    </cfRule>
    <cfRule type="containsText" dxfId="2435" priority="2673" operator="containsText" text="COSH">
      <formula>NOT(ISERROR(SEARCH("COSH",L56)))</formula>
    </cfRule>
  </conditionalFormatting>
  <conditionalFormatting sqref="L56:L58 L60">
    <cfRule type="containsText" dxfId="2434" priority="2668" operator="containsText" text="FAT">
      <formula>NOT(ISERROR(SEARCH("FAT",L56)))</formula>
    </cfRule>
    <cfRule type="containsText" dxfId="2433" priority="2669" operator="containsText" text="FIRE">
      <formula>NOT(ISERROR(SEARCH("FIRE",L56)))</formula>
    </cfRule>
    <cfRule type="containsText" dxfId="2432" priority="2670" operator="containsText" text="COSH">
      <formula>NOT(ISERROR(SEARCH("COSH",L56)))</formula>
    </cfRule>
  </conditionalFormatting>
  <conditionalFormatting sqref="L55">
    <cfRule type="containsText" dxfId="2431" priority="2665" operator="containsText" text="FAT">
      <formula>NOT(ISERROR(SEARCH("FAT",L55)))</formula>
    </cfRule>
    <cfRule type="containsText" dxfId="2430" priority="2666" operator="containsText" text="FIRE">
      <formula>NOT(ISERROR(SEARCH("FIRE",L55)))</formula>
    </cfRule>
    <cfRule type="containsText" dxfId="2429" priority="2667" operator="containsText" text="COSH">
      <formula>NOT(ISERROR(SEARCH("COSH",L55)))</formula>
    </cfRule>
  </conditionalFormatting>
  <conditionalFormatting sqref="L55">
    <cfRule type="cellIs" dxfId="2428" priority="2664" operator="between">
      <formula>1</formula>
      <formula>3</formula>
    </cfRule>
  </conditionalFormatting>
  <conditionalFormatting sqref="L55">
    <cfRule type="cellIs" dxfId="2427" priority="2663" operator="equal">
      <formula>0</formula>
    </cfRule>
  </conditionalFormatting>
  <conditionalFormatting sqref="L55">
    <cfRule type="containsText" dxfId="2426" priority="2660" operator="containsText" text="FAT">
      <formula>NOT(ISERROR(SEARCH("FAT",L55)))</formula>
    </cfRule>
    <cfRule type="containsText" dxfId="2425" priority="2661" operator="containsText" text="FIRE">
      <formula>NOT(ISERROR(SEARCH("FIRE",L55)))</formula>
    </cfRule>
    <cfRule type="containsText" dxfId="2424" priority="2662" operator="containsText" text="COSH">
      <formula>NOT(ISERROR(SEARCH("COSH",L55)))</formula>
    </cfRule>
  </conditionalFormatting>
  <conditionalFormatting sqref="S41:S44">
    <cfRule type="containsText" dxfId="2423" priority="2654" operator="containsText" text="FAT">
      <formula>NOT(ISERROR(SEARCH("FAT",S41)))</formula>
    </cfRule>
    <cfRule type="containsText" dxfId="2422" priority="2655" operator="containsText" text="FIRE">
      <formula>NOT(ISERROR(SEARCH("FIRE",S41)))</formula>
    </cfRule>
    <cfRule type="containsText" dxfId="2421" priority="2656" operator="containsText" text="COSH">
      <formula>NOT(ISERROR(SEARCH("COSH",S41)))</formula>
    </cfRule>
  </conditionalFormatting>
  <conditionalFormatting sqref="S44">
    <cfRule type="containsText" dxfId="2420" priority="2657" operator="containsText" text="FAT">
      <formula>NOT(ISERROR(SEARCH("FAT",S44)))</formula>
    </cfRule>
    <cfRule type="containsText" dxfId="2419" priority="2658" operator="containsText" text="FIRE">
      <formula>NOT(ISERROR(SEARCH("FIRE",S44)))</formula>
    </cfRule>
    <cfRule type="containsText" dxfId="2418" priority="2659" operator="containsText" text="COSH">
      <formula>NOT(ISERROR(SEARCH("COSH",S44)))</formula>
    </cfRule>
  </conditionalFormatting>
  <conditionalFormatting sqref="S42:S43">
    <cfRule type="containsText" dxfId="2417" priority="2651" operator="containsText" text="FAT">
      <formula>NOT(ISERROR(SEARCH("FAT",S42)))</formula>
    </cfRule>
    <cfRule type="containsText" dxfId="2416" priority="2652" operator="containsText" text="FIRE">
      <formula>NOT(ISERROR(SEARCH("FIRE",S42)))</formula>
    </cfRule>
    <cfRule type="containsText" dxfId="2415" priority="2653" operator="containsText" text="COSH">
      <formula>NOT(ISERROR(SEARCH("COSH",S42)))</formula>
    </cfRule>
  </conditionalFormatting>
  <conditionalFormatting sqref="S40">
    <cfRule type="containsText" dxfId="2414" priority="2648" operator="containsText" text="FAT">
      <formula>NOT(ISERROR(SEARCH("FAT",S40)))</formula>
    </cfRule>
    <cfRule type="containsText" dxfId="2413" priority="2649" operator="containsText" text="FIRE">
      <formula>NOT(ISERROR(SEARCH("FIRE",S40)))</formula>
    </cfRule>
    <cfRule type="containsText" dxfId="2412" priority="2650" operator="containsText" text="COSH">
      <formula>NOT(ISERROR(SEARCH("COSH",S40)))</formula>
    </cfRule>
  </conditionalFormatting>
  <conditionalFormatting sqref="S40">
    <cfRule type="cellIs" dxfId="2411" priority="2646" operator="between">
      <formula>1</formula>
      <formula>3</formula>
    </cfRule>
  </conditionalFormatting>
  <conditionalFormatting sqref="S41:S44">
    <cfRule type="cellIs" dxfId="2410" priority="2647" operator="between">
      <formula>1</formula>
      <formula>3</formula>
    </cfRule>
  </conditionalFormatting>
  <conditionalFormatting sqref="S42:S43">
    <cfRule type="containsText" dxfId="2409" priority="2643" operator="containsText" text="FAT">
      <formula>NOT(ISERROR(SEARCH("FAT",S42)))</formula>
    </cfRule>
    <cfRule type="containsText" dxfId="2408" priority="2644" operator="containsText" text="FIRE">
      <formula>NOT(ISERROR(SEARCH("FIRE",S42)))</formula>
    </cfRule>
    <cfRule type="containsText" dxfId="2407" priority="2645" operator="containsText" text="COSH">
      <formula>NOT(ISERROR(SEARCH("COSH",S42)))</formula>
    </cfRule>
  </conditionalFormatting>
  <conditionalFormatting sqref="S40">
    <cfRule type="containsText" dxfId="2406" priority="2640" operator="containsText" text="FAT">
      <formula>NOT(ISERROR(SEARCH("FAT",S40)))</formula>
    </cfRule>
    <cfRule type="containsText" dxfId="2405" priority="2641" operator="containsText" text="FIRE">
      <formula>NOT(ISERROR(SEARCH("FIRE",S40)))</formula>
    </cfRule>
    <cfRule type="containsText" dxfId="2404" priority="2642" operator="containsText" text="COSH">
      <formula>NOT(ISERROR(SEARCH("COSH",S40)))</formula>
    </cfRule>
  </conditionalFormatting>
  <conditionalFormatting sqref="S41:S44">
    <cfRule type="containsText" dxfId="2403" priority="2637" operator="containsText" text="FAT">
      <formula>NOT(ISERROR(SEARCH("FAT",S41)))</formula>
    </cfRule>
    <cfRule type="containsText" dxfId="2402" priority="2638" operator="containsText" text="FIRE">
      <formula>NOT(ISERROR(SEARCH("FIRE",S41)))</formula>
    </cfRule>
    <cfRule type="containsText" dxfId="2401" priority="2639" operator="containsText" text="COSH">
      <formula>NOT(ISERROR(SEARCH("COSH",S41)))</formula>
    </cfRule>
  </conditionalFormatting>
  <conditionalFormatting sqref="S40:S44">
    <cfRule type="cellIs" dxfId="2400" priority="2636" operator="equal">
      <formula>0</formula>
    </cfRule>
  </conditionalFormatting>
  <conditionalFormatting sqref="S41:S44">
    <cfRule type="containsText" dxfId="2399" priority="2633" operator="containsText" text="FAT">
      <formula>NOT(ISERROR(SEARCH("FAT",S41)))</formula>
    </cfRule>
    <cfRule type="containsText" dxfId="2398" priority="2634" operator="containsText" text="FIRE">
      <formula>NOT(ISERROR(SEARCH("FIRE",S41)))</formula>
    </cfRule>
    <cfRule type="containsText" dxfId="2397" priority="2635" operator="containsText" text="COSH">
      <formula>NOT(ISERROR(SEARCH("COSH",S41)))</formula>
    </cfRule>
  </conditionalFormatting>
  <conditionalFormatting sqref="S41:S44">
    <cfRule type="containsText" dxfId="2396" priority="2630" operator="containsText" text="FAT">
      <formula>NOT(ISERROR(SEARCH("FAT",S41)))</formula>
    </cfRule>
    <cfRule type="containsText" dxfId="2395" priority="2631" operator="containsText" text="FIRE">
      <formula>NOT(ISERROR(SEARCH("FIRE",S41)))</formula>
    </cfRule>
    <cfRule type="containsText" dxfId="2394" priority="2632" operator="containsText" text="COSH">
      <formula>NOT(ISERROR(SEARCH("COSH",S41)))</formula>
    </cfRule>
  </conditionalFormatting>
  <conditionalFormatting sqref="S49:S50">
    <cfRule type="containsText" dxfId="2393" priority="2624" operator="containsText" text="FAT">
      <formula>NOT(ISERROR(SEARCH("FAT",S49)))</formula>
    </cfRule>
    <cfRule type="containsText" dxfId="2392" priority="2625" operator="containsText" text="FIRE">
      <formula>NOT(ISERROR(SEARCH("FIRE",S49)))</formula>
    </cfRule>
    <cfRule type="containsText" dxfId="2391" priority="2626" operator="containsText" text="COSH">
      <formula>NOT(ISERROR(SEARCH("COSH",S49)))</formula>
    </cfRule>
  </conditionalFormatting>
  <conditionalFormatting sqref="S50">
    <cfRule type="containsText" dxfId="2390" priority="2627" operator="containsText" text="FAT">
      <formula>NOT(ISERROR(SEARCH("FAT",S50)))</formula>
    </cfRule>
    <cfRule type="containsText" dxfId="2389" priority="2628" operator="containsText" text="FIRE">
      <formula>NOT(ISERROR(SEARCH("FIRE",S50)))</formula>
    </cfRule>
    <cfRule type="containsText" dxfId="2388" priority="2629" operator="containsText" text="COSH">
      <formula>NOT(ISERROR(SEARCH("COSH",S50)))</formula>
    </cfRule>
  </conditionalFormatting>
  <conditionalFormatting sqref="S49">
    <cfRule type="containsText" dxfId="2387" priority="2621" operator="containsText" text="FAT">
      <formula>NOT(ISERROR(SEARCH("FAT",S49)))</formula>
    </cfRule>
    <cfRule type="containsText" dxfId="2386" priority="2622" operator="containsText" text="FIRE">
      <formula>NOT(ISERROR(SEARCH("FIRE",S49)))</formula>
    </cfRule>
    <cfRule type="containsText" dxfId="2385" priority="2623" operator="containsText" text="COSH">
      <formula>NOT(ISERROR(SEARCH("COSH",S49)))</formula>
    </cfRule>
  </conditionalFormatting>
  <conditionalFormatting sqref="S45">
    <cfRule type="containsText" dxfId="2384" priority="2618" operator="containsText" text="FAT">
      <formula>NOT(ISERROR(SEARCH("FAT",S45)))</formula>
    </cfRule>
    <cfRule type="containsText" dxfId="2383" priority="2619" operator="containsText" text="FIRE">
      <formula>NOT(ISERROR(SEARCH("FIRE",S45)))</formula>
    </cfRule>
    <cfRule type="containsText" dxfId="2382" priority="2620" operator="containsText" text="COSH">
      <formula>NOT(ISERROR(SEARCH("COSH",S45)))</formula>
    </cfRule>
  </conditionalFormatting>
  <conditionalFormatting sqref="S45">
    <cfRule type="cellIs" dxfId="2381" priority="2616" operator="between">
      <formula>1</formula>
      <formula>3</formula>
    </cfRule>
  </conditionalFormatting>
  <conditionalFormatting sqref="S49:S50">
    <cfRule type="cellIs" dxfId="2380" priority="2617" operator="between">
      <formula>1</formula>
      <formula>3</formula>
    </cfRule>
  </conditionalFormatting>
  <conditionalFormatting sqref="S49">
    <cfRule type="containsText" dxfId="2379" priority="2613" operator="containsText" text="FAT">
      <formula>NOT(ISERROR(SEARCH("FAT",S49)))</formula>
    </cfRule>
    <cfRule type="containsText" dxfId="2378" priority="2614" operator="containsText" text="FIRE">
      <formula>NOT(ISERROR(SEARCH("FIRE",S49)))</formula>
    </cfRule>
    <cfRule type="containsText" dxfId="2377" priority="2615" operator="containsText" text="COSH">
      <formula>NOT(ISERROR(SEARCH("COSH",S49)))</formula>
    </cfRule>
  </conditionalFormatting>
  <conditionalFormatting sqref="S45">
    <cfRule type="containsText" dxfId="2376" priority="2610" operator="containsText" text="FAT">
      <formula>NOT(ISERROR(SEARCH("FAT",S45)))</formula>
    </cfRule>
    <cfRule type="containsText" dxfId="2375" priority="2611" operator="containsText" text="FIRE">
      <formula>NOT(ISERROR(SEARCH("FIRE",S45)))</formula>
    </cfRule>
    <cfRule type="containsText" dxfId="2374" priority="2612" operator="containsText" text="COSH">
      <formula>NOT(ISERROR(SEARCH("COSH",S45)))</formula>
    </cfRule>
  </conditionalFormatting>
  <conditionalFormatting sqref="S49:S50">
    <cfRule type="containsText" dxfId="2373" priority="2607" operator="containsText" text="FAT">
      <formula>NOT(ISERROR(SEARCH("FAT",S49)))</formula>
    </cfRule>
    <cfRule type="containsText" dxfId="2372" priority="2608" operator="containsText" text="FIRE">
      <formula>NOT(ISERROR(SEARCH("FIRE",S49)))</formula>
    </cfRule>
    <cfRule type="containsText" dxfId="2371" priority="2609" operator="containsText" text="COSH">
      <formula>NOT(ISERROR(SEARCH("COSH",S49)))</formula>
    </cfRule>
  </conditionalFormatting>
  <conditionalFormatting sqref="S45 S49:S50">
    <cfRule type="cellIs" dxfId="2370" priority="2606" operator="equal">
      <formula>0</formula>
    </cfRule>
  </conditionalFormatting>
  <conditionalFormatting sqref="S49:S50">
    <cfRule type="containsText" dxfId="2369" priority="2603" operator="containsText" text="FAT">
      <formula>NOT(ISERROR(SEARCH("FAT",S49)))</formula>
    </cfRule>
    <cfRule type="containsText" dxfId="2368" priority="2604" operator="containsText" text="FIRE">
      <formula>NOT(ISERROR(SEARCH("FIRE",S49)))</formula>
    </cfRule>
    <cfRule type="containsText" dxfId="2367" priority="2605" operator="containsText" text="COSH">
      <formula>NOT(ISERROR(SEARCH("COSH",S49)))</formula>
    </cfRule>
  </conditionalFormatting>
  <conditionalFormatting sqref="S49:S50">
    <cfRule type="containsText" dxfId="2366" priority="2600" operator="containsText" text="FAT">
      <formula>NOT(ISERROR(SEARCH("FAT",S49)))</formula>
    </cfRule>
    <cfRule type="containsText" dxfId="2365" priority="2601" operator="containsText" text="FIRE">
      <formula>NOT(ISERROR(SEARCH("FIRE",S49)))</formula>
    </cfRule>
    <cfRule type="containsText" dxfId="2364" priority="2602" operator="containsText" text="COSH">
      <formula>NOT(ISERROR(SEARCH("COSH",S49)))</formula>
    </cfRule>
  </conditionalFormatting>
  <conditionalFormatting sqref="S46">
    <cfRule type="containsText" dxfId="2363" priority="2597" operator="containsText" text="FAT">
      <formula>NOT(ISERROR(SEARCH("FAT",S46)))</formula>
    </cfRule>
    <cfRule type="containsText" dxfId="2362" priority="2598" operator="containsText" text="FIRE">
      <formula>NOT(ISERROR(SEARCH("FIRE",S46)))</formula>
    </cfRule>
    <cfRule type="containsText" dxfId="2361" priority="2599" operator="containsText" text="COSH">
      <formula>NOT(ISERROR(SEARCH("COSH",S46)))</formula>
    </cfRule>
  </conditionalFormatting>
  <conditionalFormatting sqref="S46">
    <cfRule type="cellIs" dxfId="2360" priority="2596" operator="between">
      <formula>1</formula>
      <formula>3</formula>
    </cfRule>
  </conditionalFormatting>
  <conditionalFormatting sqref="S46">
    <cfRule type="cellIs" dxfId="2359" priority="2595" operator="equal">
      <formula>0</formula>
    </cfRule>
  </conditionalFormatting>
  <conditionalFormatting sqref="S46">
    <cfRule type="containsText" dxfId="2358" priority="2592" operator="containsText" text="FAT">
      <formula>NOT(ISERROR(SEARCH("FAT",S46)))</formula>
    </cfRule>
    <cfRule type="containsText" dxfId="2357" priority="2593" operator="containsText" text="FIRE">
      <formula>NOT(ISERROR(SEARCH("FIRE",S46)))</formula>
    </cfRule>
    <cfRule type="containsText" dxfId="2356" priority="2594" operator="containsText" text="COSH">
      <formula>NOT(ISERROR(SEARCH("COSH",S46)))</formula>
    </cfRule>
  </conditionalFormatting>
  <conditionalFormatting sqref="S51">
    <cfRule type="containsText" dxfId="2355" priority="2589" operator="containsText" text="FAT">
      <formula>NOT(ISERROR(SEARCH("FAT",S51)))</formula>
    </cfRule>
    <cfRule type="containsText" dxfId="2354" priority="2590" operator="containsText" text="FIRE">
      <formula>NOT(ISERROR(SEARCH("FIRE",S51)))</formula>
    </cfRule>
    <cfRule type="containsText" dxfId="2353" priority="2591" operator="containsText" text="COSH">
      <formula>NOT(ISERROR(SEARCH("COSH",S51)))</formula>
    </cfRule>
  </conditionalFormatting>
  <conditionalFormatting sqref="S51">
    <cfRule type="cellIs" dxfId="2352" priority="2588" operator="between">
      <formula>1</formula>
      <formula>3</formula>
    </cfRule>
  </conditionalFormatting>
  <conditionalFormatting sqref="S51">
    <cfRule type="containsText" dxfId="2351" priority="2585" operator="containsText" text="FAT">
      <formula>NOT(ISERROR(SEARCH("FAT",S51)))</formula>
    </cfRule>
    <cfRule type="containsText" dxfId="2350" priority="2586" operator="containsText" text="FIRE">
      <formula>NOT(ISERROR(SEARCH("FIRE",S51)))</formula>
    </cfRule>
    <cfRule type="containsText" dxfId="2349" priority="2587" operator="containsText" text="COSH">
      <formula>NOT(ISERROR(SEARCH("COSH",S51)))</formula>
    </cfRule>
  </conditionalFormatting>
  <conditionalFormatting sqref="S51">
    <cfRule type="cellIs" dxfId="2348" priority="2584" operator="equal">
      <formula>0</formula>
    </cfRule>
  </conditionalFormatting>
  <conditionalFormatting sqref="S56 S60">
    <cfRule type="containsText" dxfId="2347" priority="2578" operator="containsText" text="FAT">
      <formula>NOT(ISERROR(SEARCH("FAT",S56)))</formula>
    </cfRule>
    <cfRule type="containsText" dxfId="2346" priority="2579" operator="containsText" text="FIRE">
      <formula>NOT(ISERROR(SEARCH("FIRE",S56)))</formula>
    </cfRule>
    <cfRule type="containsText" dxfId="2345" priority="2580" operator="containsText" text="COSH">
      <formula>NOT(ISERROR(SEARCH("COSH",S56)))</formula>
    </cfRule>
  </conditionalFormatting>
  <conditionalFormatting sqref="S60">
    <cfRule type="containsText" dxfId="2344" priority="2581" operator="containsText" text="FAT">
      <formula>NOT(ISERROR(SEARCH("FAT",S60)))</formula>
    </cfRule>
    <cfRule type="containsText" dxfId="2343" priority="2582" operator="containsText" text="FIRE">
      <formula>NOT(ISERROR(SEARCH("FIRE",S60)))</formula>
    </cfRule>
    <cfRule type="containsText" dxfId="2342" priority="2583" operator="containsText" text="COSH">
      <formula>NOT(ISERROR(SEARCH("COSH",S60)))</formula>
    </cfRule>
  </conditionalFormatting>
  <conditionalFormatting sqref="S56 S60">
    <cfRule type="cellIs" dxfId="2341" priority="2577" operator="between">
      <formula>1</formula>
      <formula>3</formula>
    </cfRule>
  </conditionalFormatting>
  <conditionalFormatting sqref="S56 S60">
    <cfRule type="containsText" dxfId="2340" priority="2574" operator="containsText" text="FAT">
      <formula>NOT(ISERROR(SEARCH("FAT",S56)))</formula>
    </cfRule>
    <cfRule type="containsText" dxfId="2339" priority="2575" operator="containsText" text="FIRE">
      <formula>NOT(ISERROR(SEARCH("FIRE",S56)))</formula>
    </cfRule>
    <cfRule type="containsText" dxfId="2338" priority="2576" operator="containsText" text="COSH">
      <formula>NOT(ISERROR(SEARCH("COSH",S56)))</formula>
    </cfRule>
  </conditionalFormatting>
  <conditionalFormatting sqref="S56 S60">
    <cfRule type="cellIs" dxfId="2337" priority="2573" operator="equal">
      <formula>0</formula>
    </cfRule>
  </conditionalFormatting>
  <conditionalFormatting sqref="S56 S60">
    <cfRule type="containsText" dxfId="2336" priority="2570" operator="containsText" text="FAT">
      <formula>NOT(ISERROR(SEARCH("FAT",S56)))</formula>
    </cfRule>
    <cfRule type="containsText" dxfId="2335" priority="2571" operator="containsText" text="FIRE">
      <formula>NOT(ISERROR(SEARCH("FIRE",S56)))</formula>
    </cfRule>
    <cfRule type="containsText" dxfId="2334" priority="2572" operator="containsText" text="COSH">
      <formula>NOT(ISERROR(SEARCH("COSH",S56)))</formula>
    </cfRule>
  </conditionalFormatting>
  <conditionalFormatting sqref="S56 S60">
    <cfRule type="containsText" dxfId="2333" priority="2567" operator="containsText" text="FAT">
      <formula>NOT(ISERROR(SEARCH("FAT",S56)))</formula>
    </cfRule>
    <cfRule type="containsText" dxfId="2332" priority="2568" operator="containsText" text="FIRE">
      <formula>NOT(ISERROR(SEARCH("FIRE",S56)))</formula>
    </cfRule>
    <cfRule type="containsText" dxfId="2331" priority="2569" operator="containsText" text="COSH">
      <formula>NOT(ISERROR(SEARCH("COSH",S56)))</formula>
    </cfRule>
  </conditionalFormatting>
  <conditionalFormatting sqref="Z41:Z44">
    <cfRule type="containsText" dxfId="2330" priority="2561" operator="containsText" text="FAT">
      <formula>NOT(ISERROR(SEARCH("FAT",Z41)))</formula>
    </cfRule>
    <cfRule type="containsText" dxfId="2329" priority="2562" operator="containsText" text="FIRE">
      <formula>NOT(ISERROR(SEARCH("FIRE",Z41)))</formula>
    </cfRule>
    <cfRule type="containsText" dxfId="2328" priority="2563" operator="containsText" text="COSH">
      <formula>NOT(ISERROR(SEARCH("COSH",Z41)))</formula>
    </cfRule>
  </conditionalFormatting>
  <conditionalFormatting sqref="Z44">
    <cfRule type="containsText" dxfId="2327" priority="2564" operator="containsText" text="FAT">
      <formula>NOT(ISERROR(SEARCH("FAT",Z44)))</formula>
    </cfRule>
    <cfRule type="containsText" dxfId="2326" priority="2565" operator="containsText" text="FIRE">
      <formula>NOT(ISERROR(SEARCH("FIRE",Z44)))</formula>
    </cfRule>
    <cfRule type="containsText" dxfId="2325" priority="2566" operator="containsText" text="COSH">
      <formula>NOT(ISERROR(SEARCH("COSH",Z44)))</formula>
    </cfRule>
  </conditionalFormatting>
  <conditionalFormatting sqref="Z42:Z43">
    <cfRule type="containsText" dxfId="2324" priority="2558" operator="containsText" text="FAT">
      <formula>NOT(ISERROR(SEARCH("FAT",Z42)))</formula>
    </cfRule>
    <cfRule type="containsText" dxfId="2323" priority="2559" operator="containsText" text="FIRE">
      <formula>NOT(ISERROR(SEARCH("FIRE",Z42)))</formula>
    </cfRule>
    <cfRule type="containsText" dxfId="2322" priority="2560" operator="containsText" text="COSH">
      <formula>NOT(ISERROR(SEARCH("COSH",Z42)))</formula>
    </cfRule>
  </conditionalFormatting>
  <conditionalFormatting sqref="Z39">
    <cfRule type="containsText" dxfId="2321" priority="2555" operator="containsText" text="FAT">
      <formula>NOT(ISERROR(SEARCH("FAT",Z39)))</formula>
    </cfRule>
    <cfRule type="containsText" dxfId="2320" priority="2556" operator="containsText" text="FIRE">
      <formula>NOT(ISERROR(SEARCH("FIRE",Z39)))</formula>
    </cfRule>
    <cfRule type="containsText" dxfId="2319" priority="2557" operator="containsText" text="COSH">
      <formula>NOT(ISERROR(SEARCH("COSH",Z39)))</formula>
    </cfRule>
  </conditionalFormatting>
  <conditionalFormatting sqref="Z39">
    <cfRule type="cellIs" dxfId="2318" priority="2553" operator="between">
      <formula>1</formula>
      <formula>3</formula>
    </cfRule>
  </conditionalFormatting>
  <conditionalFormatting sqref="Z41:Z44">
    <cfRule type="cellIs" dxfId="2317" priority="2554" operator="between">
      <formula>1</formula>
      <formula>3</formula>
    </cfRule>
  </conditionalFormatting>
  <conditionalFormatting sqref="Z42:Z43">
    <cfRule type="containsText" dxfId="2316" priority="2550" operator="containsText" text="FAT">
      <formula>NOT(ISERROR(SEARCH("FAT",Z42)))</formula>
    </cfRule>
    <cfRule type="containsText" dxfId="2315" priority="2551" operator="containsText" text="FIRE">
      <formula>NOT(ISERROR(SEARCH("FIRE",Z42)))</formula>
    </cfRule>
    <cfRule type="containsText" dxfId="2314" priority="2552" operator="containsText" text="COSH">
      <formula>NOT(ISERROR(SEARCH("COSH",Z42)))</formula>
    </cfRule>
  </conditionalFormatting>
  <conditionalFormatting sqref="Z39">
    <cfRule type="containsText" dxfId="2313" priority="2547" operator="containsText" text="FAT">
      <formula>NOT(ISERROR(SEARCH("FAT",Z39)))</formula>
    </cfRule>
    <cfRule type="containsText" dxfId="2312" priority="2548" operator="containsText" text="FIRE">
      <formula>NOT(ISERROR(SEARCH("FIRE",Z39)))</formula>
    </cfRule>
    <cfRule type="containsText" dxfId="2311" priority="2549" operator="containsText" text="COSH">
      <formula>NOT(ISERROR(SEARCH("COSH",Z39)))</formula>
    </cfRule>
  </conditionalFormatting>
  <conditionalFormatting sqref="Z41:Z44">
    <cfRule type="containsText" dxfId="2310" priority="2544" operator="containsText" text="FAT">
      <formula>NOT(ISERROR(SEARCH("FAT",Z41)))</formula>
    </cfRule>
    <cfRule type="containsText" dxfId="2309" priority="2545" operator="containsText" text="FIRE">
      <formula>NOT(ISERROR(SEARCH("FIRE",Z41)))</formula>
    </cfRule>
    <cfRule type="containsText" dxfId="2308" priority="2546" operator="containsText" text="COSH">
      <formula>NOT(ISERROR(SEARCH("COSH",Z41)))</formula>
    </cfRule>
  </conditionalFormatting>
  <conditionalFormatting sqref="Z39 Z41:Z44">
    <cfRule type="cellIs" dxfId="2307" priority="2543" operator="equal">
      <formula>0</formula>
    </cfRule>
  </conditionalFormatting>
  <conditionalFormatting sqref="Z41:Z44">
    <cfRule type="containsText" dxfId="2306" priority="2540" operator="containsText" text="FAT">
      <formula>NOT(ISERROR(SEARCH("FAT",Z41)))</formula>
    </cfRule>
    <cfRule type="containsText" dxfId="2305" priority="2541" operator="containsText" text="FIRE">
      <formula>NOT(ISERROR(SEARCH("FIRE",Z41)))</formula>
    </cfRule>
    <cfRule type="containsText" dxfId="2304" priority="2542" operator="containsText" text="COSH">
      <formula>NOT(ISERROR(SEARCH("COSH",Z41)))</formula>
    </cfRule>
  </conditionalFormatting>
  <conditionalFormatting sqref="Z41:Z44">
    <cfRule type="containsText" dxfId="2303" priority="2537" operator="containsText" text="FAT">
      <formula>NOT(ISERROR(SEARCH("FAT",Z41)))</formula>
    </cfRule>
    <cfRule type="containsText" dxfId="2302" priority="2538" operator="containsText" text="FIRE">
      <formula>NOT(ISERROR(SEARCH("FIRE",Z41)))</formula>
    </cfRule>
    <cfRule type="containsText" dxfId="2301" priority="2539" operator="containsText" text="COSH">
      <formula>NOT(ISERROR(SEARCH("COSH",Z41)))</formula>
    </cfRule>
  </conditionalFormatting>
  <conditionalFormatting sqref="Z40">
    <cfRule type="containsText" dxfId="2300" priority="2534" operator="containsText" text="FAT">
      <formula>NOT(ISERROR(SEARCH("FAT",Z40)))</formula>
    </cfRule>
    <cfRule type="containsText" dxfId="2299" priority="2535" operator="containsText" text="FIRE">
      <formula>NOT(ISERROR(SEARCH("FIRE",Z40)))</formula>
    </cfRule>
    <cfRule type="containsText" dxfId="2298" priority="2536" operator="containsText" text="COSH">
      <formula>NOT(ISERROR(SEARCH("COSH",Z40)))</formula>
    </cfRule>
  </conditionalFormatting>
  <conditionalFormatting sqref="Z40">
    <cfRule type="cellIs" dxfId="2297" priority="2533" operator="between">
      <formula>1</formula>
      <formula>3</formula>
    </cfRule>
  </conditionalFormatting>
  <conditionalFormatting sqref="Z40">
    <cfRule type="cellIs" dxfId="2296" priority="2532" operator="equal">
      <formula>0</formula>
    </cfRule>
  </conditionalFormatting>
  <conditionalFormatting sqref="Z40">
    <cfRule type="containsText" dxfId="2295" priority="2529" operator="containsText" text="FAT">
      <formula>NOT(ISERROR(SEARCH("FAT",Z40)))</formula>
    </cfRule>
    <cfRule type="containsText" dxfId="2294" priority="2530" operator="containsText" text="FIRE">
      <formula>NOT(ISERROR(SEARCH("FIRE",Z40)))</formula>
    </cfRule>
    <cfRule type="containsText" dxfId="2293" priority="2531" operator="containsText" text="COSH">
      <formula>NOT(ISERROR(SEARCH("COSH",Z40)))</formula>
    </cfRule>
  </conditionalFormatting>
  <conditionalFormatting sqref="Z47:Z50">
    <cfRule type="containsText" dxfId="2292" priority="2523" operator="containsText" text="FAT">
      <formula>NOT(ISERROR(SEARCH("FAT",Z47)))</formula>
    </cfRule>
    <cfRule type="containsText" dxfId="2291" priority="2524" operator="containsText" text="FIRE">
      <formula>NOT(ISERROR(SEARCH("FIRE",Z47)))</formula>
    </cfRule>
    <cfRule type="containsText" dxfId="2290" priority="2525" operator="containsText" text="COSH">
      <formula>NOT(ISERROR(SEARCH("COSH",Z47)))</formula>
    </cfRule>
  </conditionalFormatting>
  <conditionalFormatting sqref="Z50">
    <cfRule type="containsText" dxfId="2289" priority="2526" operator="containsText" text="FAT">
      <formula>NOT(ISERROR(SEARCH("FAT",Z50)))</formula>
    </cfRule>
    <cfRule type="containsText" dxfId="2288" priority="2527" operator="containsText" text="FIRE">
      <formula>NOT(ISERROR(SEARCH("FIRE",Z50)))</formula>
    </cfRule>
    <cfRule type="containsText" dxfId="2287" priority="2528" operator="containsText" text="COSH">
      <formula>NOT(ISERROR(SEARCH("COSH",Z50)))</formula>
    </cfRule>
  </conditionalFormatting>
  <conditionalFormatting sqref="Z48:Z49">
    <cfRule type="containsText" dxfId="2286" priority="2520" operator="containsText" text="FAT">
      <formula>NOT(ISERROR(SEARCH("FAT",Z48)))</formula>
    </cfRule>
    <cfRule type="containsText" dxfId="2285" priority="2521" operator="containsText" text="FIRE">
      <formula>NOT(ISERROR(SEARCH("FIRE",Z48)))</formula>
    </cfRule>
    <cfRule type="containsText" dxfId="2284" priority="2522" operator="containsText" text="COSH">
      <formula>NOT(ISERROR(SEARCH("COSH",Z48)))</formula>
    </cfRule>
  </conditionalFormatting>
  <conditionalFormatting sqref="Z45">
    <cfRule type="containsText" dxfId="2283" priority="2517" operator="containsText" text="FAT">
      <formula>NOT(ISERROR(SEARCH("FAT",Z45)))</formula>
    </cfRule>
    <cfRule type="containsText" dxfId="2282" priority="2518" operator="containsText" text="FIRE">
      <formula>NOT(ISERROR(SEARCH("FIRE",Z45)))</formula>
    </cfRule>
    <cfRule type="containsText" dxfId="2281" priority="2519" operator="containsText" text="COSH">
      <formula>NOT(ISERROR(SEARCH("COSH",Z45)))</formula>
    </cfRule>
  </conditionalFormatting>
  <conditionalFormatting sqref="Z45">
    <cfRule type="cellIs" dxfId="2280" priority="2515" operator="between">
      <formula>1</formula>
      <formula>3</formula>
    </cfRule>
  </conditionalFormatting>
  <conditionalFormatting sqref="Z47:Z50">
    <cfRule type="cellIs" dxfId="2279" priority="2516" operator="between">
      <formula>1</formula>
      <formula>3</formula>
    </cfRule>
  </conditionalFormatting>
  <conditionalFormatting sqref="Z48:Z49">
    <cfRule type="containsText" dxfId="2278" priority="2512" operator="containsText" text="FAT">
      <formula>NOT(ISERROR(SEARCH("FAT",Z48)))</formula>
    </cfRule>
    <cfRule type="containsText" dxfId="2277" priority="2513" operator="containsText" text="FIRE">
      <formula>NOT(ISERROR(SEARCH("FIRE",Z48)))</formula>
    </cfRule>
    <cfRule type="containsText" dxfId="2276" priority="2514" operator="containsText" text="COSH">
      <formula>NOT(ISERROR(SEARCH("COSH",Z48)))</formula>
    </cfRule>
  </conditionalFormatting>
  <conditionalFormatting sqref="Z45">
    <cfRule type="containsText" dxfId="2275" priority="2509" operator="containsText" text="FAT">
      <formula>NOT(ISERROR(SEARCH("FAT",Z45)))</formula>
    </cfRule>
    <cfRule type="containsText" dxfId="2274" priority="2510" operator="containsText" text="FIRE">
      <formula>NOT(ISERROR(SEARCH("FIRE",Z45)))</formula>
    </cfRule>
    <cfRule type="containsText" dxfId="2273" priority="2511" operator="containsText" text="COSH">
      <formula>NOT(ISERROR(SEARCH("COSH",Z45)))</formula>
    </cfRule>
  </conditionalFormatting>
  <conditionalFormatting sqref="Z47:Z50">
    <cfRule type="containsText" dxfId="2272" priority="2506" operator="containsText" text="FAT">
      <formula>NOT(ISERROR(SEARCH("FAT",Z47)))</formula>
    </cfRule>
    <cfRule type="containsText" dxfId="2271" priority="2507" operator="containsText" text="FIRE">
      <formula>NOT(ISERROR(SEARCH("FIRE",Z47)))</formula>
    </cfRule>
    <cfRule type="containsText" dxfId="2270" priority="2508" operator="containsText" text="COSH">
      <formula>NOT(ISERROR(SEARCH("COSH",Z47)))</formula>
    </cfRule>
  </conditionalFormatting>
  <conditionalFormatting sqref="Z45 Z47:Z50">
    <cfRule type="cellIs" dxfId="2269" priority="2505" operator="equal">
      <formula>0</formula>
    </cfRule>
  </conditionalFormatting>
  <conditionalFormatting sqref="Z47:Z50">
    <cfRule type="containsText" dxfId="2268" priority="2502" operator="containsText" text="FAT">
      <formula>NOT(ISERROR(SEARCH("FAT",Z47)))</formula>
    </cfRule>
    <cfRule type="containsText" dxfId="2267" priority="2503" operator="containsText" text="FIRE">
      <formula>NOT(ISERROR(SEARCH("FIRE",Z47)))</formula>
    </cfRule>
    <cfRule type="containsText" dxfId="2266" priority="2504" operator="containsText" text="COSH">
      <formula>NOT(ISERROR(SEARCH("COSH",Z47)))</formula>
    </cfRule>
  </conditionalFormatting>
  <conditionalFormatting sqref="Z47:Z50">
    <cfRule type="containsText" dxfId="2265" priority="2499" operator="containsText" text="FAT">
      <formula>NOT(ISERROR(SEARCH("FAT",Z47)))</formula>
    </cfRule>
    <cfRule type="containsText" dxfId="2264" priority="2500" operator="containsText" text="FIRE">
      <formula>NOT(ISERROR(SEARCH("FIRE",Z47)))</formula>
    </cfRule>
    <cfRule type="containsText" dxfId="2263" priority="2501" operator="containsText" text="COSH">
      <formula>NOT(ISERROR(SEARCH("COSH",Z47)))</formula>
    </cfRule>
  </conditionalFormatting>
  <conditionalFormatting sqref="Z46">
    <cfRule type="containsText" dxfId="2262" priority="2496" operator="containsText" text="FAT">
      <formula>NOT(ISERROR(SEARCH("FAT",Z46)))</formula>
    </cfRule>
    <cfRule type="containsText" dxfId="2261" priority="2497" operator="containsText" text="FIRE">
      <formula>NOT(ISERROR(SEARCH("FIRE",Z46)))</formula>
    </cfRule>
    <cfRule type="containsText" dxfId="2260" priority="2498" operator="containsText" text="COSH">
      <formula>NOT(ISERROR(SEARCH("COSH",Z46)))</formula>
    </cfRule>
  </conditionalFormatting>
  <conditionalFormatting sqref="Z46">
    <cfRule type="cellIs" dxfId="2259" priority="2495" operator="between">
      <formula>1</formula>
      <formula>3</formula>
    </cfRule>
  </conditionalFormatting>
  <conditionalFormatting sqref="Z46">
    <cfRule type="cellIs" dxfId="2258" priority="2494" operator="equal">
      <formula>0</formula>
    </cfRule>
  </conditionalFormatting>
  <conditionalFormatting sqref="Z46">
    <cfRule type="containsText" dxfId="2257" priority="2491" operator="containsText" text="FAT">
      <formula>NOT(ISERROR(SEARCH("FAT",Z46)))</formula>
    </cfRule>
    <cfRule type="containsText" dxfId="2256" priority="2492" operator="containsText" text="FIRE">
      <formula>NOT(ISERROR(SEARCH("FIRE",Z46)))</formula>
    </cfRule>
    <cfRule type="containsText" dxfId="2255" priority="2493" operator="containsText" text="COSH">
      <formula>NOT(ISERROR(SEARCH("COSH",Z46)))</formula>
    </cfRule>
  </conditionalFormatting>
  <conditionalFormatting sqref="Z51">
    <cfRule type="containsText" dxfId="2254" priority="2488" operator="containsText" text="FAT">
      <formula>NOT(ISERROR(SEARCH("FAT",Z51)))</formula>
    </cfRule>
    <cfRule type="containsText" dxfId="2253" priority="2489" operator="containsText" text="FIRE">
      <formula>NOT(ISERROR(SEARCH("FIRE",Z51)))</formula>
    </cfRule>
    <cfRule type="containsText" dxfId="2252" priority="2490" operator="containsText" text="COSH">
      <formula>NOT(ISERROR(SEARCH("COSH",Z51)))</formula>
    </cfRule>
  </conditionalFormatting>
  <conditionalFormatting sqref="Z51">
    <cfRule type="cellIs" dxfId="2251" priority="2487" operator="between">
      <formula>1</formula>
      <formula>3</formula>
    </cfRule>
  </conditionalFormatting>
  <conditionalFormatting sqref="Z51">
    <cfRule type="containsText" dxfId="2250" priority="2484" operator="containsText" text="FAT">
      <formula>NOT(ISERROR(SEARCH("FAT",Z51)))</formula>
    </cfRule>
    <cfRule type="containsText" dxfId="2249" priority="2485" operator="containsText" text="FIRE">
      <formula>NOT(ISERROR(SEARCH("FIRE",Z51)))</formula>
    </cfRule>
    <cfRule type="containsText" dxfId="2248" priority="2486" operator="containsText" text="COSH">
      <formula>NOT(ISERROR(SEARCH("COSH",Z51)))</formula>
    </cfRule>
  </conditionalFormatting>
  <conditionalFormatting sqref="Z51">
    <cfRule type="cellIs" dxfId="2247" priority="2483" operator="equal">
      <formula>0</formula>
    </cfRule>
  </conditionalFormatting>
  <conditionalFormatting sqref="Z52">
    <cfRule type="containsText" dxfId="2246" priority="2480" operator="containsText" text="FAT">
      <formula>NOT(ISERROR(SEARCH("FAT",Z52)))</formula>
    </cfRule>
    <cfRule type="containsText" dxfId="2245" priority="2481" operator="containsText" text="FIRE">
      <formula>NOT(ISERROR(SEARCH("FIRE",Z52)))</formula>
    </cfRule>
    <cfRule type="containsText" dxfId="2244" priority="2482" operator="containsText" text="COSH">
      <formula>NOT(ISERROR(SEARCH("COSH",Z52)))</formula>
    </cfRule>
  </conditionalFormatting>
  <conditionalFormatting sqref="Z52">
    <cfRule type="cellIs" dxfId="2243" priority="2479" operator="between">
      <formula>1</formula>
      <formula>3</formula>
    </cfRule>
  </conditionalFormatting>
  <conditionalFormatting sqref="Z52">
    <cfRule type="cellIs" dxfId="2242" priority="2478" operator="equal">
      <formula>0</formula>
    </cfRule>
  </conditionalFormatting>
  <conditionalFormatting sqref="Z52">
    <cfRule type="containsText" dxfId="2241" priority="2475" operator="containsText" text="FAT">
      <formula>NOT(ISERROR(SEARCH("FAT",Z52)))</formula>
    </cfRule>
    <cfRule type="containsText" dxfId="2240" priority="2476" operator="containsText" text="FIRE">
      <formula>NOT(ISERROR(SEARCH("FIRE",Z52)))</formula>
    </cfRule>
    <cfRule type="containsText" dxfId="2239" priority="2477" operator="containsText" text="COSH">
      <formula>NOT(ISERROR(SEARCH("COSH",Z52)))</formula>
    </cfRule>
  </conditionalFormatting>
  <conditionalFormatting sqref="Z56 Z58 Z60">
    <cfRule type="containsText" dxfId="2238" priority="2469" operator="containsText" text="FAT">
      <formula>NOT(ISERROR(SEARCH("FAT",Z56)))</formula>
    </cfRule>
    <cfRule type="containsText" dxfId="2237" priority="2470" operator="containsText" text="FIRE">
      <formula>NOT(ISERROR(SEARCH("FIRE",Z56)))</formula>
    </cfRule>
    <cfRule type="containsText" dxfId="2236" priority="2471" operator="containsText" text="COSH">
      <formula>NOT(ISERROR(SEARCH("COSH",Z56)))</formula>
    </cfRule>
  </conditionalFormatting>
  <conditionalFormatting sqref="Z60">
    <cfRule type="containsText" dxfId="2235" priority="2472" operator="containsText" text="FAT">
      <formula>NOT(ISERROR(SEARCH("FAT",Z60)))</formula>
    </cfRule>
    <cfRule type="containsText" dxfId="2234" priority="2473" operator="containsText" text="FIRE">
      <formula>NOT(ISERROR(SEARCH("FIRE",Z60)))</formula>
    </cfRule>
    <cfRule type="containsText" dxfId="2233" priority="2474" operator="containsText" text="COSH">
      <formula>NOT(ISERROR(SEARCH("COSH",Z60)))</formula>
    </cfRule>
  </conditionalFormatting>
  <conditionalFormatting sqref="Z58">
    <cfRule type="containsText" dxfId="2232" priority="2466" operator="containsText" text="FAT">
      <formula>NOT(ISERROR(SEARCH("FAT",Z58)))</formula>
    </cfRule>
    <cfRule type="containsText" dxfId="2231" priority="2467" operator="containsText" text="FIRE">
      <formula>NOT(ISERROR(SEARCH("FIRE",Z58)))</formula>
    </cfRule>
    <cfRule type="containsText" dxfId="2230" priority="2468" operator="containsText" text="COSH">
      <formula>NOT(ISERROR(SEARCH("COSH",Z58)))</formula>
    </cfRule>
  </conditionalFormatting>
  <conditionalFormatting sqref="Z54">
    <cfRule type="containsText" dxfId="2229" priority="2463" operator="containsText" text="FAT">
      <formula>NOT(ISERROR(SEARCH("FAT",Z54)))</formula>
    </cfRule>
    <cfRule type="containsText" dxfId="2228" priority="2464" operator="containsText" text="FIRE">
      <formula>NOT(ISERROR(SEARCH("FIRE",Z54)))</formula>
    </cfRule>
    <cfRule type="containsText" dxfId="2227" priority="2465" operator="containsText" text="COSH">
      <formula>NOT(ISERROR(SEARCH("COSH",Z54)))</formula>
    </cfRule>
  </conditionalFormatting>
  <conditionalFormatting sqref="Z54">
    <cfRule type="cellIs" dxfId="2226" priority="2461" operator="between">
      <formula>1</formula>
      <formula>3</formula>
    </cfRule>
  </conditionalFormatting>
  <conditionalFormatting sqref="Z56 Z58 Z60">
    <cfRule type="cellIs" dxfId="2225" priority="2462" operator="between">
      <formula>1</formula>
      <formula>3</formula>
    </cfRule>
  </conditionalFormatting>
  <conditionalFormatting sqref="Z58">
    <cfRule type="containsText" dxfId="2224" priority="2458" operator="containsText" text="FAT">
      <formula>NOT(ISERROR(SEARCH("FAT",Z58)))</formula>
    </cfRule>
    <cfRule type="containsText" dxfId="2223" priority="2459" operator="containsText" text="FIRE">
      <formula>NOT(ISERROR(SEARCH("FIRE",Z58)))</formula>
    </cfRule>
    <cfRule type="containsText" dxfId="2222" priority="2460" operator="containsText" text="COSH">
      <formula>NOT(ISERROR(SEARCH("COSH",Z58)))</formula>
    </cfRule>
  </conditionalFormatting>
  <conditionalFormatting sqref="Z54">
    <cfRule type="containsText" dxfId="2221" priority="2455" operator="containsText" text="FAT">
      <formula>NOT(ISERROR(SEARCH("FAT",Z54)))</formula>
    </cfRule>
    <cfRule type="containsText" dxfId="2220" priority="2456" operator="containsText" text="FIRE">
      <formula>NOT(ISERROR(SEARCH("FIRE",Z54)))</formula>
    </cfRule>
    <cfRule type="containsText" dxfId="2219" priority="2457" operator="containsText" text="COSH">
      <formula>NOT(ISERROR(SEARCH("COSH",Z54)))</formula>
    </cfRule>
  </conditionalFormatting>
  <conditionalFormatting sqref="Z56 Z58 Z60">
    <cfRule type="containsText" dxfId="2218" priority="2452" operator="containsText" text="FAT">
      <formula>NOT(ISERROR(SEARCH("FAT",Z56)))</formula>
    </cfRule>
    <cfRule type="containsText" dxfId="2217" priority="2453" operator="containsText" text="FIRE">
      <formula>NOT(ISERROR(SEARCH("FIRE",Z56)))</formula>
    </cfRule>
    <cfRule type="containsText" dxfId="2216" priority="2454" operator="containsText" text="COSH">
      <formula>NOT(ISERROR(SEARCH("COSH",Z56)))</formula>
    </cfRule>
  </conditionalFormatting>
  <conditionalFormatting sqref="Z54 Z56 Z58 Z60">
    <cfRule type="cellIs" dxfId="2215" priority="2451" operator="equal">
      <formula>0</formula>
    </cfRule>
  </conditionalFormatting>
  <conditionalFormatting sqref="Z56 Z58 Z60">
    <cfRule type="containsText" dxfId="2214" priority="2448" operator="containsText" text="FAT">
      <formula>NOT(ISERROR(SEARCH("FAT",Z56)))</formula>
    </cfRule>
    <cfRule type="containsText" dxfId="2213" priority="2449" operator="containsText" text="FIRE">
      <formula>NOT(ISERROR(SEARCH("FIRE",Z56)))</formula>
    </cfRule>
    <cfRule type="containsText" dxfId="2212" priority="2450" operator="containsText" text="COSH">
      <formula>NOT(ISERROR(SEARCH("COSH",Z56)))</formula>
    </cfRule>
  </conditionalFormatting>
  <conditionalFormatting sqref="Z56 Z58 Z60">
    <cfRule type="containsText" dxfId="2211" priority="2445" operator="containsText" text="FAT">
      <formula>NOT(ISERROR(SEARCH("FAT",Z56)))</formula>
    </cfRule>
    <cfRule type="containsText" dxfId="2210" priority="2446" operator="containsText" text="FIRE">
      <formula>NOT(ISERROR(SEARCH("FIRE",Z56)))</formula>
    </cfRule>
    <cfRule type="containsText" dxfId="2209" priority="2447" operator="containsText" text="COSH">
      <formula>NOT(ISERROR(SEARCH("COSH",Z56)))</formula>
    </cfRule>
  </conditionalFormatting>
  <conditionalFormatting sqref="E53">
    <cfRule type="duplicateValues" dxfId="2208" priority="2444"/>
  </conditionalFormatting>
  <conditionalFormatting sqref="R53 T53:Y53">
    <cfRule type="containsText" dxfId="2207" priority="2434" operator="containsText" text="EL">
      <formula>NOT(ISERROR(SEARCH("EL",R53)))</formula>
    </cfRule>
    <cfRule type="containsText" dxfId="2206" priority="2435" operator="containsText" text="Q">
      <formula>NOT(ISERROR(SEARCH("Q",R53)))</formula>
    </cfRule>
  </conditionalFormatting>
  <conditionalFormatting sqref="R53 T53:Y53">
    <cfRule type="containsText" dxfId="2205" priority="2433" operator="containsText" text="1ET">
      <formula>NOT(ISERROR(SEARCH("1ET",R53)))</formula>
    </cfRule>
  </conditionalFormatting>
  <conditionalFormatting sqref="R53 T53:Y53">
    <cfRule type="containsText" dxfId="2204" priority="2431" operator="containsText" text="3ET">
      <formula>NOT(ISERROR(SEARCH("3ET",R53)))</formula>
    </cfRule>
    <cfRule type="containsText" dxfId="2203" priority="2432" operator="containsText" text="1OT">
      <formula>NOT(ISERROR(SEARCH("1OT",R53)))</formula>
    </cfRule>
  </conditionalFormatting>
  <conditionalFormatting sqref="R53">
    <cfRule type="containsText" dxfId="2202" priority="2421" operator="containsText" text="EL">
      <formula>NOT(ISERROR(SEARCH("EL",R53)))</formula>
    </cfRule>
    <cfRule type="containsText" dxfId="2201" priority="2422" operator="containsText" text="Q">
      <formula>NOT(ISERROR(SEARCH("Q",R53)))</formula>
    </cfRule>
  </conditionalFormatting>
  <conditionalFormatting sqref="R53">
    <cfRule type="containsText" dxfId="2200" priority="2420" operator="containsText" text="1ET">
      <formula>NOT(ISERROR(SEARCH("1ET",R53)))</formula>
    </cfRule>
  </conditionalFormatting>
  <conditionalFormatting sqref="R53">
    <cfRule type="containsText" dxfId="2199" priority="2418" operator="containsText" text="3ET">
      <formula>NOT(ISERROR(SEARCH("3ET",R53)))</formula>
    </cfRule>
    <cfRule type="containsText" dxfId="2198" priority="2419" operator="containsText" text="1OT">
      <formula>NOT(ISERROR(SEARCH("1OT",R53)))</formula>
    </cfRule>
  </conditionalFormatting>
  <conditionalFormatting sqref="L53:N53">
    <cfRule type="containsText" dxfId="2197" priority="2415" operator="containsText" text="FAT">
      <formula>NOT(ISERROR(SEARCH("FAT",L53)))</formula>
    </cfRule>
    <cfRule type="containsText" dxfId="2196" priority="2416" operator="containsText" text="FIRE">
      <formula>NOT(ISERROR(SEARCH("FIRE",L53)))</formula>
    </cfRule>
    <cfRule type="containsText" dxfId="2195" priority="2417" operator="containsText" text="COSH">
      <formula>NOT(ISERROR(SEARCH("COSH",L53)))</formula>
    </cfRule>
  </conditionalFormatting>
  <conditionalFormatting sqref="I53 K53:M53">
    <cfRule type="containsText" dxfId="2194" priority="2412" operator="containsText" text="FAT">
      <formula>NOT(ISERROR(SEARCH("FAT",I53)))</formula>
    </cfRule>
    <cfRule type="containsText" dxfId="2193" priority="2413" operator="containsText" text="FIRE">
      <formula>NOT(ISERROR(SEARCH("FIRE",I53)))</formula>
    </cfRule>
    <cfRule type="containsText" dxfId="2192" priority="2414" operator="containsText" text="COSH">
      <formula>NOT(ISERROR(SEARCH("COSH",I53)))</formula>
    </cfRule>
  </conditionalFormatting>
  <conditionalFormatting sqref="P53">
    <cfRule type="containsText" dxfId="2191" priority="2409" operator="containsText" text="FAT">
      <formula>NOT(ISERROR(SEARCH("FAT",P53)))</formula>
    </cfRule>
    <cfRule type="containsText" dxfId="2190" priority="2410" operator="containsText" text="FIRE">
      <formula>NOT(ISERROR(SEARCH("FIRE",P53)))</formula>
    </cfRule>
    <cfRule type="containsText" dxfId="2189" priority="2411" operator="containsText" text="COSH">
      <formula>NOT(ISERROR(SEARCH("COSH",P53)))</formula>
    </cfRule>
  </conditionalFormatting>
  <conditionalFormatting sqref="N53">
    <cfRule type="containsText" dxfId="2188" priority="2406" operator="containsText" text="FAT">
      <formula>NOT(ISERROR(SEARCH("FAT",N53)))</formula>
    </cfRule>
    <cfRule type="containsText" dxfId="2187" priority="2407" operator="containsText" text="FIRE">
      <formula>NOT(ISERROR(SEARCH("FIRE",N53)))</formula>
    </cfRule>
    <cfRule type="containsText" dxfId="2186" priority="2408" operator="containsText" text="COSH">
      <formula>NOT(ISERROR(SEARCH("COSH",N53)))</formula>
    </cfRule>
  </conditionalFormatting>
  <conditionalFormatting sqref="P53 I53 K53:N53">
    <cfRule type="cellIs" dxfId="2185" priority="2403" operator="between">
      <formula>1</formula>
      <formula>3</formula>
    </cfRule>
  </conditionalFormatting>
  <conditionalFormatting sqref="O53">
    <cfRule type="containsText" dxfId="2184" priority="2399" operator="containsText" text="FAT">
      <formula>NOT(ISERROR(SEARCH("FAT",O53)))</formula>
    </cfRule>
    <cfRule type="containsText" dxfId="2183" priority="2400" operator="containsText" text="FIRE">
      <formula>NOT(ISERROR(SEARCH("FIRE",O53)))</formula>
    </cfRule>
    <cfRule type="containsText" dxfId="2182" priority="2401" operator="containsText" text="COSH">
      <formula>NOT(ISERROR(SEARCH("COSH",O53)))</formula>
    </cfRule>
  </conditionalFormatting>
  <conditionalFormatting sqref="O53">
    <cfRule type="cellIs" dxfId="2181" priority="2398" operator="between">
      <formula>1</formula>
      <formula>3</formula>
    </cfRule>
  </conditionalFormatting>
  <conditionalFormatting sqref="O53">
    <cfRule type="containsText" dxfId="2180" priority="2395" operator="containsText" text="FAT">
      <formula>NOT(ISERROR(SEARCH("FAT",O53)))</formula>
    </cfRule>
    <cfRule type="containsText" dxfId="2179" priority="2396" operator="containsText" text="FIRE">
      <formula>NOT(ISERROR(SEARCH("FIRE",O53)))</formula>
    </cfRule>
    <cfRule type="containsText" dxfId="2178" priority="2397" operator="containsText" text="COSH">
      <formula>NOT(ISERROR(SEARCH("COSH",O53)))</formula>
    </cfRule>
  </conditionalFormatting>
  <conditionalFormatting sqref="O53">
    <cfRule type="cellIs" dxfId="2177" priority="2394" operator="equal">
      <formula>0</formula>
    </cfRule>
  </conditionalFormatting>
  <conditionalFormatting sqref="P52">
    <cfRule type="containsText" dxfId="2176" priority="2391" operator="containsText" text="FAT">
      <formula>NOT(ISERROR(SEARCH("FAT",P52)))</formula>
    </cfRule>
    <cfRule type="containsText" dxfId="2175" priority="2392" operator="containsText" text="FIRE">
      <formula>NOT(ISERROR(SEARCH("FIRE",P52)))</formula>
    </cfRule>
    <cfRule type="containsText" dxfId="2174" priority="2393" operator="containsText" text="COSH">
      <formula>NOT(ISERROR(SEARCH("COSH",P52)))</formula>
    </cfRule>
  </conditionalFormatting>
  <conditionalFormatting sqref="P52">
    <cfRule type="cellIs" dxfId="2173" priority="2390" operator="between">
      <formula>1</formula>
      <formula>3</formula>
    </cfRule>
  </conditionalFormatting>
  <conditionalFormatting sqref="P52">
    <cfRule type="containsText" dxfId="2172" priority="2387" operator="containsText" text="FAT">
      <formula>NOT(ISERROR(SEARCH("FAT",P52)))</formula>
    </cfRule>
    <cfRule type="containsText" dxfId="2171" priority="2388" operator="containsText" text="FIRE">
      <formula>NOT(ISERROR(SEARCH("FIRE",P52)))</formula>
    </cfRule>
    <cfRule type="containsText" dxfId="2170" priority="2389" operator="containsText" text="COSH">
      <formula>NOT(ISERROR(SEARCH("COSH",P52)))</formula>
    </cfRule>
  </conditionalFormatting>
  <conditionalFormatting sqref="P52">
    <cfRule type="cellIs" dxfId="2169" priority="2386" operator="equal">
      <formula>0</formula>
    </cfRule>
  </conditionalFormatting>
  <conditionalFormatting sqref="P54">
    <cfRule type="containsText" dxfId="2168" priority="2383" operator="containsText" text="FAT">
      <formula>NOT(ISERROR(SEARCH("FAT",P54)))</formula>
    </cfRule>
    <cfRule type="containsText" dxfId="2167" priority="2384" operator="containsText" text="FIRE">
      <formula>NOT(ISERROR(SEARCH("FIRE",P54)))</formula>
    </cfRule>
    <cfRule type="containsText" dxfId="2166" priority="2385" operator="containsText" text="COSH">
      <formula>NOT(ISERROR(SEARCH("COSH",P54)))</formula>
    </cfRule>
  </conditionalFormatting>
  <conditionalFormatting sqref="P54">
    <cfRule type="cellIs" dxfId="2165" priority="2382" operator="between">
      <formula>1</formula>
      <formula>3</formula>
    </cfRule>
  </conditionalFormatting>
  <conditionalFormatting sqref="P54">
    <cfRule type="containsText" dxfId="2164" priority="2379" operator="containsText" text="FAT">
      <formula>NOT(ISERROR(SEARCH("FAT",P54)))</formula>
    </cfRule>
    <cfRule type="containsText" dxfId="2163" priority="2380" operator="containsText" text="FIRE">
      <formula>NOT(ISERROR(SEARCH("FIRE",P54)))</formula>
    </cfRule>
    <cfRule type="containsText" dxfId="2162" priority="2381" operator="containsText" text="COSH">
      <formula>NOT(ISERROR(SEARCH("COSH",P54)))</formula>
    </cfRule>
  </conditionalFormatting>
  <conditionalFormatting sqref="P54">
    <cfRule type="cellIs" dxfId="2161" priority="2378" operator="equal">
      <formula>0</formula>
    </cfRule>
  </conditionalFormatting>
  <conditionalFormatting sqref="U52">
    <cfRule type="containsText" dxfId="2160" priority="2375" operator="containsText" text="FAT">
      <formula>NOT(ISERROR(SEARCH("FAT",U52)))</formula>
    </cfRule>
    <cfRule type="containsText" dxfId="2159" priority="2376" operator="containsText" text="FIRE">
      <formula>NOT(ISERROR(SEARCH("FIRE",U52)))</formula>
    </cfRule>
    <cfRule type="containsText" dxfId="2158" priority="2377" operator="containsText" text="COSH">
      <formula>NOT(ISERROR(SEARCH("COSH",U52)))</formula>
    </cfRule>
  </conditionalFormatting>
  <conditionalFormatting sqref="U52">
    <cfRule type="cellIs" dxfId="2157" priority="2374" operator="between">
      <formula>1</formula>
      <formula>3</formula>
    </cfRule>
  </conditionalFormatting>
  <conditionalFormatting sqref="U52">
    <cfRule type="containsText" dxfId="2156" priority="2371" operator="containsText" text="FAT">
      <formula>NOT(ISERROR(SEARCH("FAT",U52)))</formula>
    </cfRule>
    <cfRule type="containsText" dxfId="2155" priority="2372" operator="containsText" text="FIRE">
      <formula>NOT(ISERROR(SEARCH("FIRE",U52)))</formula>
    </cfRule>
    <cfRule type="containsText" dxfId="2154" priority="2373" operator="containsText" text="COSH">
      <formula>NOT(ISERROR(SEARCH("COSH",U52)))</formula>
    </cfRule>
  </conditionalFormatting>
  <conditionalFormatting sqref="U52">
    <cfRule type="cellIs" dxfId="2153" priority="2370" operator="equal">
      <formula>0</formula>
    </cfRule>
  </conditionalFormatting>
  <conditionalFormatting sqref="U54">
    <cfRule type="containsText" dxfId="2152" priority="2367" operator="containsText" text="FAT">
      <formula>NOT(ISERROR(SEARCH("FAT",U54)))</formula>
    </cfRule>
    <cfRule type="containsText" dxfId="2151" priority="2368" operator="containsText" text="FIRE">
      <formula>NOT(ISERROR(SEARCH("FIRE",U54)))</formula>
    </cfRule>
    <cfRule type="containsText" dxfId="2150" priority="2369" operator="containsText" text="COSH">
      <formula>NOT(ISERROR(SEARCH("COSH",U54)))</formula>
    </cfRule>
  </conditionalFormatting>
  <conditionalFormatting sqref="U54">
    <cfRule type="cellIs" dxfId="2149" priority="2366" operator="between">
      <formula>1</formula>
      <formula>3</formula>
    </cfRule>
  </conditionalFormatting>
  <conditionalFormatting sqref="U54">
    <cfRule type="containsText" dxfId="2148" priority="2363" operator="containsText" text="FAT">
      <formula>NOT(ISERROR(SEARCH("FAT",U54)))</formula>
    </cfRule>
    <cfRule type="containsText" dxfId="2147" priority="2364" operator="containsText" text="FIRE">
      <formula>NOT(ISERROR(SEARCH("FIRE",U54)))</formula>
    </cfRule>
    <cfRule type="containsText" dxfId="2146" priority="2365" operator="containsText" text="COSH">
      <formula>NOT(ISERROR(SEARCH("COSH",U54)))</formula>
    </cfRule>
  </conditionalFormatting>
  <conditionalFormatting sqref="U54">
    <cfRule type="cellIs" dxfId="2145" priority="2362" operator="equal">
      <formula>0</formula>
    </cfRule>
  </conditionalFormatting>
  <conditionalFormatting sqref="Z53">
    <cfRule type="containsText" dxfId="2144" priority="2359" operator="containsText" text="FAT">
      <formula>NOT(ISERROR(SEARCH("FAT",Z53)))</formula>
    </cfRule>
    <cfRule type="containsText" dxfId="2143" priority="2360" operator="containsText" text="FIRE">
      <formula>NOT(ISERROR(SEARCH("FIRE",Z53)))</formula>
    </cfRule>
    <cfRule type="containsText" dxfId="2142" priority="2361" operator="containsText" text="COSH">
      <formula>NOT(ISERROR(SEARCH("COSH",Z53)))</formula>
    </cfRule>
  </conditionalFormatting>
  <conditionalFormatting sqref="Z53">
    <cfRule type="cellIs" dxfId="2141" priority="2358" operator="between">
      <formula>1</formula>
      <formula>3</formula>
    </cfRule>
  </conditionalFormatting>
  <conditionalFormatting sqref="Z53">
    <cfRule type="containsText" dxfId="2140" priority="2355" operator="containsText" text="FAT">
      <formula>NOT(ISERROR(SEARCH("FAT",Z53)))</formula>
    </cfRule>
    <cfRule type="containsText" dxfId="2139" priority="2356" operator="containsText" text="FIRE">
      <formula>NOT(ISERROR(SEARCH("FIRE",Z53)))</formula>
    </cfRule>
    <cfRule type="containsText" dxfId="2138" priority="2357" operator="containsText" text="COSH">
      <formula>NOT(ISERROR(SEARCH("COSH",Z53)))</formula>
    </cfRule>
  </conditionalFormatting>
  <conditionalFormatting sqref="Z53">
    <cfRule type="cellIs" dxfId="2137" priority="2354" operator="equal">
      <formula>0</formula>
    </cfRule>
  </conditionalFormatting>
  <conditionalFormatting sqref="S53">
    <cfRule type="containsText" dxfId="2136" priority="2351" operator="containsText" text="FAT">
      <formula>NOT(ISERROR(SEARCH("FAT",S53)))</formula>
    </cfRule>
    <cfRule type="containsText" dxfId="2135" priority="2352" operator="containsText" text="FIRE">
      <formula>NOT(ISERROR(SEARCH("FIRE",S53)))</formula>
    </cfRule>
    <cfRule type="containsText" dxfId="2134" priority="2353" operator="containsText" text="COSH">
      <formula>NOT(ISERROR(SEARCH("COSH",S53)))</formula>
    </cfRule>
  </conditionalFormatting>
  <conditionalFormatting sqref="S53">
    <cfRule type="cellIs" dxfId="2133" priority="2350" operator="between">
      <formula>1</formula>
      <formula>3</formula>
    </cfRule>
  </conditionalFormatting>
  <conditionalFormatting sqref="S53">
    <cfRule type="containsText" dxfId="2132" priority="2347" operator="containsText" text="FAT">
      <formula>NOT(ISERROR(SEARCH("FAT",S53)))</formula>
    </cfRule>
    <cfRule type="containsText" dxfId="2131" priority="2348" operator="containsText" text="FIRE">
      <formula>NOT(ISERROR(SEARCH("FIRE",S53)))</formula>
    </cfRule>
    <cfRule type="containsText" dxfId="2130" priority="2349" operator="containsText" text="COSH">
      <formula>NOT(ISERROR(SEARCH("COSH",S53)))</formula>
    </cfRule>
  </conditionalFormatting>
  <conditionalFormatting sqref="S53">
    <cfRule type="cellIs" dxfId="2129" priority="2346" operator="equal">
      <formula>0</formula>
    </cfRule>
  </conditionalFormatting>
  <conditionalFormatting sqref="W57:Y57 AA57">
    <cfRule type="cellIs" dxfId="2128" priority="2342" operator="equal">
      <formula>"EL"</formula>
    </cfRule>
    <cfRule type="cellIs" dxfId="2127" priority="2343" operator="equal">
      <formula>"SL"</formula>
    </cfRule>
  </conditionalFormatting>
  <conditionalFormatting sqref="W57:Y57 AA57">
    <cfRule type="containsText" dxfId="2126" priority="2327" operator="containsText" text="EL">
      <formula>NOT(ISERROR(SEARCH("EL",W57)))</formula>
    </cfRule>
    <cfRule type="containsText" dxfId="2125" priority="2328" operator="containsText" text="Q">
      <formula>NOT(ISERROR(SEARCH("Q",W57)))</formula>
    </cfRule>
  </conditionalFormatting>
  <conditionalFormatting sqref="W57:Y57 AA57">
    <cfRule type="containsText" dxfId="2124" priority="2326" operator="containsText" text="1ET">
      <formula>NOT(ISERROR(SEARCH("1ET",W57)))</formula>
    </cfRule>
  </conditionalFormatting>
  <conditionalFormatting sqref="W57:Y57 AA57">
    <cfRule type="containsText" dxfId="2123" priority="2324" operator="containsText" text="3ET">
      <formula>NOT(ISERROR(SEARCH("3ET",W57)))</formula>
    </cfRule>
    <cfRule type="containsText" dxfId="2122" priority="2325" operator="containsText" text="1OT">
      <formula>NOT(ISERROR(SEARCH("1OT",W57)))</formula>
    </cfRule>
  </conditionalFormatting>
  <conditionalFormatting sqref="Z57">
    <cfRule type="containsText" dxfId="2121" priority="2321" operator="containsText" text="FAT">
      <formula>NOT(ISERROR(SEARCH("FAT",Z57)))</formula>
    </cfRule>
    <cfRule type="containsText" dxfId="2120" priority="2322" operator="containsText" text="FIRE">
      <formula>NOT(ISERROR(SEARCH("FIRE",Z57)))</formula>
    </cfRule>
    <cfRule type="containsText" dxfId="2119" priority="2323" operator="containsText" text="COSH">
      <formula>NOT(ISERROR(SEARCH("COSH",Z57)))</formula>
    </cfRule>
  </conditionalFormatting>
  <conditionalFormatting sqref="Z57">
    <cfRule type="cellIs" dxfId="2118" priority="2320" operator="between">
      <formula>1</formula>
      <formula>3</formula>
    </cfRule>
  </conditionalFormatting>
  <conditionalFormatting sqref="Z57">
    <cfRule type="cellIs" dxfId="2117" priority="2319" operator="equal">
      <formula>0</formula>
    </cfRule>
  </conditionalFormatting>
  <conditionalFormatting sqref="Z57">
    <cfRule type="containsText" dxfId="2116" priority="2316" operator="containsText" text="FAT">
      <formula>NOT(ISERROR(SEARCH("FAT",Z57)))</formula>
    </cfRule>
    <cfRule type="containsText" dxfId="2115" priority="2317" operator="containsText" text="FIRE">
      <formula>NOT(ISERROR(SEARCH("FIRE",Z57)))</formula>
    </cfRule>
    <cfRule type="containsText" dxfId="2114" priority="2318" operator="containsText" text="COSH">
      <formula>NOT(ISERROR(SEARCH("COSH",Z57)))</formula>
    </cfRule>
  </conditionalFormatting>
  <conditionalFormatting sqref="W55:Y55">
    <cfRule type="containsText" dxfId="2113" priority="2306" operator="containsText" text="EL">
      <formula>NOT(ISERROR(SEARCH("EL",W55)))</formula>
    </cfRule>
    <cfRule type="containsText" dxfId="2112" priority="2307" operator="containsText" text="Q">
      <formula>NOT(ISERROR(SEARCH("Q",W55)))</formula>
    </cfRule>
  </conditionalFormatting>
  <conditionalFormatting sqref="W55:Y55">
    <cfRule type="containsText" dxfId="2111" priority="2305" operator="containsText" text="1ET">
      <formula>NOT(ISERROR(SEARCH("1ET",W55)))</formula>
    </cfRule>
  </conditionalFormatting>
  <conditionalFormatting sqref="W55:Y55">
    <cfRule type="containsText" dxfId="2110" priority="2303" operator="containsText" text="3ET">
      <formula>NOT(ISERROR(SEARCH("3ET",W55)))</formula>
    </cfRule>
    <cfRule type="containsText" dxfId="2109" priority="2304" operator="containsText" text="1OT">
      <formula>NOT(ISERROR(SEARCH("1OT",W55)))</formula>
    </cfRule>
  </conditionalFormatting>
  <conditionalFormatting sqref="Z55">
    <cfRule type="containsText" dxfId="2108" priority="2300" operator="containsText" text="FAT">
      <formula>NOT(ISERROR(SEARCH("FAT",Z55)))</formula>
    </cfRule>
    <cfRule type="containsText" dxfId="2107" priority="2301" operator="containsText" text="FIRE">
      <formula>NOT(ISERROR(SEARCH("FIRE",Z55)))</formula>
    </cfRule>
    <cfRule type="containsText" dxfId="2106" priority="2302" operator="containsText" text="COSH">
      <formula>NOT(ISERROR(SEARCH("COSH",Z55)))</formula>
    </cfRule>
  </conditionalFormatting>
  <conditionalFormatting sqref="Z55">
    <cfRule type="cellIs" dxfId="2105" priority="2299" operator="between">
      <formula>1</formula>
      <formula>3</formula>
    </cfRule>
  </conditionalFormatting>
  <conditionalFormatting sqref="Z55">
    <cfRule type="containsText" dxfId="2104" priority="2296" operator="containsText" text="FAT">
      <formula>NOT(ISERROR(SEARCH("FAT",Z55)))</formula>
    </cfRule>
    <cfRule type="containsText" dxfId="2103" priority="2297" operator="containsText" text="FIRE">
      <formula>NOT(ISERROR(SEARCH("FIRE",Z55)))</formula>
    </cfRule>
    <cfRule type="containsText" dxfId="2102" priority="2298" operator="containsText" text="COSH">
      <formula>NOT(ISERROR(SEARCH("COSH",Z55)))</formula>
    </cfRule>
  </conditionalFormatting>
  <conditionalFormatting sqref="Z55">
    <cfRule type="cellIs" dxfId="2101" priority="2295" operator="equal">
      <formula>0</formula>
    </cfRule>
  </conditionalFormatting>
  <conditionalFormatting sqref="AB57">
    <cfRule type="cellIs" dxfId="2100" priority="2291" operator="equal">
      <formula>"EL"</formula>
    </cfRule>
    <cfRule type="cellIs" dxfId="2099" priority="2292" operator="equal">
      <formula>"SL"</formula>
    </cfRule>
  </conditionalFormatting>
  <conditionalFormatting sqref="AB57">
    <cfRule type="containsText" dxfId="2098" priority="2276" operator="containsText" text="EL">
      <formula>NOT(ISERROR(SEARCH("EL",AB57)))</formula>
    </cfRule>
    <cfRule type="containsText" dxfId="2097" priority="2277" operator="containsText" text="Q">
      <formula>NOT(ISERROR(SEARCH("Q",AB57)))</formula>
    </cfRule>
  </conditionalFormatting>
  <conditionalFormatting sqref="AB57">
    <cfRule type="containsText" dxfId="2096" priority="2275" operator="containsText" text="1ET">
      <formula>NOT(ISERROR(SEARCH("1ET",AB57)))</formula>
    </cfRule>
  </conditionalFormatting>
  <conditionalFormatting sqref="AB57">
    <cfRule type="containsText" dxfId="2095" priority="2273" operator="containsText" text="3ET">
      <formula>NOT(ISERROR(SEARCH("3ET",AB57)))</formula>
    </cfRule>
    <cfRule type="containsText" dxfId="2094" priority="2274" operator="containsText" text="1OT">
      <formula>NOT(ISERROR(SEARCH("1OT",AB57)))</formula>
    </cfRule>
  </conditionalFormatting>
  <conditionalFormatting sqref="W112:AB112">
    <cfRule type="cellIs" dxfId="2093" priority="2269" operator="equal">
      <formula>"EL"</formula>
    </cfRule>
    <cfRule type="cellIs" dxfId="2092" priority="2270" operator="equal">
      <formula>"SL"</formula>
    </cfRule>
  </conditionalFormatting>
  <conditionalFormatting sqref="W112:AB112">
    <cfRule type="containsText" dxfId="2091" priority="2261" operator="containsText" text="EL">
      <formula>NOT(ISERROR(SEARCH("EL",W112)))</formula>
    </cfRule>
    <cfRule type="containsText" dxfId="2090" priority="2262" operator="containsText" text="Q">
      <formula>NOT(ISERROR(SEARCH("Q",W112)))</formula>
    </cfRule>
  </conditionalFormatting>
  <conditionalFormatting sqref="W112:AB112">
    <cfRule type="containsText" dxfId="2089" priority="2260" operator="containsText" text="1ET">
      <formula>NOT(ISERROR(SEARCH("1ET",W112)))</formula>
    </cfRule>
  </conditionalFormatting>
  <conditionalFormatting sqref="W112:AB112">
    <cfRule type="containsText" dxfId="2088" priority="2258" operator="containsText" text="3ET">
      <formula>NOT(ISERROR(SEARCH("3ET",W112)))</formula>
    </cfRule>
    <cfRule type="containsText" dxfId="2087" priority="2259" operator="containsText" text="1OT">
      <formula>NOT(ISERROR(SEARCH("1OT",W112)))</formula>
    </cfRule>
  </conditionalFormatting>
  <conditionalFormatting sqref="T11:T24 T26:T31">
    <cfRule type="containsText" dxfId="2086" priority="2255" operator="containsText" text="FAT">
      <formula>NOT(ISERROR(SEARCH("FAT",T11)))</formula>
    </cfRule>
    <cfRule type="containsText" dxfId="2085" priority="2256" operator="containsText" text="FIRE">
      <formula>NOT(ISERROR(SEARCH("FIRE",T11)))</formula>
    </cfRule>
    <cfRule type="containsText" dxfId="2084" priority="2257" operator="containsText" text="COSH">
      <formula>NOT(ISERROR(SEARCH("COSH",T11)))</formula>
    </cfRule>
  </conditionalFormatting>
  <conditionalFormatting sqref="T11:T24 T26:T31">
    <cfRule type="cellIs" dxfId="2083" priority="2254" operator="between">
      <formula>1</formula>
      <formula>3</formula>
    </cfRule>
  </conditionalFormatting>
  <conditionalFormatting sqref="T11:T24 T26:T31">
    <cfRule type="containsText" dxfId="2082" priority="2251" operator="containsText" text="FAT">
      <formula>NOT(ISERROR(SEARCH("FAT",T11)))</formula>
    </cfRule>
    <cfRule type="containsText" dxfId="2081" priority="2252" operator="containsText" text="FIRE">
      <formula>NOT(ISERROR(SEARCH("FIRE",T11)))</formula>
    </cfRule>
    <cfRule type="containsText" dxfId="2080" priority="2253" operator="containsText" text="COSH">
      <formula>NOT(ISERROR(SEARCH("COSH",T11)))</formula>
    </cfRule>
  </conditionalFormatting>
  <conditionalFormatting sqref="Z27:Z31">
    <cfRule type="containsText" dxfId="2079" priority="2248" operator="containsText" text="FAT">
      <formula>NOT(ISERROR(SEARCH("FAT",Z27)))</formula>
    </cfRule>
    <cfRule type="containsText" dxfId="2078" priority="2249" operator="containsText" text="FIRE">
      <formula>NOT(ISERROR(SEARCH("FIRE",Z27)))</formula>
    </cfRule>
    <cfRule type="containsText" dxfId="2077" priority="2250" operator="containsText" text="COSH">
      <formula>NOT(ISERROR(SEARCH("COSH",Z27)))</formula>
    </cfRule>
  </conditionalFormatting>
  <conditionalFormatting sqref="X27:X31">
    <cfRule type="containsText" dxfId="2076" priority="2245" operator="containsText" text="FAT">
      <formula>NOT(ISERROR(SEARCH("FAT",X27)))</formula>
    </cfRule>
    <cfRule type="containsText" dxfId="2075" priority="2246" operator="containsText" text="FIRE">
      <formula>NOT(ISERROR(SEARCH("FIRE",X27)))</formula>
    </cfRule>
    <cfRule type="containsText" dxfId="2074" priority="2247" operator="containsText" text="COSH">
      <formula>NOT(ISERROR(SEARCH("COSH",X27)))</formula>
    </cfRule>
  </conditionalFormatting>
  <conditionalFormatting sqref="U27:Z31">
    <cfRule type="containsText" dxfId="2073" priority="2242" operator="containsText" text="FAT">
      <formula>NOT(ISERROR(SEARCH("FAT",U27)))</formula>
    </cfRule>
    <cfRule type="containsText" dxfId="2072" priority="2243" operator="containsText" text="FIRE">
      <formula>NOT(ISERROR(SEARCH("FIRE",U27)))</formula>
    </cfRule>
    <cfRule type="containsText" dxfId="2071" priority="2244" operator="containsText" text="COSH">
      <formula>NOT(ISERROR(SEARCH("COSH",U27)))</formula>
    </cfRule>
  </conditionalFormatting>
  <conditionalFormatting sqref="Z27:Z31">
    <cfRule type="containsText" dxfId="2070" priority="2239" operator="containsText" text="FAT">
      <formula>NOT(ISERROR(SEARCH("FAT",Z27)))</formula>
    </cfRule>
    <cfRule type="containsText" dxfId="2069" priority="2240" operator="containsText" text="FIRE">
      <formula>NOT(ISERROR(SEARCH("FIRE",Z27)))</formula>
    </cfRule>
    <cfRule type="containsText" dxfId="2068" priority="2241" operator="containsText" text="COSH">
      <formula>NOT(ISERROR(SEARCH("COSH",Z27)))</formula>
    </cfRule>
  </conditionalFormatting>
  <conditionalFormatting sqref="AA27:AA31">
    <cfRule type="containsText" dxfId="2067" priority="2236" operator="containsText" text="FAT">
      <formula>NOT(ISERROR(SEARCH("FAT",AA27)))</formula>
    </cfRule>
    <cfRule type="containsText" dxfId="2066" priority="2237" operator="containsText" text="FIRE">
      <formula>NOT(ISERROR(SEARCH("FIRE",AA27)))</formula>
    </cfRule>
    <cfRule type="containsText" dxfId="2065" priority="2238" operator="containsText" text="COSH">
      <formula>NOT(ISERROR(SEARCH("COSH",AA27)))</formula>
    </cfRule>
  </conditionalFormatting>
  <conditionalFormatting sqref="Y27:Y31">
    <cfRule type="containsText" dxfId="2064" priority="2233" operator="containsText" text="FAT">
      <formula>NOT(ISERROR(SEARCH("FAT",Y27)))</formula>
    </cfRule>
    <cfRule type="containsText" dxfId="2063" priority="2234" operator="containsText" text="FIRE">
      <formula>NOT(ISERROR(SEARCH("FIRE",Y27)))</formula>
    </cfRule>
    <cfRule type="containsText" dxfId="2062" priority="2235" operator="containsText" text="COSH">
      <formula>NOT(ISERROR(SEARCH("COSH",Y27)))</formula>
    </cfRule>
  </conditionalFormatting>
  <conditionalFormatting sqref="Y27:Y31">
    <cfRule type="containsText" dxfId="2061" priority="2230" operator="containsText" text="FAT">
      <formula>NOT(ISERROR(SEARCH("FAT",Y27)))</formula>
    </cfRule>
    <cfRule type="containsText" dxfId="2060" priority="2231" operator="containsText" text="FIRE">
      <formula>NOT(ISERROR(SEARCH("FIRE",Y27)))</formula>
    </cfRule>
    <cfRule type="containsText" dxfId="2059" priority="2232" operator="containsText" text="COSH">
      <formula>NOT(ISERROR(SEARCH("COSH",Y27)))</formula>
    </cfRule>
  </conditionalFormatting>
  <conditionalFormatting sqref="X27:X31">
    <cfRule type="containsText" dxfId="2058" priority="2227" operator="containsText" text="FAT">
      <formula>NOT(ISERROR(SEARCH("FAT",X27)))</formula>
    </cfRule>
    <cfRule type="containsText" dxfId="2057" priority="2228" operator="containsText" text="FIRE">
      <formula>NOT(ISERROR(SEARCH("FIRE",X27)))</formula>
    </cfRule>
    <cfRule type="containsText" dxfId="2056" priority="2229" operator="containsText" text="COSH">
      <formula>NOT(ISERROR(SEARCH("COSH",X27)))</formula>
    </cfRule>
  </conditionalFormatting>
  <conditionalFormatting sqref="X27:X31">
    <cfRule type="containsText" dxfId="2055" priority="2224" operator="containsText" text="FAT">
      <formula>NOT(ISERROR(SEARCH("FAT",X27)))</formula>
    </cfRule>
    <cfRule type="containsText" dxfId="2054" priority="2225" operator="containsText" text="FIRE">
      <formula>NOT(ISERROR(SEARCH("FIRE",X27)))</formula>
    </cfRule>
    <cfRule type="containsText" dxfId="2053" priority="2226" operator="containsText" text="COSH">
      <formula>NOT(ISERROR(SEARCH("COSH",X27)))</formula>
    </cfRule>
  </conditionalFormatting>
  <conditionalFormatting sqref="X27:X31">
    <cfRule type="containsText" dxfId="2052" priority="2221" operator="containsText" text="FAT">
      <formula>NOT(ISERROR(SEARCH("FAT",X27)))</formula>
    </cfRule>
    <cfRule type="containsText" dxfId="2051" priority="2222" operator="containsText" text="FIRE">
      <formula>NOT(ISERROR(SEARCH("FIRE",X27)))</formula>
    </cfRule>
    <cfRule type="containsText" dxfId="2050" priority="2223" operator="containsText" text="COSH">
      <formula>NOT(ISERROR(SEARCH("COSH",X27)))</formula>
    </cfRule>
  </conditionalFormatting>
  <conditionalFormatting sqref="V27:W31">
    <cfRule type="containsText" dxfId="2049" priority="2218" operator="containsText" text="FAT">
      <formula>NOT(ISERROR(SEARCH("FAT",V27)))</formula>
    </cfRule>
    <cfRule type="containsText" dxfId="2048" priority="2219" operator="containsText" text="FIRE">
      <formula>NOT(ISERROR(SEARCH("FIRE",V27)))</formula>
    </cfRule>
    <cfRule type="containsText" dxfId="2047" priority="2220" operator="containsText" text="COSH">
      <formula>NOT(ISERROR(SEARCH("COSH",V27)))</formula>
    </cfRule>
  </conditionalFormatting>
  <conditionalFormatting sqref="X27:X31">
    <cfRule type="containsText" dxfId="2046" priority="2215" operator="containsText" text="FAT">
      <formula>NOT(ISERROR(SEARCH("FAT",X27)))</formula>
    </cfRule>
    <cfRule type="containsText" dxfId="2045" priority="2216" operator="containsText" text="FIRE">
      <formula>NOT(ISERROR(SEARCH("FIRE",X27)))</formula>
    </cfRule>
    <cfRule type="containsText" dxfId="2044" priority="2217" operator="containsText" text="COSH">
      <formula>NOT(ISERROR(SEARCH("COSH",X27)))</formula>
    </cfRule>
  </conditionalFormatting>
  <conditionalFormatting sqref="V27:W31">
    <cfRule type="containsText" dxfId="2043" priority="2212" operator="containsText" text="FAT">
      <formula>NOT(ISERROR(SEARCH("FAT",V27)))</formula>
    </cfRule>
    <cfRule type="containsText" dxfId="2042" priority="2213" operator="containsText" text="FIRE">
      <formula>NOT(ISERROR(SEARCH("FIRE",V27)))</formula>
    </cfRule>
    <cfRule type="containsText" dxfId="2041" priority="2214" operator="containsText" text="COSH">
      <formula>NOT(ISERROR(SEARCH("COSH",V27)))</formula>
    </cfRule>
  </conditionalFormatting>
  <conditionalFormatting sqref="X27:X31">
    <cfRule type="containsText" dxfId="2040" priority="2209" operator="containsText" text="FAT">
      <formula>NOT(ISERROR(SEARCH("FAT",X27)))</formula>
    </cfRule>
    <cfRule type="containsText" dxfId="2039" priority="2210" operator="containsText" text="FIRE">
      <formula>NOT(ISERROR(SEARCH("FIRE",X27)))</formula>
    </cfRule>
    <cfRule type="containsText" dxfId="2038" priority="2211" operator="containsText" text="COSH">
      <formula>NOT(ISERROR(SEARCH("COSH",X27)))</formula>
    </cfRule>
  </conditionalFormatting>
  <conditionalFormatting sqref="V27:W31">
    <cfRule type="containsText" dxfId="2037" priority="2206" operator="containsText" text="FAT">
      <formula>NOT(ISERROR(SEARCH("FAT",V27)))</formula>
    </cfRule>
    <cfRule type="containsText" dxfId="2036" priority="2207" operator="containsText" text="FIRE">
      <formula>NOT(ISERROR(SEARCH("FIRE",V27)))</formula>
    </cfRule>
    <cfRule type="containsText" dxfId="2035" priority="2208" operator="containsText" text="COSH">
      <formula>NOT(ISERROR(SEARCH("COSH",V27)))</formula>
    </cfRule>
  </conditionalFormatting>
  <conditionalFormatting sqref="X27:X31">
    <cfRule type="containsText" dxfId="2034" priority="2203" operator="containsText" text="FAT">
      <formula>NOT(ISERROR(SEARCH("FAT",X27)))</formula>
    </cfRule>
    <cfRule type="containsText" dxfId="2033" priority="2204" operator="containsText" text="FIRE">
      <formula>NOT(ISERROR(SEARCH("FIRE",X27)))</formula>
    </cfRule>
    <cfRule type="containsText" dxfId="2032" priority="2205" operator="containsText" text="COSH">
      <formula>NOT(ISERROR(SEARCH("COSH",X27)))</formula>
    </cfRule>
  </conditionalFormatting>
  <conditionalFormatting sqref="V27:W31">
    <cfRule type="containsText" dxfId="2031" priority="2200" operator="containsText" text="FAT">
      <formula>NOT(ISERROR(SEARCH("FAT",V27)))</formula>
    </cfRule>
    <cfRule type="containsText" dxfId="2030" priority="2201" operator="containsText" text="FIRE">
      <formula>NOT(ISERROR(SEARCH("FIRE",V27)))</formula>
    </cfRule>
    <cfRule type="containsText" dxfId="2029" priority="2202" operator="containsText" text="COSH">
      <formula>NOT(ISERROR(SEARCH("COSH",V27)))</formula>
    </cfRule>
  </conditionalFormatting>
  <conditionalFormatting sqref="X27:X31">
    <cfRule type="containsText" dxfId="2028" priority="2197" operator="containsText" text="FAT">
      <formula>NOT(ISERROR(SEARCH("FAT",X27)))</formula>
    </cfRule>
    <cfRule type="containsText" dxfId="2027" priority="2198" operator="containsText" text="FIRE">
      <formula>NOT(ISERROR(SEARCH("FIRE",X27)))</formula>
    </cfRule>
    <cfRule type="containsText" dxfId="2026" priority="2199" operator="containsText" text="COSH">
      <formula>NOT(ISERROR(SEARCH("COSH",X27)))</formula>
    </cfRule>
  </conditionalFormatting>
  <conditionalFormatting sqref="V27:W31">
    <cfRule type="containsText" dxfId="2025" priority="2194" operator="containsText" text="FAT">
      <formula>NOT(ISERROR(SEARCH("FAT",V27)))</formula>
    </cfRule>
    <cfRule type="containsText" dxfId="2024" priority="2195" operator="containsText" text="FIRE">
      <formula>NOT(ISERROR(SEARCH("FIRE",V27)))</formula>
    </cfRule>
    <cfRule type="containsText" dxfId="2023" priority="2196" operator="containsText" text="COSH">
      <formula>NOT(ISERROR(SEARCH("COSH",V27)))</formula>
    </cfRule>
  </conditionalFormatting>
  <conditionalFormatting sqref="X27:X31">
    <cfRule type="containsText" dxfId="2022" priority="2191" operator="containsText" text="FAT">
      <formula>NOT(ISERROR(SEARCH("FAT",X27)))</formula>
    </cfRule>
    <cfRule type="containsText" dxfId="2021" priority="2192" operator="containsText" text="FIRE">
      <formula>NOT(ISERROR(SEARCH("FIRE",X27)))</formula>
    </cfRule>
    <cfRule type="containsText" dxfId="2020" priority="2193" operator="containsText" text="COSH">
      <formula>NOT(ISERROR(SEARCH("COSH",X27)))</formula>
    </cfRule>
  </conditionalFormatting>
  <conditionalFormatting sqref="X27:X31">
    <cfRule type="containsText" dxfId="2019" priority="2188" operator="containsText" text="FAT">
      <formula>NOT(ISERROR(SEARCH("FAT",X27)))</formula>
    </cfRule>
    <cfRule type="containsText" dxfId="2018" priority="2189" operator="containsText" text="FIRE">
      <formula>NOT(ISERROR(SEARCH("FIRE",X27)))</formula>
    </cfRule>
    <cfRule type="containsText" dxfId="2017" priority="2190" operator="containsText" text="COSH">
      <formula>NOT(ISERROR(SEARCH("COSH",X27)))</formula>
    </cfRule>
  </conditionalFormatting>
  <conditionalFormatting sqref="V27:W31">
    <cfRule type="containsText" dxfId="2016" priority="2185" operator="containsText" text="FAT">
      <formula>NOT(ISERROR(SEARCH("FAT",V27)))</formula>
    </cfRule>
    <cfRule type="containsText" dxfId="2015" priority="2186" operator="containsText" text="FIRE">
      <formula>NOT(ISERROR(SEARCH("FIRE",V27)))</formula>
    </cfRule>
    <cfRule type="containsText" dxfId="2014" priority="2187" operator="containsText" text="COSH">
      <formula>NOT(ISERROR(SEARCH("COSH",V27)))</formula>
    </cfRule>
  </conditionalFormatting>
  <conditionalFormatting sqref="V27:W31">
    <cfRule type="containsText" dxfId="2013" priority="2182" operator="containsText" text="FAT">
      <formula>NOT(ISERROR(SEARCH("FAT",V27)))</formula>
    </cfRule>
    <cfRule type="containsText" dxfId="2012" priority="2183" operator="containsText" text="FIRE">
      <formula>NOT(ISERROR(SEARCH("FIRE",V27)))</formula>
    </cfRule>
    <cfRule type="containsText" dxfId="2011" priority="2184" operator="containsText" text="COSH">
      <formula>NOT(ISERROR(SEARCH("COSH",V27)))</formula>
    </cfRule>
  </conditionalFormatting>
  <conditionalFormatting sqref="V27:W31">
    <cfRule type="containsText" dxfId="2010" priority="2179" operator="containsText" text="FAT">
      <formula>NOT(ISERROR(SEARCH("FAT",V27)))</formula>
    </cfRule>
    <cfRule type="containsText" dxfId="2009" priority="2180" operator="containsText" text="FIRE">
      <formula>NOT(ISERROR(SEARCH("FIRE",V27)))</formula>
    </cfRule>
    <cfRule type="containsText" dxfId="2008" priority="2181" operator="containsText" text="COSH">
      <formula>NOT(ISERROR(SEARCH("COSH",V27)))</formula>
    </cfRule>
  </conditionalFormatting>
  <conditionalFormatting sqref="X27:X31">
    <cfRule type="containsText" dxfId="2007" priority="2176" operator="containsText" text="FAT">
      <formula>NOT(ISERROR(SEARCH("FAT",X27)))</formula>
    </cfRule>
    <cfRule type="containsText" dxfId="2006" priority="2177" operator="containsText" text="FIRE">
      <formula>NOT(ISERROR(SEARCH("FIRE",X27)))</formula>
    </cfRule>
    <cfRule type="containsText" dxfId="2005" priority="2178" operator="containsText" text="COSH">
      <formula>NOT(ISERROR(SEARCH("COSH",X27)))</formula>
    </cfRule>
  </conditionalFormatting>
  <conditionalFormatting sqref="X27:X31">
    <cfRule type="containsText" dxfId="2004" priority="2173" operator="containsText" text="FAT">
      <formula>NOT(ISERROR(SEARCH("FAT",X27)))</formula>
    </cfRule>
    <cfRule type="containsText" dxfId="2003" priority="2174" operator="containsText" text="FIRE">
      <formula>NOT(ISERROR(SEARCH("FIRE",X27)))</formula>
    </cfRule>
    <cfRule type="containsText" dxfId="2002" priority="2175" operator="containsText" text="COSH">
      <formula>NOT(ISERROR(SEARCH("COSH",X27)))</formula>
    </cfRule>
  </conditionalFormatting>
  <conditionalFormatting sqref="V27:W31">
    <cfRule type="containsText" dxfId="2001" priority="2170" operator="containsText" text="FAT">
      <formula>NOT(ISERROR(SEARCH("FAT",V27)))</formula>
    </cfRule>
    <cfRule type="containsText" dxfId="2000" priority="2171" operator="containsText" text="FIRE">
      <formula>NOT(ISERROR(SEARCH("FIRE",V27)))</formula>
    </cfRule>
    <cfRule type="containsText" dxfId="1999" priority="2172" operator="containsText" text="COSH">
      <formula>NOT(ISERROR(SEARCH("COSH",V27)))</formula>
    </cfRule>
  </conditionalFormatting>
  <conditionalFormatting sqref="X27:X31">
    <cfRule type="containsText" dxfId="1998" priority="2167" operator="containsText" text="FAT">
      <formula>NOT(ISERROR(SEARCH("FAT",X27)))</formula>
    </cfRule>
    <cfRule type="containsText" dxfId="1997" priority="2168" operator="containsText" text="FIRE">
      <formula>NOT(ISERROR(SEARCH("FIRE",X27)))</formula>
    </cfRule>
    <cfRule type="containsText" dxfId="1996" priority="2169" operator="containsText" text="COSH">
      <formula>NOT(ISERROR(SEARCH("COSH",X27)))</formula>
    </cfRule>
  </conditionalFormatting>
  <conditionalFormatting sqref="V27:W31">
    <cfRule type="containsText" dxfId="1995" priority="2164" operator="containsText" text="FAT">
      <formula>NOT(ISERROR(SEARCH("FAT",V27)))</formula>
    </cfRule>
    <cfRule type="containsText" dxfId="1994" priority="2165" operator="containsText" text="FIRE">
      <formula>NOT(ISERROR(SEARCH("FIRE",V27)))</formula>
    </cfRule>
    <cfRule type="containsText" dxfId="1993" priority="2166" operator="containsText" text="COSH">
      <formula>NOT(ISERROR(SEARCH("COSH",V27)))</formula>
    </cfRule>
  </conditionalFormatting>
  <conditionalFormatting sqref="X27:X31">
    <cfRule type="containsText" dxfId="1992" priority="2161" operator="containsText" text="FAT">
      <formula>NOT(ISERROR(SEARCH("FAT",X27)))</formula>
    </cfRule>
    <cfRule type="containsText" dxfId="1991" priority="2162" operator="containsText" text="FIRE">
      <formula>NOT(ISERROR(SEARCH("FIRE",X27)))</formula>
    </cfRule>
    <cfRule type="containsText" dxfId="1990" priority="2163" operator="containsText" text="COSH">
      <formula>NOT(ISERROR(SEARCH("COSH",X27)))</formula>
    </cfRule>
  </conditionalFormatting>
  <conditionalFormatting sqref="V27:W31">
    <cfRule type="containsText" dxfId="1989" priority="2158" operator="containsText" text="FAT">
      <formula>NOT(ISERROR(SEARCH("FAT",V27)))</formula>
    </cfRule>
    <cfRule type="containsText" dxfId="1988" priority="2159" operator="containsText" text="FIRE">
      <formula>NOT(ISERROR(SEARCH("FIRE",V27)))</formula>
    </cfRule>
    <cfRule type="containsText" dxfId="1987" priority="2160" operator="containsText" text="COSH">
      <formula>NOT(ISERROR(SEARCH("COSH",V27)))</formula>
    </cfRule>
  </conditionalFormatting>
  <conditionalFormatting sqref="X27:X31">
    <cfRule type="containsText" dxfId="1986" priority="2155" operator="containsText" text="FAT">
      <formula>NOT(ISERROR(SEARCH("FAT",X27)))</formula>
    </cfRule>
    <cfRule type="containsText" dxfId="1985" priority="2156" operator="containsText" text="FIRE">
      <formula>NOT(ISERROR(SEARCH("FIRE",X27)))</formula>
    </cfRule>
    <cfRule type="containsText" dxfId="1984" priority="2157" operator="containsText" text="COSH">
      <formula>NOT(ISERROR(SEARCH("COSH",X27)))</formula>
    </cfRule>
  </conditionalFormatting>
  <conditionalFormatting sqref="V27:W31">
    <cfRule type="containsText" dxfId="1983" priority="2152" operator="containsText" text="FAT">
      <formula>NOT(ISERROR(SEARCH("FAT",V27)))</formula>
    </cfRule>
    <cfRule type="containsText" dxfId="1982" priority="2153" operator="containsText" text="FIRE">
      <formula>NOT(ISERROR(SEARCH("FIRE",V27)))</formula>
    </cfRule>
    <cfRule type="containsText" dxfId="1981" priority="2154" operator="containsText" text="COSH">
      <formula>NOT(ISERROR(SEARCH("COSH",V27)))</formula>
    </cfRule>
  </conditionalFormatting>
  <conditionalFormatting sqref="X27:X31">
    <cfRule type="containsText" dxfId="1980" priority="2149" operator="containsText" text="FAT">
      <formula>NOT(ISERROR(SEARCH("FAT",X27)))</formula>
    </cfRule>
    <cfRule type="containsText" dxfId="1979" priority="2150" operator="containsText" text="FIRE">
      <formula>NOT(ISERROR(SEARCH("FIRE",X27)))</formula>
    </cfRule>
    <cfRule type="containsText" dxfId="1978" priority="2151" operator="containsText" text="COSH">
      <formula>NOT(ISERROR(SEARCH("COSH",X27)))</formula>
    </cfRule>
  </conditionalFormatting>
  <conditionalFormatting sqref="V27:W31">
    <cfRule type="containsText" dxfId="1977" priority="2146" operator="containsText" text="FAT">
      <formula>NOT(ISERROR(SEARCH("FAT",V27)))</formula>
    </cfRule>
    <cfRule type="containsText" dxfId="1976" priority="2147" operator="containsText" text="FIRE">
      <formula>NOT(ISERROR(SEARCH("FIRE",V27)))</formula>
    </cfRule>
    <cfRule type="containsText" dxfId="1975" priority="2148" operator="containsText" text="COSH">
      <formula>NOT(ISERROR(SEARCH("COSH",V27)))</formula>
    </cfRule>
  </conditionalFormatting>
  <conditionalFormatting sqref="X27:X31">
    <cfRule type="containsText" dxfId="1974" priority="2143" operator="containsText" text="FAT">
      <formula>NOT(ISERROR(SEARCH("FAT",X27)))</formula>
    </cfRule>
    <cfRule type="containsText" dxfId="1973" priority="2144" operator="containsText" text="FIRE">
      <formula>NOT(ISERROR(SEARCH("FIRE",X27)))</formula>
    </cfRule>
    <cfRule type="containsText" dxfId="1972" priority="2145" operator="containsText" text="COSH">
      <formula>NOT(ISERROR(SEARCH("COSH",X27)))</formula>
    </cfRule>
  </conditionalFormatting>
  <conditionalFormatting sqref="V27:V31">
    <cfRule type="containsText" dxfId="1971" priority="2140" operator="containsText" text="FAT">
      <formula>NOT(ISERROR(SEARCH("FAT",V27)))</formula>
    </cfRule>
    <cfRule type="containsText" dxfId="1970" priority="2141" operator="containsText" text="FIRE">
      <formula>NOT(ISERROR(SEARCH("FIRE",V27)))</formula>
    </cfRule>
    <cfRule type="containsText" dxfId="1969" priority="2142" operator="containsText" text="COSH">
      <formula>NOT(ISERROR(SEARCH("COSH",V27)))</formula>
    </cfRule>
  </conditionalFormatting>
  <conditionalFormatting sqref="V27:V31">
    <cfRule type="containsText" dxfId="1968" priority="2137" operator="containsText" text="FAT">
      <formula>NOT(ISERROR(SEARCH("FAT",V27)))</formula>
    </cfRule>
    <cfRule type="containsText" dxfId="1967" priority="2138" operator="containsText" text="FIRE">
      <formula>NOT(ISERROR(SEARCH("FIRE",V27)))</formula>
    </cfRule>
    <cfRule type="containsText" dxfId="1966" priority="2139" operator="containsText" text="COSH">
      <formula>NOT(ISERROR(SEARCH("COSH",V27)))</formula>
    </cfRule>
  </conditionalFormatting>
  <conditionalFormatting sqref="V27:V31">
    <cfRule type="containsText" dxfId="1965" priority="2134" operator="containsText" text="FAT">
      <formula>NOT(ISERROR(SEARCH("FAT",V27)))</formula>
    </cfRule>
    <cfRule type="containsText" dxfId="1964" priority="2135" operator="containsText" text="FIRE">
      <formula>NOT(ISERROR(SEARCH("FIRE",V27)))</formula>
    </cfRule>
    <cfRule type="containsText" dxfId="1963" priority="2136" operator="containsText" text="COSH">
      <formula>NOT(ISERROR(SEARCH("COSH",V27)))</formula>
    </cfRule>
  </conditionalFormatting>
  <conditionalFormatting sqref="V27:V31">
    <cfRule type="containsText" dxfId="1962" priority="2131" operator="containsText" text="FAT">
      <formula>NOT(ISERROR(SEARCH("FAT",V27)))</formula>
    </cfRule>
    <cfRule type="containsText" dxfId="1961" priority="2132" operator="containsText" text="FIRE">
      <formula>NOT(ISERROR(SEARCH("FIRE",V27)))</formula>
    </cfRule>
    <cfRule type="containsText" dxfId="1960" priority="2133" operator="containsText" text="COSH">
      <formula>NOT(ISERROR(SEARCH("COSH",V27)))</formula>
    </cfRule>
  </conditionalFormatting>
  <conditionalFormatting sqref="AA27:AA31">
    <cfRule type="containsText" dxfId="1959" priority="2128" operator="containsText" text="FAT">
      <formula>NOT(ISERROR(SEARCH("FAT",AA27)))</formula>
    </cfRule>
    <cfRule type="containsText" dxfId="1958" priority="2129" operator="containsText" text="FIRE">
      <formula>NOT(ISERROR(SEARCH("FIRE",AA27)))</formula>
    </cfRule>
    <cfRule type="containsText" dxfId="1957" priority="2130" operator="containsText" text="COSH">
      <formula>NOT(ISERROR(SEARCH("COSH",AA27)))</formula>
    </cfRule>
  </conditionalFormatting>
  <conditionalFormatting sqref="U27:Z31">
    <cfRule type="containsText" dxfId="1956" priority="2125" operator="containsText" text="FAT">
      <formula>NOT(ISERROR(SEARCH("FAT",U27)))</formula>
    </cfRule>
    <cfRule type="containsText" dxfId="1955" priority="2126" operator="containsText" text="FIRE">
      <formula>NOT(ISERROR(SEARCH("FIRE",U27)))</formula>
    </cfRule>
    <cfRule type="containsText" dxfId="1954" priority="2127" operator="containsText" text="COSH">
      <formula>NOT(ISERROR(SEARCH("COSH",U27)))</formula>
    </cfRule>
  </conditionalFormatting>
  <conditionalFormatting sqref="V27:W31">
    <cfRule type="containsText" dxfId="1953" priority="2122" operator="containsText" text="FAT">
      <formula>NOT(ISERROR(SEARCH("FAT",V27)))</formula>
    </cfRule>
    <cfRule type="containsText" dxfId="1952" priority="2123" operator="containsText" text="FIRE">
      <formula>NOT(ISERROR(SEARCH("FIRE",V27)))</formula>
    </cfRule>
    <cfRule type="containsText" dxfId="1951" priority="2124" operator="containsText" text="COSH">
      <formula>NOT(ISERROR(SEARCH("COSH",V27)))</formula>
    </cfRule>
  </conditionalFormatting>
  <conditionalFormatting sqref="X27:X31">
    <cfRule type="containsText" dxfId="1950" priority="2119" operator="containsText" text="FAT">
      <formula>NOT(ISERROR(SEARCH("FAT",X27)))</formula>
    </cfRule>
    <cfRule type="containsText" dxfId="1949" priority="2120" operator="containsText" text="FIRE">
      <formula>NOT(ISERROR(SEARCH("FIRE",X27)))</formula>
    </cfRule>
    <cfRule type="containsText" dxfId="1948" priority="2121" operator="containsText" text="COSH">
      <formula>NOT(ISERROR(SEARCH("COSH",X27)))</formula>
    </cfRule>
  </conditionalFormatting>
  <conditionalFormatting sqref="X27:X31">
    <cfRule type="containsText" dxfId="1947" priority="2116" operator="containsText" text="FAT">
      <formula>NOT(ISERROR(SEARCH("FAT",X27)))</formula>
    </cfRule>
    <cfRule type="containsText" dxfId="1946" priority="2117" operator="containsText" text="FIRE">
      <formula>NOT(ISERROR(SEARCH("FIRE",X27)))</formula>
    </cfRule>
    <cfRule type="containsText" dxfId="1945" priority="2118" operator="containsText" text="COSH">
      <formula>NOT(ISERROR(SEARCH("COSH",X27)))</formula>
    </cfRule>
  </conditionalFormatting>
  <conditionalFormatting sqref="V27:W31">
    <cfRule type="containsText" dxfId="1944" priority="2113" operator="containsText" text="FAT">
      <formula>NOT(ISERROR(SEARCH("FAT",V27)))</formula>
    </cfRule>
    <cfRule type="containsText" dxfId="1943" priority="2114" operator="containsText" text="FIRE">
      <formula>NOT(ISERROR(SEARCH("FIRE",V27)))</formula>
    </cfRule>
    <cfRule type="containsText" dxfId="1942" priority="2115" operator="containsText" text="COSH">
      <formula>NOT(ISERROR(SEARCH("COSH",V27)))</formula>
    </cfRule>
  </conditionalFormatting>
  <conditionalFormatting sqref="X27:X31">
    <cfRule type="containsText" dxfId="1941" priority="2110" operator="containsText" text="FAT">
      <formula>NOT(ISERROR(SEARCH("FAT",X27)))</formula>
    </cfRule>
    <cfRule type="containsText" dxfId="1940" priority="2111" operator="containsText" text="FIRE">
      <formula>NOT(ISERROR(SEARCH("FIRE",X27)))</formula>
    </cfRule>
    <cfRule type="containsText" dxfId="1939" priority="2112" operator="containsText" text="COSH">
      <formula>NOT(ISERROR(SEARCH("COSH",X27)))</formula>
    </cfRule>
  </conditionalFormatting>
  <conditionalFormatting sqref="V27:W31">
    <cfRule type="containsText" dxfId="1938" priority="2107" operator="containsText" text="FAT">
      <formula>NOT(ISERROR(SEARCH("FAT",V27)))</formula>
    </cfRule>
    <cfRule type="containsText" dxfId="1937" priority="2108" operator="containsText" text="FIRE">
      <formula>NOT(ISERROR(SEARCH("FIRE",V27)))</formula>
    </cfRule>
    <cfRule type="containsText" dxfId="1936" priority="2109" operator="containsText" text="COSH">
      <formula>NOT(ISERROR(SEARCH("COSH",V27)))</formula>
    </cfRule>
  </conditionalFormatting>
  <conditionalFormatting sqref="X27:X31">
    <cfRule type="containsText" dxfId="1935" priority="2104" operator="containsText" text="FAT">
      <formula>NOT(ISERROR(SEARCH("FAT",X27)))</formula>
    </cfRule>
    <cfRule type="containsText" dxfId="1934" priority="2105" operator="containsText" text="FIRE">
      <formula>NOT(ISERROR(SEARCH("FIRE",X27)))</formula>
    </cfRule>
    <cfRule type="containsText" dxfId="1933" priority="2106" operator="containsText" text="COSH">
      <formula>NOT(ISERROR(SEARCH("COSH",X27)))</formula>
    </cfRule>
  </conditionalFormatting>
  <conditionalFormatting sqref="V27:W31">
    <cfRule type="containsText" dxfId="1932" priority="2101" operator="containsText" text="FAT">
      <formula>NOT(ISERROR(SEARCH("FAT",V27)))</formula>
    </cfRule>
    <cfRule type="containsText" dxfId="1931" priority="2102" operator="containsText" text="FIRE">
      <formula>NOT(ISERROR(SEARCH("FIRE",V27)))</formula>
    </cfRule>
    <cfRule type="containsText" dxfId="1930" priority="2103" operator="containsText" text="COSH">
      <formula>NOT(ISERROR(SEARCH("COSH",V27)))</formula>
    </cfRule>
  </conditionalFormatting>
  <conditionalFormatting sqref="X27:X31">
    <cfRule type="containsText" dxfId="1929" priority="2098" operator="containsText" text="FAT">
      <formula>NOT(ISERROR(SEARCH("FAT",X27)))</formula>
    </cfRule>
    <cfRule type="containsText" dxfId="1928" priority="2099" operator="containsText" text="FIRE">
      <formula>NOT(ISERROR(SEARCH("FIRE",X27)))</formula>
    </cfRule>
    <cfRule type="containsText" dxfId="1927" priority="2100" operator="containsText" text="COSH">
      <formula>NOT(ISERROR(SEARCH("COSH",X27)))</formula>
    </cfRule>
  </conditionalFormatting>
  <conditionalFormatting sqref="V27:W31">
    <cfRule type="containsText" dxfId="1926" priority="2095" operator="containsText" text="FAT">
      <formula>NOT(ISERROR(SEARCH("FAT",V27)))</formula>
    </cfRule>
    <cfRule type="containsText" dxfId="1925" priority="2096" operator="containsText" text="FIRE">
      <formula>NOT(ISERROR(SEARCH("FIRE",V27)))</formula>
    </cfRule>
    <cfRule type="containsText" dxfId="1924" priority="2097" operator="containsText" text="COSH">
      <formula>NOT(ISERROR(SEARCH("COSH",V27)))</formula>
    </cfRule>
  </conditionalFormatting>
  <conditionalFormatting sqref="X27:X31">
    <cfRule type="containsText" dxfId="1923" priority="2092" operator="containsText" text="FAT">
      <formula>NOT(ISERROR(SEARCH("FAT",X27)))</formula>
    </cfRule>
    <cfRule type="containsText" dxfId="1922" priority="2093" operator="containsText" text="FIRE">
      <formula>NOT(ISERROR(SEARCH("FIRE",X27)))</formula>
    </cfRule>
    <cfRule type="containsText" dxfId="1921" priority="2094" operator="containsText" text="COSH">
      <formula>NOT(ISERROR(SEARCH("COSH",X27)))</formula>
    </cfRule>
  </conditionalFormatting>
  <conditionalFormatting sqref="V27:W31">
    <cfRule type="containsText" dxfId="1920" priority="2089" operator="containsText" text="FAT">
      <formula>NOT(ISERROR(SEARCH("FAT",V27)))</formula>
    </cfRule>
    <cfRule type="containsText" dxfId="1919" priority="2090" operator="containsText" text="FIRE">
      <formula>NOT(ISERROR(SEARCH("FIRE",V27)))</formula>
    </cfRule>
    <cfRule type="containsText" dxfId="1918" priority="2091" operator="containsText" text="COSH">
      <formula>NOT(ISERROR(SEARCH("COSH",V27)))</formula>
    </cfRule>
  </conditionalFormatting>
  <conditionalFormatting sqref="X27:X31">
    <cfRule type="containsText" dxfId="1917" priority="2086" operator="containsText" text="FAT">
      <formula>NOT(ISERROR(SEARCH("FAT",X27)))</formula>
    </cfRule>
    <cfRule type="containsText" dxfId="1916" priority="2087" operator="containsText" text="FIRE">
      <formula>NOT(ISERROR(SEARCH("FIRE",X27)))</formula>
    </cfRule>
    <cfRule type="containsText" dxfId="1915" priority="2088" operator="containsText" text="COSH">
      <formula>NOT(ISERROR(SEARCH("COSH",X27)))</formula>
    </cfRule>
  </conditionalFormatting>
  <conditionalFormatting sqref="Z27:Z31">
    <cfRule type="containsText" dxfId="1914" priority="2083" operator="containsText" text="FAT">
      <formula>NOT(ISERROR(SEARCH("FAT",Z27)))</formula>
    </cfRule>
    <cfRule type="containsText" dxfId="1913" priority="2084" operator="containsText" text="FIRE">
      <formula>NOT(ISERROR(SEARCH("FIRE",Z27)))</formula>
    </cfRule>
    <cfRule type="containsText" dxfId="1912" priority="2085" operator="containsText" text="COSH">
      <formula>NOT(ISERROR(SEARCH("COSH",Z27)))</formula>
    </cfRule>
  </conditionalFormatting>
  <conditionalFormatting sqref="X27:X31">
    <cfRule type="containsText" dxfId="1911" priority="2080" operator="containsText" text="FAT">
      <formula>NOT(ISERROR(SEARCH("FAT",X27)))</formula>
    </cfRule>
    <cfRule type="containsText" dxfId="1910" priority="2081" operator="containsText" text="FIRE">
      <formula>NOT(ISERROR(SEARCH("FIRE",X27)))</formula>
    </cfRule>
    <cfRule type="containsText" dxfId="1909" priority="2082" operator="containsText" text="COSH">
      <formula>NOT(ISERROR(SEARCH("COSH",X27)))</formula>
    </cfRule>
  </conditionalFormatting>
  <conditionalFormatting sqref="AA27:AA31">
    <cfRule type="containsText" dxfId="1908" priority="2077" operator="containsText" text="FAT">
      <formula>NOT(ISERROR(SEARCH("FAT",AA27)))</formula>
    </cfRule>
    <cfRule type="containsText" dxfId="1907" priority="2078" operator="containsText" text="FIRE">
      <formula>NOT(ISERROR(SEARCH("FIRE",AA27)))</formula>
    </cfRule>
    <cfRule type="containsText" dxfId="1906" priority="2079" operator="containsText" text="COSH">
      <formula>NOT(ISERROR(SEARCH("COSH",AA27)))</formula>
    </cfRule>
  </conditionalFormatting>
  <conditionalFormatting sqref="Y27:Y31">
    <cfRule type="containsText" dxfId="1905" priority="2074" operator="containsText" text="FAT">
      <formula>NOT(ISERROR(SEARCH("FAT",Y27)))</formula>
    </cfRule>
    <cfRule type="containsText" dxfId="1904" priority="2075" operator="containsText" text="FIRE">
      <formula>NOT(ISERROR(SEARCH("FIRE",Y27)))</formula>
    </cfRule>
    <cfRule type="containsText" dxfId="1903" priority="2076" operator="containsText" text="COSH">
      <formula>NOT(ISERROR(SEARCH("COSH",Y27)))</formula>
    </cfRule>
  </conditionalFormatting>
  <conditionalFormatting sqref="X27:X31">
    <cfRule type="containsText" dxfId="1902" priority="2071" operator="containsText" text="FAT">
      <formula>NOT(ISERROR(SEARCH("FAT",X27)))</formula>
    </cfRule>
    <cfRule type="containsText" dxfId="1901" priority="2072" operator="containsText" text="FIRE">
      <formula>NOT(ISERROR(SEARCH("FIRE",X27)))</formula>
    </cfRule>
    <cfRule type="containsText" dxfId="1900" priority="2073" operator="containsText" text="COSH">
      <formula>NOT(ISERROR(SEARCH("COSH",X27)))</formula>
    </cfRule>
  </conditionalFormatting>
  <conditionalFormatting sqref="V27:W31">
    <cfRule type="containsText" dxfId="1899" priority="2068" operator="containsText" text="FAT">
      <formula>NOT(ISERROR(SEARCH("FAT",V27)))</formula>
    </cfRule>
    <cfRule type="containsText" dxfId="1898" priority="2069" operator="containsText" text="FIRE">
      <formula>NOT(ISERROR(SEARCH("FIRE",V27)))</formula>
    </cfRule>
    <cfRule type="containsText" dxfId="1897" priority="2070" operator="containsText" text="COSH">
      <formula>NOT(ISERROR(SEARCH("COSH",V27)))</formula>
    </cfRule>
  </conditionalFormatting>
  <conditionalFormatting sqref="X27:X31">
    <cfRule type="containsText" dxfId="1896" priority="2065" operator="containsText" text="FAT">
      <formula>NOT(ISERROR(SEARCH("FAT",X27)))</formula>
    </cfRule>
    <cfRule type="containsText" dxfId="1895" priority="2066" operator="containsText" text="FIRE">
      <formula>NOT(ISERROR(SEARCH("FIRE",X27)))</formula>
    </cfRule>
    <cfRule type="containsText" dxfId="1894" priority="2067" operator="containsText" text="COSH">
      <formula>NOT(ISERROR(SEARCH("COSH",X27)))</formula>
    </cfRule>
  </conditionalFormatting>
  <conditionalFormatting sqref="V27:W31">
    <cfRule type="containsText" dxfId="1893" priority="2062" operator="containsText" text="FAT">
      <formula>NOT(ISERROR(SEARCH("FAT",V27)))</formula>
    </cfRule>
    <cfRule type="containsText" dxfId="1892" priority="2063" operator="containsText" text="FIRE">
      <formula>NOT(ISERROR(SEARCH("FIRE",V27)))</formula>
    </cfRule>
    <cfRule type="containsText" dxfId="1891" priority="2064" operator="containsText" text="COSH">
      <formula>NOT(ISERROR(SEARCH("COSH",V27)))</formula>
    </cfRule>
  </conditionalFormatting>
  <conditionalFormatting sqref="X27:X31">
    <cfRule type="containsText" dxfId="1890" priority="2059" operator="containsText" text="FAT">
      <formula>NOT(ISERROR(SEARCH("FAT",X27)))</formula>
    </cfRule>
    <cfRule type="containsText" dxfId="1889" priority="2060" operator="containsText" text="FIRE">
      <formula>NOT(ISERROR(SEARCH("FIRE",X27)))</formula>
    </cfRule>
    <cfRule type="containsText" dxfId="1888" priority="2061" operator="containsText" text="COSH">
      <formula>NOT(ISERROR(SEARCH("COSH",X27)))</formula>
    </cfRule>
  </conditionalFormatting>
  <conditionalFormatting sqref="V27:W31">
    <cfRule type="containsText" dxfId="1887" priority="2056" operator="containsText" text="FAT">
      <formula>NOT(ISERROR(SEARCH("FAT",V27)))</formula>
    </cfRule>
    <cfRule type="containsText" dxfId="1886" priority="2057" operator="containsText" text="FIRE">
      <formula>NOT(ISERROR(SEARCH("FIRE",V27)))</formula>
    </cfRule>
    <cfRule type="containsText" dxfId="1885" priority="2058" operator="containsText" text="COSH">
      <formula>NOT(ISERROR(SEARCH("COSH",V27)))</formula>
    </cfRule>
  </conditionalFormatting>
  <conditionalFormatting sqref="X27:X31">
    <cfRule type="containsText" dxfId="1884" priority="2053" operator="containsText" text="FAT">
      <formula>NOT(ISERROR(SEARCH("FAT",X27)))</formula>
    </cfRule>
    <cfRule type="containsText" dxfId="1883" priority="2054" operator="containsText" text="FIRE">
      <formula>NOT(ISERROR(SEARCH("FIRE",X27)))</formula>
    </cfRule>
    <cfRule type="containsText" dxfId="1882" priority="2055" operator="containsText" text="COSH">
      <formula>NOT(ISERROR(SEARCH("COSH",X27)))</formula>
    </cfRule>
  </conditionalFormatting>
  <conditionalFormatting sqref="V27:W31">
    <cfRule type="containsText" dxfId="1881" priority="2050" operator="containsText" text="FAT">
      <formula>NOT(ISERROR(SEARCH("FAT",V27)))</formula>
    </cfRule>
    <cfRule type="containsText" dxfId="1880" priority="2051" operator="containsText" text="FIRE">
      <formula>NOT(ISERROR(SEARCH("FIRE",V27)))</formula>
    </cfRule>
    <cfRule type="containsText" dxfId="1879" priority="2052" operator="containsText" text="COSH">
      <formula>NOT(ISERROR(SEARCH("COSH",V27)))</formula>
    </cfRule>
  </conditionalFormatting>
  <conditionalFormatting sqref="X27:X31">
    <cfRule type="containsText" dxfId="1878" priority="2047" operator="containsText" text="FAT">
      <formula>NOT(ISERROR(SEARCH("FAT",X27)))</formula>
    </cfRule>
    <cfRule type="containsText" dxfId="1877" priority="2048" operator="containsText" text="FIRE">
      <formula>NOT(ISERROR(SEARCH("FIRE",X27)))</formula>
    </cfRule>
    <cfRule type="containsText" dxfId="1876" priority="2049" operator="containsText" text="COSH">
      <formula>NOT(ISERROR(SEARCH("COSH",X27)))</formula>
    </cfRule>
  </conditionalFormatting>
  <conditionalFormatting sqref="V27:V31">
    <cfRule type="containsText" dxfId="1875" priority="2044" operator="containsText" text="FAT">
      <formula>NOT(ISERROR(SEARCH("FAT",V27)))</formula>
    </cfRule>
    <cfRule type="containsText" dxfId="1874" priority="2045" operator="containsText" text="FIRE">
      <formula>NOT(ISERROR(SEARCH("FIRE",V27)))</formula>
    </cfRule>
    <cfRule type="containsText" dxfId="1873" priority="2046" operator="containsText" text="COSH">
      <formula>NOT(ISERROR(SEARCH("COSH",V27)))</formula>
    </cfRule>
  </conditionalFormatting>
  <conditionalFormatting sqref="V27:V31">
    <cfRule type="containsText" dxfId="1872" priority="2041" operator="containsText" text="FAT">
      <formula>NOT(ISERROR(SEARCH("FAT",V27)))</formula>
    </cfRule>
    <cfRule type="containsText" dxfId="1871" priority="2042" operator="containsText" text="FIRE">
      <formula>NOT(ISERROR(SEARCH("FIRE",V27)))</formula>
    </cfRule>
    <cfRule type="containsText" dxfId="1870" priority="2043" operator="containsText" text="COSH">
      <formula>NOT(ISERROR(SEARCH("COSH",V27)))</formula>
    </cfRule>
  </conditionalFormatting>
  <conditionalFormatting sqref="V27:V31">
    <cfRule type="containsText" dxfId="1869" priority="2038" operator="containsText" text="FAT">
      <formula>NOT(ISERROR(SEARCH("FAT",V27)))</formula>
    </cfRule>
    <cfRule type="containsText" dxfId="1868" priority="2039" operator="containsText" text="FIRE">
      <formula>NOT(ISERROR(SEARCH("FIRE",V27)))</formula>
    </cfRule>
    <cfRule type="containsText" dxfId="1867" priority="2040" operator="containsText" text="COSH">
      <formula>NOT(ISERROR(SEARCH("COSH",V27)))</formula>
    </cfRule>
  </conditionalFormatting>
  <conditionalFormatting sqref="V27:V31">
    <cfRule type="containsText" dxfId="1866" priority="2035" operator="containsText" text="FAT">
      <formula>NOT(ISERROR(SEARCH("FAT",V27)))</formula>
    </cfRule>
    <cfRule type="containsText" dxfId="1865" priority="2036" operator="containsText" text="FIRE">
      <formula>NOT(ISERROR(SEARCH("FIRE",V27)))</formula>
    </cfRule>
    <cfRule type="containsText" dxfId="1864" priority="2037" operator="containsText" text="COSH">
      <formula>NOT(ISERROR(SEARCH("COSH",V27)))</formula>
    </cfRule>
  </conditionalFormatting>
  <conditionalFormatting sqref="V27:V31">
    <cfRule type="containsText" dxfId="1863" priority="2032" operator="containsText" text="FAT">
      <formula>NOT(ISERROR(SEARCH("FAT",V27)))</formula>
    </cfRule>
    <cfRule type="containsText" dxfId="1862" priority="2033" operator="containsText" text="FIRE">
      <formula>NOT(ISERROR(SEARCH("FIRE",V27)))</formula>
    </cfRule>
    <cfRule type="containsText" dxfId="1861" priority="2034" operator="containsText" text="COSH">
      <formula>NOT(ISERROR(SEARCH("COSH",V27)))</formula>
    </cfRule>
  </conditionalFormatting>
  <conditionalFormatting sqref="V27:V31">
    <cfRule type="containsText" dxfId="1860" priority="2029" operator="containsText" text="FAT">
      <formula>NOT(ISERROR(SEARCH("FAT",V27)))</formula>
    </cfRule>
    <cfRule type="containsText" dxfId="1859" priority="2030" operator="containsText" text="FIRE">
      <formula>NOT(ISERROR(SEARCH("FIRE",V27)))</formula>
    </cfRule>
    <cfRule type="containsText" dxfId="1858" priority="2031" operator="containsText" text="COSH">
      <formula>NOT(ISERROR(SEARCH("COSH",V27)))</formula>
    </cfRule>
  </conditionalFormatting>
  <conditionalFormatting sqref="V27:V31">
    <cfRule type="containsText" dxfId="1857" priority="2026" operator="containsText" text="FAT">
      <formula>NOT(ISERROR(SEARCH("FAT",V27)))</formula>
    </cfRule>
    <cfRule type="containsText" dxfId="1856" priority="2027" operator="containsText" text="FIRE">
      <formula>NOT(ISERROR(SEARCH("FIRE",V27)))</formula>
    </cfRule>
    <cfRule type="containsText" dxfId="1855" priority="2028" operator="containsText" text="COSH">
      <formula>NOT(ISERROR(SEARCH("COSH",V27)))</formula>
    </cfRule>
  </conditionalFormatting>
  <conditionalFormatting sqref="V27:V31">
    <cfRule type="containsText" dxfId="1854" priority="2023" operator="containsText" text="FAT">
      <formula>NOT(ISERROR(SEARCH("FAT",V27)))</formula>
    </cfRule>
    <cfRule type="containsText" dxfId="1853" priority="2024" operator="containsText" text="FIRE">
      <formula>NOT(ISERROR(SEARCH("FIRE",V27)))</formula>
    </cfRule>
    <cfRule type="containsText" dxfId="1852" priority="2025" operator="containsText" text="COSH">
      <formula>NOT(ISERROR(SEARCH("COSH",V27)))</formula>
    </cfRule>
  </conditionalFormatting>
  <conditionalFormatting sqref="V27:V31">
    <cfRule type="containsText" dxfId="1851" priority="2020" operator="containsText" text="FAT">
      <formula>NOT(ISERROR(SEARCH("FAT",V27)))</formula>
    </cfRule>
    <cfRule type="containsText" dxfId="1850" priority="2021" operator="containsText" text="FIRE">
      <formula>NOT(ISERROR(SEARCH("FIRE",V27)))</formula>
    </cfRule>
    <cfRule type="containsText" dxfId="1849" priority="2022" operator="containsText" text="COSH">
      <formula>NOT(ISERROR(SEARCH("COSH",V27)))</formula>
    </cfRule>
  </conditionalFormatting>
  <conditionalFormatting sqref="V27:V31">
    <cfRule type="containsText" dxfId="1848" priority="2017" operator="containsText" text="FAT">
      <formula>NOT(ISERROR(SEARCH("FAT",V27)))</formula>
    </cfRule>
    <cfRule type="containsText" dxfId="1847" priority="2018" operator="containsText" text="FIRE">
      <formula>NOT(ISERROR(SEARCH("FIRE",V27)))</formula>
    </cfRule>
    <cfRule type="containsText" dxfId="1846" priority="2019" operator="containsText" text="COSH">
      <formula>NOT(ISERROR(SEARCH("COSH",V27)))</formula>
    </cfRule>
  </conditionalFormatting>
  <conditionalFormatting sqref="Z27:Z31">
    <cfRule type="containsText" dxfId="1845" priority="2014" operator="containsText" text="FAT">
      <formula>NOT(ISERROR(SEARCH("FAT",Z27)))</formula>
    </cfRule>
    <cfRule type="containsText" dxfId="1844" priority="2015" operator="containsText" text="FIRE">
      <formula>NOT(ISERROR(SEARCH("FIRE",Z27)))</formula>
    </cfRule>
    <cfRule type="containsText" dxfId="1843" priority="2016" operator="containsText" text="COSH">
      <formula>NOT(ISERROR(SEARCH("COSH",Z27)))</formula>
    </cfRule>
  </conditionalFormatting>
  <conditionalFormatting sqref="AA27:AA31">
    <cfRule type="containsText" dxfId="1842" priority="2011" operator="containsText" text="FAT">
      <formula>NOT(ISERROR(SEARCH("FAT",AA27)))</formula>
    </cfRule>
    <cfRule type="containsText" dxfId="1841" priority="2012" operator="containsText" text="FIRE">
      <formula>NOT(ISERROR(SEARCH("FIRE",AA27)))</formula>
    </cfRule>
    <cfRule type="containsText" dxfId="1840" priority="2013" operator="containsText" text="COSH">
      <formula>NOT(ISERROR(SEARCH("COSH",AA27)))</formula>
    </cfRule>
  </conditionalFormatting>
  <conditionalFormatting sqref="Y27:Y31">
    <cfRule type="containsText" dxfId="1839" priority="2008" operator="containsText" text="FAT">
      <formula>NOT(ISERROR(SEARCH("FAT",Y27)))</formula>
    </cfRule>
    <cfRule type="containsText" dxfId="1838" priority="2009" operator="containsText" text="FIRE">
      <formula>NOT(ISERROR(SEARCH("FIRE",Y27)))</formula>
    </cfRule>
    <cfRule type="containsText" dxfId="1837" priority="2010" operator="containsText" text="COSH">
      <formula>NOT(ISERROR(SEARCH("COSH",Y27)))</formula>
    </cfRule>
  </conditionalFormatting>
  <conditionalFormatting sqref="X27:X31">
    <cfRule type="containsText" dxfId="1836" priority="2005" operator="containsText" text="FAT">
      <formula>NOT(ISERROR(SEARCH("FAT",X27)))</formula>
    </cfRule>
    <cfRule type="containsText" dxfId="1835" priority="2006" operator="containsText" text="FIRE">
      <formula>NOT(ISERROR(SEARCH("FIRE",X27)))</formula>
    </cfRule>
    <cfRule type="containsText" dxfId="1834" priority="2007" operator="containsText" text="COSH">
      <formula>NOT(ISERROR(SEARCH("COSH",X27)))</formula>
    </cfRule>
  </conditionalFormatting>
  <conditionalFormatting sqref="V27:W31">
    <cfRule type="containsText" dxfId="1833" priority="2002" operator="containsText" text="FAT">
      <formula>NOT(ISERROR(SEARCH("FAT",V27)))</formula>
    </cfRule>
    <cfRule type="containsText" dxfId="1832" priority="2003" operator="containsText" text="FIRE">
      <formula>NOT(ISERROR(SEARCH("FIRE",V27)))</formula>
    </cfRule>
    <cfRule type="containsText" dxfId="1831" priority="2004" operator="containsText" text="COSH">
      <formula>NOT(ISERROR(SEARCH("COSH",V27)))</formula>
    </cfRule>
  </conditionalFormatting>
  <conditionalFormatting sqref="X27:X31">
    <cfRule type="containsText" dxfId="1830" priority="1999" operator="containsText" text="FAT">
      <formula>NOT(ISERROR(SEARCH("FAT",X27)))</formula>
    </cfRule>
    <cfRule type="containsText" dxfId="1829" priority="2000" operator="containsText" text="FIRE">
      <formula>NOT(ISERROR(SEARCH("FIRE",X27)))</formula>
    </cfRule>
    <cfRule type="containsText" dxfId="1828" priority="2001" operator="containsText" text="COSH">
      <formula>NOT(ISERROR(SEARCH("COSH",X27)))</formula>
    </cfRule>
  </conditionalFormatting>
  <conditionalFormatting sqref="V27:W31">
    <cfRule type="containsText" dxfId="1827" priority="1996" operator="containsText" text="FAT">
      <formula>NOT(ISERROR(SEARCH("FAT",V27)))</formula>
    </cfRule>
    <cfRule type="containsText" dxfId="1826" priority="1997" operator="containsText" text="FIRE">
      <formula>NOT(ISERROR(SEARCH("FIRE",V27)))</formula>
    </cfRule>
    <cfRule type="containsText" dxfId="1825" priority="1998" operator="containsText" text="COSH">
      <formula>NOT(ISERROR(SEARCH("COSH",V27)))</formula>
    </cfRule>
  </conditionalFormatting>
  <conditionalFormatting sqref="X27:X31">
    <cfRule type="containsText" dxfId="1824" priority="1993" operator="containsText" text="FAT">
      <formula>NOT(ISERROR(SEARCH("FAT",X27)))</formula>
    </cfRule>
    <cfRule type="containsText" dxfId="1823" priority="1994" operator="containsText" text="FIRE">
      <formula>NOT(ISERROR(SEARCH("FIRE",X27)))</formula>
    </cfRule>
    <cfRule type="containsText" dxfId="1822" priority="1995" operator="containsText" text="COSH">
      <formula>NOT(ISERROR(SEARCH("COSH",X27)))</formula>
    </cfRule>
  </conditionalFormatting>
  <conditionalFormatting sqref="V27:W31">
    <cfRule type="containsText" dxfId="1821" priority="1990" operator="containsText" text="FAT">
      <formula>NOT(ISERROR(SEARCH("FAT",V27)))</formula>
    </cfRule>
    <cfRule type="containsText" dxfId="1820" priority="1991" operator="containsText" text="FIRE">
      <formula>NOT(ISERROR(SEARCH("FIRE",V27)))</formula>
    </cfRule>
    <cfRule type="containsText" dxfId="1819" priority="1992" operator="containsText" text="COSH">
      <formula>NOT(ISERROR(SEARCH("COSH",V27)))</formula>
    </cfRule>
  </conditionalFormatting>
  <conditionalFormatting sqref="X27:X31">
    <cfRule type="containsText" dxfId="1818" priority="1987" operator="containsText" text="FAT">
      <formula>NOT(ISERROR(SEARCH("FAT",X27)))</formula>
    </cfRule>
    <cfRule type="containsText" dxfId="1817" priority="1988" operator="containsText" text="FIRE">
      <formula>NOT(ISERROR(SEARCH("FIRE",X27)))</formula>
    </cfRule>
    <cfRule type="containsText" dxfId="1816" priority="1989" operator="containsText" text="COSH">
      <formula>NOT(ISERROR(SEARCH("COSH",X27)))</formula>
    </cfRule>
  </conditionalFormatting>
  <conditionalFormatting sqref="V27:W31">
    <cfRule type="containsText" dxfId="1815" priority="1984" operator="containsText" text="FAT">
      <formula>NOT(ISERROR(SEARCH("FAT",V27)))</formula>
    </cfRule>
    <cfRule type="containsText" dxfId="1814" priority="1985" operator="containsText" text="FIRE">
      <formula>NOT(ISERROR(SEARCH("FIRE",V27)))</formula>
    </cfRule>
    <cfRule type="containsText" dxfId="1813" priority="1986" operator="containsText" text="COSH">
      <formula>NOT(ISERROR(SEARCH("COSH",V27)))</formula>
    </cfRule>
  </conditionalFormatting>
  <conditionalFormatting sqref="X27:X31">
    <cfRule type="containsText" dxfId="1812" priority="1981" operator="containsText" text="FAT">
      <formula>NOT(ISERROR(SEARCH("FAT",X27)))</formula>
    </cfRule>
    <cfRule type="containsText" dxfId="1811" priority="1982" operator="containsText" text="FIRE">
      <formula>NOT(ISERROR(SEARCH("FIRE",X27)))</formula>
    </cfRule>
    <cfRule type="containsText" dxfId="1810" priority="1983" operator="containsText" text="COSH">
      <formula>NOT(ISERROR(SEARCH("COSH",X27)))</formula>
    </cfRule>
  </conditionalFormatting>
  <conditionalFormatting sqref="V27:V31">
    <cfRule type="containsText" dxfId="1809" priority="1978" operator="containsText" text="FAT">
      <formula>NOT(ISERROR(SEARCH("FAT",V27)))</formula>
    </cfRule>
    <cfRule type="containsText" dxfId="1808" priority="1979" operator="containsText" text="FIRE">
      <formula>NOT(ISERROR(SEARCH("FIRE",V27)))</formula>
    </cfRule>
    <cfRule type="containsText" dxfId="1807" priority="1980" operator="containsText" text="COSH">
      <formula>NOT(ISERROR(SEARCH("COSH",V27)))</formula>
    </cfRule>
  </conditionalFormatting>
  <conditionalFormatting sqref="V27:V31">
    <cfRule type="containsText" dxfId="1806" priority="1975" operator="containsText" text="FAT">
      <formula>NOT(ISERROR(SEARCH("FAT",V27)))</formula>
    </cfRule>
    <cfRule type="containsText" dxfId="1805" priority="1976" operator="containsText" text="FIRE">
      <formula>NOT(ISERROR(SEARCH("FIRE",V27)))</formula>
    </cfRule>
    <cfRule type="containsText" dxfId="1804" priority="1977" operator="containsText" text="COSH">
      <formula>NOT(ISERROR(SEARCH("COSH",V27)))</formula>
    </cfRule>
  </conditionalFormatting>
  <conditionalFormatting sqref="V27:V31">
    <cfRule type="containsText" dxfId="1803" priority="1972" operator="containsText" text="FAT">
      <formula>NOT(ISERROR(SEARCH("FAT",V27)))</formula>
    </cfRule>
    <cfRule type="containsText" dxfId="1802" priority="1973" operator="containsText" text="FIRE">
      <formula>NOT(ISERROR(SEARCH("FIRE",V27)))</formula>
    </cfRule>
    <cfRule type="containsText" dxfId="1801" priority="1974" operator="containsText" text="COSH">
      <formula>NOT(ISERROR(SEARCH("COSH",V27)))</formula>
    </cfRule>
  </conditionalFormatting>
  <conditionalFormatting sqref="V27:V31">
    <cfRule type="containsText" dxfId="1800" priority="1969" operator="containsText" text="FAT">
      <formula>NOT(ISERROR(SEARCH("FAT",V27)))</formula>
    </cfRule>
    <cfRule type="containsText" dxfId="1799" priority="1970" operator="containsText" text="FIRE">
      <formula>NOT(ISERROR(SEARCH("FIRE",V27)))</formula>
    </cfRule>
    <cfRule type="containsText" dxfId="1798" priority="1971" operator="containsText" text="COSH">
      <formula>NOT(ISERROR(SEARCH("COSH",V27)))</formula>
    </cfRule>
  </conditionalFormatting>
  <conditionalFormatting sqref="V27:V31">
    <cfRule type="containsText" dxfId="1797" priority="1966" operator="containsText" text="FAT">
      <formula>NOT(ISERROR(SEARCH("FAT",V27)))</formula>
    </cfRule>
    <cfRule type="containsText" dxfId="1796" priority="1967" operator="containsText" text="FIRE">
      <formula>NOT(ISERROR(SEARCH("FIRE",V27)))</formula>
    </cfRule>
    <cfRule type="containsText" dxfId="1795" priority="1968" operator="containsText" text="COSH">
      <formula>NOT(ISERROR(SEARCH("COSH",V27)))</formula>
    </cfRule>
  </conditionalFormatting>
  <conditionalFormatting sqref="V27:V31">
    <cfRule type="containsText" dxfId="1794" priority="1963" operator="containsText" text="FAT">
      <formula>NOT(ISERROR(SEARCH("FAT",V27)))</formula>
    </cfRule>
    <cfRule type="containsText" dxfId="1793" priority="1964" operator="containsText" text="FIRE">
      <formula>NOT(ISERROR(SEARCH("FIRE",V27)))</formula>
    </cfRule>
    <cfRule type="containsText" dxfId="1792" priority="1965" operator="containsText" text="COSH">
      <formula>NOT(ISERROR(SEARCH("COSH",V27)))</formula>
    </cfRule>
  </conditionalFormatting>
  <conditionalFormatting sqref="V27:V31">
    <cfRule type="containsText" dxfId="1791" priority="1960" operator="containsText" text="FAT">
      <formula>NOT(ISERROR(SEARCH("FAT",V27)))</formula>
    </cfRule>
    <cfRule type="containsText" dxfId="1790" priority="1961" operator="containsText" text="FIRE">
      <formula>NOT(ISERROR(SEARCH("FIRE",V27)))</formula>
    </cfRule>
    <cfRule type="containsText" dxfId="1789" priority="1962" operator="containsText" text="COSH">
      <formula>NOT(ISERROR(SEARCH("COSH",V27)))</formula>
    </cfRule>
  </conditionalFormatting>
  <conditionalFormatting sqref="V27:V31">
    <cfRule type="containsText" dxfId="1788" priority="1957" operator="containsText" text="FAT">
      <formula>NOT(ISERROR(SEARCH("FAT",V27)))</formula>
    </cfRule>
    <cfRule type="containsText" dxfId="1787" priority="1958" operator="containsText" text="FIRE">
      <formula>NOT(ISERROR(SEARCH("FIRE",V27)))</formula>
    </cfRule>
    <cfRule type="containsText" dxfId="1786" priority="1959" operator="containsText" text="COSH">
      <formula>NOT(ISERROR(SEARCH("COSH",V27)))</formula>
    </cfRule>
  </conditionalFormatting>
  <conditionalFormatting sqref="V27:V31">
    <cfRule type="containsText" dxfId="1785" priority="1954" operator="containsText" text="FAT">
      <formula>NOT(ISERROR(SEARCH("FAT",V27)))</formula>
    </cfRule>
    <cfRule type="containsText" dxfId="1784" priority="1955" operator="containsText" text="FIRE">
      <formula>NOT(ISERROR(SEARCH("FIRE",V27)))</formula>
    </cfRule>
    <cfRule type="containsText" dxfId="1783" priority="1956" operator="containsText" text="COSH">
      <formula>NOT(ISERROR(SEARCH("COSH",V27)))</formula>
    </cfRule>
  </conditionalFormatting>
  <conditionalFormatting sqref="V27:V31">
    <cfRule type="containsText" dxfId="1782" priority="1951" operator="containsText" text="FAT">
      <formula>NOT(ISERROR(SEARCH("FAT",V27)))</formula>
    </cfRule>
    <cfRule type="containsText" dxfId="1781" priority="1952" operator="containsText" text="FIRE">
      <formula>NOT(ISERROR(SEARCH("FIRE",V27)))</formula>
    </cfRule>
    <cfRule type="containsText" dxfId="1780" priority="1953" operator="containsText" text="COSH">
      <formula>NOT(ISERROR(SEARCH("COSH",V27)))</formula>
    </cfRule>
  </conditionalFormatting>
  <conditionalFormatting sqref="AC57">
    <cfRule type="cellIs" dxfId="1779" priority="1947" operator="equal">
      <formula>"EL"</formula>
    </cfRule>
    <cfRule type="cellIs" dxfId="1778" priority="1948" operator="equal">
      <formula>"SL"</formula>
    </cfRule>
  </conditionalFormatting>
  <conditionalFormatting sqref="AC57">
    <cfRule type="containsText" dxfId="1777" priority="1932" operator="containsText" text="EL">
      <formula>NOT(ISERROR(SEARCH("EL",AC57)))</formula>
    </cfRule>
    <cfRule type="containsText" dxfId="1776" priority="1933" operator="containsText" text="Q">
      <formula>NOT(ISERROR(SEARCH("Q",AC57)))</formula>
    </cfRule>
  </conditionalFormatting>
  <conditionalFormatting sqref="AC57">
    <cfRule type="containsText" dxfId="1775" priority="1931" operator="containsText" text="1ET">
      <formula>NOT(ISERROR(SEARCH("1ET",AC57)))</formula>
    </cfRule>
  </conditionalFormatting>
  <conditionalFormatting sqref="AC57">
    <cfRule type="containsText" dxfId="1774" priority="1929" operator="containsText" text="3ET">
      <formula>NOT(ISERROR(SEARCH("3ET",AC57)))</formula>
    </cfRule>
    <cfRule type="containsText" dxfId="1773" priority="1930" operator="containsText" text="1OT">
      <formula>NOT(ISERROR(SEARCH("1OT",AC57)))</formula>
    </cfRule>
  </conditionalFormatting>
  <conditionalFormatting sqref="AD39">
    <cfRule type="containsText" dxfId="1772" priority="1926" operator="containsText" text="FAT">
      <formula>NOT(ISERROR(SEARCH("FAT",AD39)))</formula>
    </cfRule>
    <cfRule type="containsText" dxfId="1771" priority="1927" operator="containsText" text="FIRE">
      <formula>NOT(ISERROR(SEARCH("FIRE",AD39)))</formula>
    </cfRule>
    <cfRule type="containsText" dxfId="1770" priority="1928" operator="containsText" text="COSH">
      <formula>NOT(ISERROR(SEARCH("COSH",AD39)))</formula>
    </cfRule>
  </conditionalFormatting>
  <conditionalFormatting sqref="AD39">
    <cfRule type="cellIs" dxfId="1769" priority="1925" operator="between">
      <formula>1</formula>
      <formula>3</formula>
    </cfRule>
  </conditionalFormatting>
  <conditionalFormatting sqref="AD39">
    <cfRule type="cellIs" dxfId="1768" priority="1924" operator="equal">
      <formula>0</formula>
    </cfRule>
  </conditionalFormatting>
  <conditionalFormatting sqref="AD57:AE57">
    <cfRule type="cellIs" dxfId="1767" priority="1920" operator="equal">
      <formula>"EL"</formula>
    </cfRule>
    <cfRule type="cellIs" dxfId="1766" priority="1921" operator="equal">
      <formula>"SL"</formula>
    </cfRule>
  </conditionalFormatting>
  <conditionalFormatting sqref="AD57:AE57">
    <cfRule type="containsText" dxfId="1765" priority="1905" operator="containsText" text="EL">
      <formula>NOT(ISERROR(SEARCH("EL",AD57)))</formula>
    </cfRule>
    <cfRule type="containsText" dxfId="1764" priority="1906" operator="containsText" text="Q">
      <formula>NOT(ISERROR(SEARCH("Q",AD57)))</formula>
    </cfRule>
  </conditionalFormatting>
  <conditionalFormatting sqref="AD57:AE57">
    <cfRule type="containsText" dxfId="1763" priority="1904" operator="containsText" text="1ET">
      <formula>NOT(ISERROR(SEARCH("1ET",AD57)))</formula>
    </cfRule>
  </conditionalFormatting>
  <conditionalFormatting sqref="AD57:AE57">
    <cfRule type="containsText" dxfId="1762" priority="1902" operator="containsText" text="3ET">
      <formula>NOT(ISERROR(SEARCH("3ET",AD57)))</formula>
    </cfRule>
    <cfRule type="containsText" dxfId="1761" priority="1903" operator="containsText" text="1OT">
      <formula>NOT(ISERROR(SEARCH("1OT",AD57)))</formula>
    </cfRule>
  </conditionalFormatting>
  <conditionalFormatting sqref="H53">
    <cfRule type="containsText" dxfId="1760" priority="1899" operator="containsText" text="FAT">
      <formula>NOT(ISERROR(SEARCH("FAT",H53)))</formula>
    </cfRule>
    <cfRule type="containsText" dxfId="1759" priority="1900" operator="containsText" text="FIRE">
      <formula>NOT(ISERROR(SEARCH("FIRE",H53)))</formula>
    </cfRule>
    <cfRule type="containsText" dxfId="1758" priority="1901" operator="containsText" text="COSH">
      <formula>NOT(ISERROR(SEARCH("COSH",H53)))</formula>
    </cfRule>
  </conditionalFormatting>
  <conditionalFormatting sqref="H53">
    <cfRule type="cellIs" dxfId="1757" priority="1898" operator="between">
      <formula>1</formula>
      <formula>3</formula>
    </cfRule>
  </conditionalFormatting>
  <conditionalFormatting sqref="H53">
    <cfRule type="containsText" dxfId="1756" priority="1895" operator="containsText" text="FAT">
      <formula>NOT(ISERROR(SEARCH("FAT",H53)))</formula>
    </cfRule>
    <cfRule type="containsText" dxfId="1755" priority="1896" operator="containsText" text="FIRE">
      <formula>NOT(ISERROR(SEARCH("FIRE",H53)))</formula>
    </cfRule>
    <cfRule type="containsText" dxfId="1754" priority="1897" operator="containsText" text="COSH">
      <formula>NOT(ISERROR(SEARCH("COSH",H53)))</formula>
    </cfRule>
  </conditionalFormatting>
  <conditionalFormatting sqref="H53">
    <cfRule type="cellIs" dxfId="1753" priority="1894" operator="equal">
      <formula>0</formula>
    </cfRule>
  </conditionalFormatting>
  <conditionalFormatting sqref="G49:H50 H51 G51:G54 H54:I54 H52:I52 G56:I58 G60:I60">
    <cfRule type="containsText" dxfId="1752" priority="1891" operator="containsText" text="FAT">
      <formula>NOT(ISERROR(SEARCH("FAT",G49)))</formula>
    </cfRule>
    <cfRule type="containsText" dxfId="1751" priority="1892" operator="containsText" text="FIRE">
      <formula>NOT(ISERROR(SEARCH("FIRE",G49)))</formula>
    </cfRule>
    <cfRule type="containsText" dxfId="1750" priority="1893" operator="containsText" text="COSH">
      <formula>NOT(ISERROR(SEARCH("COSH",G49)))</formula>
    </cfRule>
  </conditionalFormatting>
  <conditionalFormatting sqref="G47:H47">
    <cfRule type="containsText" dxfId="1749" priority="1888" operator="containsText" text="FAT">
      <formula>NOT(ISERROR(SEARCH("FAT",G47)))</formula>
    </cfRule>
    <cfRule type="containsText" dxfId="1748" priority="1889" operator="containsText" text="FIRE">
      <formula>NOT(ISERROR(SEARCH("FIRE",G47)))</formula>
    </cfRule>
    <cfRule type="containsText" dxfId="1747" priority="1890" operator="containsText" text="COSH">
      <formula>NOT(ISERROR(SEARCH("COSH",G47)))</formula>
    </cfRule>
  </conditionalFormatting>
  <conditionalFormatting sqref="H51">
    <cfRule type="containsText" dxfId="1746" priority="1885" operator="containsText" text="FAT">
      <formula>NOT(ISERROR(SEARCH("FAT",H51)))</formula>
    </cfRule>
    <cfRule type="containsText" dxfId="1745" priority="1886" operator="containsText" text="FIRE">
      <formula>NOT(ISERROR(SEARCH("FIRE",H51)))</formula>
    </cfRule>
    <cfRule type="containsText" dxfId="1744" priority="1887" operator="containsText" text="COSH">
      <formula>NOT(ISERROR(SEARCH("COSH",H51)))</formula>
    </cfRule>
  </conditionalFormatting>
  <conditionalFormatting sqref="G47:H47 H51 G51:G54 H54:I54 H52:I52 G49:H50 G56:I58 G60:I60">
    <cfRule type="cellIs" dxfId="1743" priority="1884" operator="between">
      <formula>1</formula>
      <formula>3</formula>
    </cfRule>
  </conditionalFormatting>
  <conditionalFormatting sqref="G47:H47">
    <cfRule type="containsText" dxfId="1742" priority="1881" operator="containsText" text="FAT">
      <formula>NOT(ISERROR(SEARCH("FAT",G47)))</formula>
    </cfRule>
    <cfRule type="containsText" dxfId="1741" priority="1882" operator="containsText" text="FIRE">
      <formula>NOT(ISERROR(SEARCH("FIRE",G47)))</formula>
    </cfRule>
    <cfRule type="containsText" dxfId="1740" priority="1883" operator="containsText" text="COSH">
      <formula>NOT(ISERROR(SEARCH("COSH",G47)))</formula>
    </cfRule>
  </conditionalFormatting>
  <conditionalFormatting sqref="G47:H47">
    <cfRule type="containsText" dxfId="1739" priority="1878" operator="containsText" text="FAT">
      <formula>NOT(ISERROR(SEARCH("FAT",G47)))</formula>
    </cfRule>
    <cfRule type="containsText" dxfId="1738" priority="1879" operator="containsText" text="FIRE">
      <formula>NOT(ISERROR(SEARCH("FIRE",G47)))</formula>
    </cfRule>
    <cfRule type="containsText" dxfId="1737" priority="1880" operator="containsText" text="COSH">
      <formula>NOT(ISERROR(SEARCH("COSH",G47)))</formula>
    </cfRule>
  </conditionalFormatting>
  <conditionalFormatting sqref="G47:H47">
    <cfRule type="containsText" dxfId="1736" priority="1875" operator="containsText" text="FAT">
      <formula>NOT(ISERROR(SEARCH("FAT",G47)))</formula>
    </cfRule>
    <cfRule type="containsText" dxfId="1735" priority="1876" operator="containsText" text="FIRE">
      <formula>NOT(ISERROR(SEARCH("FIRE",G47)))</formula>
    </cfRule>
    <cfRule type="containsText" dxfId="1734" priority="1877" operator="containsText" text="COSH">
      <formula>NOT(ISERROR(SEARCH("COSH",G47)))</formula>
    </cfRule>
  </conditionalFormatting>
  <conditionalFormatting sqref="G47:H47">
    <cfRule type="containsText" dxfId="1733" priority="1872" operator="containsText" text="FAT">
      <formula>NOT(ISERROR(SEARCH("FAT",G47)))</formula>
    </cfRule>
    <cfRule type="containsText" dxfId="1732" priority="1873" operator="containsText" text="FIRE">
      <formula>NOT(ISERROR(SEARCH("FIRE",G47)))</formula>
    </cfRule>
    <cfRule type="containsText" dxfId="1731" priority="1874" operator="containsText" text="COSH">
      <formula>NOT(ISERROR(SEARCH("COSH",G47)))</formula>
    </cfRule>
  </conditionalFormatting>
  <conditionalFormatting sqref="G49:H50 H51 G51:G54 H54:I54 H52:I52 G56:I58 G60:I60">
    <cfRule type="containsText" dxfId="1730" priority="1869" operator="containsText" text="FAT">
      <formula>NOT(ISERROR(SEARCH("FAT",G49)))</formula>
    </cfRule>
    <cfRule type="containsText" dxfId="1729" priority="1870" operator="containsText" text="FIRE">
      <formula>NOT(ISERROR(SEARCH("FIRE",G49)))</formula>
    </cfRule>
    <cfRule type="containsText" dxfId="1728" priority="1871" operator="containsText" text="COSH">
      <formula>NOT(ISERROR(SEARCH("COSH",G49)))</formula>
    </cfRule>
  </conditionalFormatting>
  <conditionalFormatting sqref="G49:H50 H51 G51:G54 H54:I54 H52:I52 G56:I58 G60:I60">
    <cfRule type="containsText" dxfId="1727" priority="1866" operator="containsText" text="FAT">
      <formula>NOT(ISERROR(SEARCH("FAT",G49)))</formula>
    </cfRule>
    <cfRule type="containsText" dxfId="1726" priority="1867" operator="containsText" text="FIRE">
      <formula>NOT(ISERROR(SEARCH("FIRE",G49)))</formula>
    </cfRule>
    <cfRule type="containsText" dxfId="1725" priority="1868" operator="containsText" text="COSH">
      <formula>NOT(ISERROR(SEARCH("COSH",G49)))</formula>
    </cfRule>
  </conditionalFormatting>
  <conditionalFormatting sqref="G49:H50 H51 G51:G54 H54:I54 H52:I52 G56:I58 G60:I60">
    <cfRule type="containsText" dxfId="1724" priority="1863" operator="containsText" text="FAT">
      <formula>NOT(ISERROR(SEARCH("FAT",G49)))</formula>
    </cfRule>
    <cfRule type="containsText" dxfId="1723" priority="1864" operator="containsText" text="FIRE">
      <formula>NOT(ISERROR(SEARCH("FIRE",G49)))</formula>
    </cfRule>
    <cfRule type="containsText" dxfId="1722" priority="1865" operator="containsText" text="COSH">
      <formula>NOT(ISERROR(SEARCH("COSH",G49)))</formula>
    </cfRule>
  </conditionalFormatting>
  <conditionalFormatting sqref="G49:H50 H51 G51:G54 H54:I54 H52:I52 G56:I58 G60:I60">
    <cfRule type="containsText" dxfId="1721" priority="1860" operator="containsText" text="FAT">
      <formula>NOT(ISERROR(SEARCH("FAT",G49)))</formula>
    </cfRule>
    <cfRule type="containsText" dxfId="1720" priority="1861" operator="containsText" text="FIRE">
      <formula>NOT(ISERROR(SEARCH("FIRE",G49)))</formula>
    </cfRule>
    <cfRule type="containsText" dxfId="1719" priority="1862" operator="containsText" text="COSH">
      <formula>NOT(ISERROR(SEARCH("COSH",G49)))</formula>
    </cfRule>
  </conditionalFormatting>
  <conditionalFormatting sqref="G47:H47 H51 G51:G54 H54:I54 H52:I52 G49:H50 G56:I58 G60:I60">
    <cfRule type="cellIs" dxfId="1718" priority="1859" operator="equal">
      <formula>0</formula>
    </cfRule>
  </conditionalFormatting>
  <conditionalFormatting sqref="G45:I46 K45:K46">
    <cfRule type="containsText" dxfId="1717" priority="1856" operator="containsText" text="FAT">
      <formula>NOT(ISERROR(SEARCH("FAT",G45)))</formula>
    </cfRule>
    <cfRule type="containsText" dxfId="1716" priority="1857" operator="containsText" text="FIRE">
      <formula>NOT(ISERROR(SEARCH("FIRE",G45)))</formula>
    </cfRule>
    <cfRule type="containsText" dxfId="1715" priority="1858" operator="containsText" text="COSH">
      <formula>NOT(ISERROR(SEARCH("COSH",G45)))</formula>
    </cfRule>
  </conditionalFormatting>
  <conditionalFormatting sqref="G44:I44 K44">
    <cfRule type="containsText" dxfId="1714" priority="1853" operator="containsText" text="FAT">
      <formula>NOT(ISERROR(SEARCH("FAT",G44)))</formula>
    </cfRule>
    <cfRule type="containsText" dxfId="1713" priority="1854" operator="containsText" text="FIRE">
      <formula>NOT(ISERROR(SEARCH("FIRE",G44)))</formula>
    </cfRule>
    <cfRule type="containsText" dxfId="1712" priority="1855" operator="containsText" text="COSH">
      <formula>NOT(ISERROR(SEARCH("COSH",G44)))</formula>
    </cfRule>
  </conditionalFormatting>
  <conditionalFormatting sqref="G44:I46 K44:K46">
    <cfRule type="cellIs" dxfId="1711" priority="1852" operator="between">
      <formula>1</formula>
      <formula>3</formula>
    </cfRule>
  </conditionalFormatting>
  <conditionalFormatting sqref="G44:I44 K44">
    <cfRule type="containsText" dxfId="1710" priority="1849" operator="containsText" text="FAT">
      <formula>NOT(ISERROR(SEARCH("FAT",G44)))</formula>
    </cfRule>
    <cfRule type="containsText" dxfId="1709" priority="1850" operator="containsText" text="FIRE">
      <formula>NOT(ISERROR(SEARCH("FIRE",G44)))</formula>
    </cfRule>
    <cfRule type="containsText" dxfId="1708" priority="1851" operator="containsText" text="COSH">
      <formula>NOT(ISERROR(SEARCH("COSH",G44)))</formula>
    </cfRule>
  </conditionalFormatting>
  <conditionalFormatting sqref="G44:I44 K44">
    <cfRule type="containsText" dxfId="1707" priority="1846" operator="containsText" text="FAT">
      <formula>NOT(ISERROR(SEARCH("FAT",G44)))</formula>
    </cfRule>
    <cfRule type="containsText" dxfId="1706" priority="1847" operator="containsText" text="FIRE">
      <formula>NOT(ISERROR(SEARCH("FIRE",G44)))</formula>
    </cfRule>
    <cfRule type="containsText" dxfId="1705" priority="1848" operator="containsText" text="COSH">
      <formula>NOT(ISERROR(SEARCH("COSH",G44)))</formula>
    </cfRule>
  </conditionalFormatting>
  <conditionalFormatting sqref="G44:I44 K44">
    <cfRule type="containsText" dxfId="1704" priority="1843" operator="containsText" text="FAT">
      <formula>NOT(ISERROR(SEARCH("FAT",G44)))</formula>
    </cfRule>
    <cfRule type="containsText" dxfId="1703" priority="1844" operator="containsText" text="FIRE">
      <formula>NOT(ISERROR(SEARCH("FIRE",G44)))</formula>
    </cfRule>
    <cfRule type="containsText" dxfId="1702" priority="1845" operator="containsText" text="COSH">
      <formula>NOT(ISERROR(SEARCH("COSH",G44)))</formula>
    </cfRule>
  </conditionalFormatting>
  <conditionalFormatting sqref="G45:I46 K45:K46">
    <cfRule type="containsText" dxfId="1701" priority="1840" operator="containsText" text="FAT">
      <formula>NOT(ISERROR(SEARCH("FAT",G45)))</formula>
    </cfRule>
    <cfRule type="containsText" dxfId="1700" priority="1841" operator="containsText" text="FIRE">
      <formula>NOT(ISERROR(SEARCH("FIRE",G45)))</formula>
    </cfRule>
    <cfRule type="containsText" dxfId="1699" priority="1842" operator="containsText" text="COSH">
      <formula>NOT(ISERROR(SEARCH("COSH",G45)))</formula>
    </cfRule>
  </conditionalFormatting>
  <conditionalFormatting sqref="G45:I46 K45:K46">
    <cfRule type="containsText" dxfId="1698" priority="1837" operator="containsText" text="FAT">
      <formula>NOT(ISERROR(SEARCH("FAT",G45)))</formula>
    </cfRule>
    <cfRule type="containsText" dxfId="1697" priority="1838" operator="containsText" text="FIRE">
      <formula>NOT(ISERROR(SEARCH("FIRE",G45)))</formula>
    </cfRule>
    <cfRule type="containsText" dxfId="1696" priority="1839" operator="containsText" text="COSH">
      <formula>NOT(ISERROR(SEARCH("COSH",G45)))</formula>
    </cfRule>
  </conditionalFormatting>
  <conditionalFormatting sqref="G45:I46 K45:K46">
    <cfRule type="containsText" dxfId="1695" priority="1834" operator="containsText" text="FAT">
      <formula>NOT(ISERROR(SEARCH("FAT",G45)))</formula>
    </cfRule>
    <cfRule type="containsText" dxfId="1694" priority="1835" operator="containsText" text="FIRE">
      <formula>NOT(ISERROR(SEARCH("FIRE",G45)))</formula>
    </cfRule>
    <cfRule type="containsText" dxfId="1693" priority="1836" operator="containsText" text="COSH">
      <formula>NOT(ISERROR(SEARCH("COSH",G45)))</formula>
    </cfRule>
  </conditionalFormatting>
  <conditionalFormatting sqref="G45:I46 K45:K46">
    <cfRule type="containsText" dxfId="1692" priority="1831" operator="containsText" text="FAT">
      <formula>NOT(ISERROR(SEARCH("FAT",G45)))</formula>
    </cfRule>
    <cfRule type="containsText" dxfId="1691" priority="1832" operator="containsText" text="FIRE">
      <formula>NOT(ISERROR(SEARCH("FIRE",G45)))</formula>
    </cfRule>
    <cfRule type="containsText" dxfId="1690" priority="1833" operator="containsText" text="COSH">
      <formula>NOT(ISERROR(SEARCH("COSH",G45)))</formula>
    </cfRule>
  </conditionalFormatting>
  <conditionalFormatting sqref="G44:I46 K44:K46">
    <cfRule type="cellIs" dxfId="1689" priority="1830" operator="equal">
      <formula>0</formula>
    </cfRule>
  </conditionalFormatting>
  <conditionalFormatting sqref="AC101 AC94:AC98 AC116 AC104 AC107 AC110 AC113">
    <cfRule type="containsText" dxfId="1688" priority="1827" operator="containsText" text="FAT">
      <formula>NOT(ISERROR(SEARCH("FAT",AC94)))</formula>
    </cfRule>
    <cfRule type="containsText" dxfId="1687" priority="1828" operator="containsText" text="FIRE">
      <formula>NOT(ISERROR(SEARCH("FIRE",AC94)))</formula>
    </cfRule>
    <cfRule type="containsText" dxfId="1686" priority="1829" operator="containsText" text="COSH">
      <formula>NOT(ISERROR(SEARCH("COSH",AC94)))</formula>
    </cfRule>
  </conditionalFormatting>
  <conditionalFormatting sqref="AC98:AC100 AC102:AC103 AC105:AC106 AC108:AC109 AC111:AC112 AC114:AC115">
    <cfRule type="containsText" dxfId="1685" priority="1824" operator="containsText" text="FAT">
      <formula>NOT(ISERROR(SEARCH("FAT",AC98)))</formula>
    </cfRule>
    <cfRule type="containsText" dxfId="1684" priority="1825" operator="containsText" text="FIRE">
      <formula>NOT(ISERROR(SEARCH("FIRE",AC98)))</formula>
    </cfRule>
    <cfRule type="containsText" dxfId="1683" priority="1826" operator="containsText" text="COSH">
      <formula>NOT(ISERROR(SEARCH("COSH",AC98)))</formula>
    </cfRule>
  </conditionalFormatting>
  <conditionalFormatting sqref="AC94:AC116">
    <cfRule type="cellIs" dxfId="1682" priority="1823" operator="between">
      <formula>1</formula>
      <formula>3</formula>
    </cfRule>
  </conditionalFormatting>
  <conditionalFormatting sqref="G48:H48">
    <cfRule type="containsText" dxfId="1681" priority="1813" operator="containsText" text="EL">
      <formula>NOT(ISERROR(SEARCH("EL",G48)))</formula>
    </cfRule>
    <cfRule type="containsText" dxfId="1680" priority="1814" operator="containsText" text="Q">
      <formula>NOT(ISERROR(SEARCH("Q",G48)))</formula>
    </cfRule>
  </conditionalFormatting>
  <conditionalFormatting sqref="G48:H48">
    <cfRule type="containsText" dxfId="1679" priority="1812" operator="containsText" text="1ET">
      <formula>NOT(ISERROR(SEARCH("1ET",G48)))</formula>
    </cfRule>
  </conditionalFormatting>
  <conditionalFormatting sqref="G48:H48">
    <cfRule type="containsText" dxfId="1678" priority="1810" operator="containsText" text="3ET">
      <formula>NOT(ISERROR(SEARCH("3ET",G48)))</formula>
    </cfRule>
    <cfRule type="containsText" dxfId="1677" priority="1811" operator="containsText" text="1OT">
      <formula>NOT(ISERROR(SEARCH("1OT",G48)))</formula>
    </cfRule>
  </conditionalFormatting>
  <conditionalFormatting sqref="L48">
    <cfRule type="containsText" dxfId="1676" priority="1800" operator="containsText" text="EL">
      <formula>NOT(ISERROR(SEARCH("EL",L48)))</formula>
    </cfRule>
    <cfRule type="containsText" dxfId="1675" priority="1801" operator="containsText" text="Q">
      <formula>NOT(ISERROR(SEARCH("Q",L48)))</formula>
    </cfRule>
  </conditionalFormatting>
  <conditionalFormatting sqref="L48">
    <cfRule type="containsText" dxfId="1674" priority="1799" operator="containsText" text="1ET">
      <formula>NOT(ISERROR(SEARCH("1ET",L48)))</formula>
    </cfRule>
  </conditionalFormatting>
  <conditionalFormatting sqref="L48">
    <cfRule type="containsText" dxfId="1673" priority="1797" operator="containsText" text="3ET">
      <formula>NOT(ISERROR(SEARCH("3ET",L48)))</formula>
    </cfRule>
    <cfRule type="containsText" dxfId="1672" priority="1798" operator="containsText" text="1OT">
      <formula>NOT(ISERROR(SEARCH("1OT",L48)))</formula>
    </cfRule>
  </conditionalFormatting>
  <conditionalFormatting sqref="G55:I55">
    <cfRule type="cellIs" dxfId="1671" priority="1793" operator="equal">
      <formula>"EL"</formula>
    </cfRule>
    <cfRule type="cellIs" dxfId="1670" priority="1794" operator="equal">
      <formula>"SL"</formula>
    </cfRule>
  </conditionalFormatting>
  <conditionalFormatting sqref="G55:I55">
    <cfRule type="containsText" dxfId="1669" priority="1778" operator="containsText" text="EL">
      <formula>NOT(ISERROR(SEARCH("EL",G55)))</formula>
    </cfRule>
    <cfRule type="containsText" dxfId="1668" priority="1779" operator="containsText" text="Q">
      <formula>NOT(ISERROR(SEARCH("Q",G55)))</formula>
    </cfRule>
  </conditionalFormatting>
  <conditionalFormatting sqref="G55:I55">
    <cfRule type="containsText" dxfId="1667" priority="1777" operator="containsText" text="1ET">
      <formula>NOT(ISERROR(SEARCH("1ET",G55)))</formula>
    </cfRule>
  </conditionalFormatting>
  <conditionalFormatting sqref="G55:I55">
    <cfRule type="containsText" dxfId="1666" priority="1775" operator="containsText" text="3ET">
      <formula>NOT(ISERROR(SEARCH("3ET",G55)))</formula>
    </cfRule>
    <cfRule type="containsText" dxfId="1665" priority="1776" operator="containsText" text="1OT">
      <formula>NOT(ISERROR(SEARCH("1OT",G55)))</formula>
    </cfRule>
  </conditionalFormatting>
  <conditionalFormatting sqref="J39">
    <cfRule type="containsText" dxfId="1664" priority="1772" operator="containsText" text="FAT">
      <formula>NOT(ISERROR(SEARCH("FAT",J39)))</formula>
    </cfRule>
    <cfRule type="containsText" dxfId="1663" priority="1773" operator="containsText" text="FIRE">
      <formula>NOT(ISERROR(SEARCH("FIRE",J39)))</formula>
    </cfRule>
    <cfRule type="containsText" dxfId="1662" priority="1774" operator="containsText" text="COSH">
      <formula>NOT(ISERROR(SEARCH("COSH",J39)))</formula>
    </cfRule>
  </conditionalFormatting>
  <conditionalFormatting sqref="J40:J58 J60">
    <cfRule type="containsText" dxfId="1661" priority="1769" operator="containsText" text="FAT">
      <formula>NOT(ISERROR(SEARCH("FAT",J40)))</formula>
    </cfRule>
    <cfRule type="containsText" dxfId="1660" priority="1770" operator="containsText" text="FIRE">
      <formula>NOT(ISERROR(SEARCH("FIRE",J40)))</formula>
    </cfRule>
    <cfRule type="containsText" dxfId="1659" priority="1771" operator="containsText" text="COSH">
      <formula>NOT(ISERROR(SEARCH("COSH",J40)))</formula>
    </cfRule>
  </conditionalFormatting>
  <conditionalFormatting sqref="J39:J58 J60">
    <cfRule type="cellIs" dxfId="1658" priority="1768" operator="between">
      <formula>1</formula>
      <formula>3</formula>
    </cfRule>
  </conditionalFormatting>
  <conditionalFormatting sqref="J40:J58 J60">
    <cfRule type="containsText" dxfId="1657" priority="1765" operator="containsText" text="FAT">
      <formula>NOT(ISERROR(SEARCH("FAT",J40)))</formula>
    </cfRule>
    <cfRule type="containsText" dxfId="1656" priority="1766" operator="containsText" text="FIRE">
      <formula>NOT(ISERROR(SEARCH("FIRE",J40)))</formula>
    </cfRule>
    <cfRule type="containsText" dxfId="1655" priority="1767" operator="containsText" text="COSH">
      <formula>NOT(ISERROR(SEARCH("COSH",J40)))</formula>
    </cfRule>
  </conditionalFormatting>
  <conditionalFormatting sqref="Q39">
    <cfRule type="containsText" dxfId="1654" priority="1762" operator="containsText" text="FAT">
      <formula>NOT(ISERROR(SEARCH("FAT",Q39)))</formula>
    </cfRule>
    <cfRule type="containsText" dxfId="1653" priority="1763" operator="containsText" text="FIRE">
      <formula>NOT(ISERROR(SEARCH("FIRE",Q39)))</formula>
    </cfRule>
    <cfRule type="containsText" dxfId="1652" priority="1764" operator="containsText" text="COSH">
      <formula>NOT(ISERROR(SEARCH("COSH",Q39)))</formula>
    </cfRule>
  </conditionalFormatting>
  <conditionalFormatting sqref="Q40:Q58 Q60">
    <cfRule type="containsText" dxfId="1651" priority="1759" operator="containsText" text="FAT">
      <formula>NOT(ISERROR(SEARCH("FAT",Q40)))</formula>
    </cfRule>
    <cfRule type="containsText" dxfId="1650" priority="1760" operator="containsText" text="FIRE">
      <formula>NOT(ISERROR(SEARCH("FIRE",Q40)))</formula>
    </cfRule>
    <cfRule type="containsText" dxfId="1649" priority="1761" operator="containsText" text="COSH">
      <formula>NOT(ISERROR(SEARCH("COSH",Q40)))</formula>
    </cfRule>
  </conditionalFormatting>
  <conditionalFormatting sqref="Q39:Q58 Q60">
    <cfRule type="cellIs" dxfId="1648" priority="1758" operator="between">
      <formula>1</formula>
      <formula>3</formula>
    </cfRule>
  </conditionalFormatting>
  <conditionalFormatting sqref="Q40:Q58 Q60">
    <cfRule type="containsText" dxfId="1647" priority="1755" operator="containsText" text="FAT">
      <formula>NOT(ISERROR(SEARCH("FAT",Q40)))</formula>
    </cfRule>
    <cfRule type="containsText" dxfId="1646" priority="1756" operator="containsText" text="FIRE">
      <formula>NOT(ISERROR(SEARCH("FIRE",Q40)))</formula>
    </cfRule>
    <cfRule type="containsText" dxfId="1645" priority="1757" operator="containsText" text="COSH">
      <formula>NOT(ISERROR(SEARCH("COSH",Q40)))</formula>
    </cfRule>
  </conditionalFormatting>
  <conditionalFormatting sqref="S39">
    <cfRule type="containsText" dxfId="1644" priority="1752" operator="containsText" text="FAT">
      <formula>NOT(ISERROR(SEARCH("FAT",S39)))</formula>
    </cfRule>
    <cfRule type="containsText" dxfId="1643" priority="1753" operator="containsText" text="FIRE">
      <formula>NOT(ISERROR(SEARCH("FIRE",S39)))</formula>
    </cfRule>
    <cfRule type="containsText" dxfId="1642" priority="1754" operator="containsText" text="COSH">
      <formula>NOT(ISERROR(SEARCH("COSH",S39)))</formula>
    </cfRule>
  </conditionalFormatting>
  <conditionalFormatting sqref="S39">
    <cfRule type="cellIs" dxfId="1641" priority="1751" operator="between">
      <formula>1</formula>
      <formula>3</formula>
    </cfRule>
  </conditionalFormatting>
  <conditionalFormatting sqref="S39">
    <cfRule type="containsText" dxfId="1640" priority="1748" operator="containsText" text="FAT">
      <formula>NOT(ISERROR(SEARCH("FAT",S39)))</formula>
    </cfRule>
    <cfRule type="containsText" dxfId="1639" priority="1749" operator="containsText" text="FIRE">
      <formula>NOT(ISERROR(SEARCH("FIRE",S39)))</formula>
    </cfRule>
    <cfRule type="containsText" dxfId="1638" priority="1750" operator="containsText" text="COSH">
      <formula>NOT(ISERROR(SEARCH("COSH",S39)))</formula>
    </cfRule>
  </conditionalFormatting>
  <conditionalFormatting sqref="S39">
    <cfRule type="cellIs" dxfId="1637" priority="1747" operator="equal">
      <formula>0</formula>
    </cfRule>
  </conditionalFormatting>
  <conditionalFormatting sqref="S47">
    <cfRule type="containsText" dxfId="1636" priority="1737" operator="containsText" text="EL">
      <formula>NOT(ISERROR(SEARCH("EL",S47)))</formula>
    </cfRule>
    <cfRule type="containsText" dxfId="1635" priority="1738" operator="containsText" text="Q">
      <formula>NOT(ISERROR(SEARCH("Q",S47)))</formula>
    </cfRule>
  </conditionalFormatting>
  <conditionalFormatting sqref="S47">
    <cfRule type="containsText" dxfId="1634" priority="1736" operator="containsText" text="1ET">
      <formula>NOT(ISERROR(SEARCH("1ET",S47)))</formula>
    </cfRule>
  </conditionalFormatting>
  <conditionalFormatting sqref="S47">
    <cfRule type="containsText" dxfId="1633" priority="1734" operator="containsText" text="3ET">
      <formula>NOT(ISERROR(SEARCH("3ET",S47)))</formula>
    </cfRule>
    <cfRule type="containsText" dxfId="1632" priority="1735" operator="containsText" text="1OT">
      <formula>NOT(ISERROR(SEARCH("1OT",S47)))</formula>
    </cfRule>
  </conditionalFormatting>
  <conditionalFormatting sqref="S48">
    <cfRule type="containsText" dxfId="1631" priority="1724" operator="containsText" text="EL">
      <formula>NOT(ISERROR(SEARCH("EL",S48)))</formula>
    </cfRule>
    <cfRule type="containsText" dxfId="1630" priority="1725" operator="containsText" text="Q">
      <formula>NOT(ISERROR(SEARCH("Q",S48)))</formula>
    </cfRule>
  </conditionalFormatting>
  <conditionalFormatting sqref="S48">
    <cfRule type="containsText" dxfId="1629" priority="1723" operator="containsText" text="1ET">
      <formula>NOT(ISERROR(SEARCH("1ET",S48)))</formula>
    </cfRule>
  </conditionalFormatting>
  <conditionalFormatting sqref="S48">
    <cfRule type="containsText" dxfId="1628" priority="1721" operator="containsText" text="3ET">
      <formula>NOT(ISERROR(SEARCH("3ET",S48)))</formula>
    </cfRule>
    <cfRule type="containsText" dxfId="1627" priority="1722" operator="containsText" text="1OT">
      <formula>NOT(ISERROR(SEARCH("1OT",S48)))</formula>
    </cfRule>
  </conditionalFormatting>
  <conditionalFormatting sqref="S55">
    <cfRule type="cellIs" dxfId="1626" priority="1717" operator="equal">
      <formula>"EL"</formula>
    </cfRule>
    <cfRule type="cellIs" dxfId="1625" priority="1718" operator="equal">
      <formula>"SL"</formula>
    </cfRule>
  </conditionalFormatting>
  <conditionalFormatting sqref="S55">
    <cfRule type="containsText" dxfId="1624" priority="1702" operator="containsText" text="EL">
      <formula>NOT(ISERROR(SEARCH("EL",S55)))</formula>
    </cfRule>
    <cfRule type="containsText" dxfId="1623" priority="1703" operator="containsText" text="Q">
      <formula>NOT(ISERROR(SEARCH("Q",S55)))</formula>
    </cfRule>
  </conditionalFormatting>
  <conditionalFormatting sqref="S55">
    <cfRule type="containsText" dxfId="1622" priority="1701" operator="containsText" text="1ET">
      <formula>NOT(ISERROR(SEARCH("1ET",S55)))</formula>
    </cfRule>
  </conditionalFormatting>
  <conditionalFormatting sqref="S55">
    <cfRule type="containsText" dxfId="1621" priority="1699" operator="containsText" text="3ET">
      <formula>NOT(ISERROR(SEARCH("3ET",S55)))</formula>
    </cfRule>
    <cfRule type="containsText" dxfId="1620" priority="1700" operator="containsText" text="1OT">
      <formula>NOT(ISERROR(SEARCH("1OT",S55)))</formula>
    </cfRule>
  </conditionalFormatting>
  <conditionalFormatting sqref="S58">
    <cfRule type="cellIs" dxfId="1619" priority="1695" operator="equal">
      <formula>"EL"</formula>
    </cfRule>
    <cfRule type="cellIs" dxfId="1618" priority="1696" operator="equal">
      <formula>"SL"</formula>
    </cfRule>
  </conditionalFormatting>
  <conditionalFormatting sqref="S58">
    <cfRule type="containsText" dxfId="1617" priority="1680" operator="containsText" text="EL">
      <formula>NOT(ISERROR(SEARCH("EL",S58)))</formula>
    </cfRule>
    <cfRule type="containsText" dxfId="1616" priority="1681" operator="containsText" text="Q">
      <formula>NOT(ISERROR(SEARCH("Q",S58)))</formula>
    </cfRule>
  </conditionalFormatting>
  <conditionalFormatting sqref="S58">
    <cfRule type="containsText" dxfId="1615" priority="1679" operator="containsText" text="1ET">
      <formula>NOT(ISERROR(SEARCH("1ET",S58)))</formula>
    </cfRule>
  </conditionalFormatting>
  <conditionalFormatting sqref="S58">
    <cfRule type="containsText" dxfId="1614" priority="1677" operator="containsText" text="3ET">
      <formula>NOT(ISERROR(SEARCH("3ET",S58)))</formula>
    </cfRule>
    <cfRule type="containsText" dxfId="1613" priority="1678" operator="containsText" text="1OT">
      <formula>NOT(ISERROR(SEARCH("1OT",S58)))</formula>
    </cfRule>
  </conditionalFormatting>
  <conditionalFormatting sqref="S57">
    <cfRule type="cellIs" dxfId="1612" priority="1673" operator="equal">
      <formula>"EL"</formula>
    </cfRule>
    <cfRule type="cellIs" dxfId="1611" priority="1674" operator="equal">
      <formula>"SL"</formula>
    </cfRule>
  </conditionalFormatting>
  <conditionalFormatting sqref="S57">
    <cfRule type="containsText" dxfId="1610" priority="1658" operator="containsText" text="EL">
      <formula>NOT(ISERROR(SEARCH("EL",S57)))</formula>
    </cfRule>
    <cfRule type="containsText" dxfId="1609" priority="1659" operator="containsText" text="Q">
      <formula>NOT(ISERROR(SEARCH("Q",S57)))</formula>
    </cfRule>
  </conditionalFormatting>
  <conditionalFormatting sqref="S57">
    <cfRule type="containsText" dxfId="1608" priority="1657" operator="containsText" text="1ET">
      <formula>NOT(ISERROR(SEARCH("1ET",S57)))</formula>
    </cfRule>
  </conditionalFormatting>
  <conditionalFormatting sqref="S57">
    <cfRule type="containsText" dxfId="1607" priority="1655" operator="containsText" text="3ET">
      <formula>NOT(ISERROR(SEARCH("3ET",S57)))</formula>
    </cfRule>
    <cfRule type="containsText" dxfId="1606" priority="1656" operator="containsText" text="1OT">
      <formula>NOT(ISERROR(SEARCH("1OT",S57)))</formula>
    </cfRule>
  </conditionalFormatting>
  <conditionalFormatting sqref="Z80 Z82 Z86">
    <cfRule type="containsText" dxfId="1605" priority="1652" operator="containsText" text="FAT">
      <formula>NOT(ISERROR(SEARCH("FAT",Z80)))</formula>
    </cfRule>
    <cfRule type="containsText" dxfId="1604" priority="1653" operator="containsText" text="FIRE">
      <formula>NOT(ISERROR(SEARCH("FIRE",Z80)))</formula>
    </cfRule>
    <cfRule type="containsText" dxfId="1603" priority="1654" operator="containsText" text="COSH">
      <formula>NOT(ISERROR(SEARCH("COSH",Z80)))</formula>
    </cfRule>
  </conditionalFormatting>
  <conditionalFormatting sqref="Z82">
    <cfRule type="containsText" dxfId="1602" priority="1649" operator="containsText" text="FAT">
      <formula>NOT(ISERROR(SEARCH("FAT",Z82)))</formula>
    </cfRule>
    <cfRule type="containsText" dxfId="1601" priority="1650" operator="containsText" text="FIRE">
      <formula>NOT(ISERROR(SEARCH("FIRE",Z82)))</formula>
    </cfRule>
    <cfRule type="containsText" dxfId="1600" priority="1651" operator="containsText" text="COSH">
      <formula>NOT(ISERROR(SEARCH("COSH",Z82)))</formula>
    </cfRule>
  </conditionalFormatting>
  <conditionalFormatting sqref="Z69">
    <cfRule type="containsText" dxfId="1599" priority="1646" operator="containsText" text="FAT">
      <formula>NOT(ISERROR(SEARCH("FAT",Z69)))</formula>
    </cfRule>
    <cfRule type="containsText" dxfId="1598" priority="1647" operator="containsText" text="FIRE">
      <formula>NOT(ISERROR(SEARCH("FIRE",Z69)))</formula>
    </cfRule>
    <cfRule type="containsText" dxfId="1597" priority="1648" operator="containsText" text="COSH">
      <formula>NOT(ISERROR(SEARCH("COSH",Z69)))</formula>
    </cfRule>
  </conditionalFormatting>
  <conditionalFormatting sqref="Z67 Z69 Z85 Z87 Z77:Z79 Z82:Z83 Z72:Z75">
    <cfRule type="containsText" dxfId="1596" priority="1643" operator="containsText" text="FAT">
      <formula>NOT(ISERROR(SEARCH("FAT",Z67)))</formula>
    </cfRule>
    <cfRule type="containsText" dxfId="1595" priority="1644" operator="containsText" text="FIRE">
      <formula>NOT(ISERROR(SEARCH("FIRE",Z67)))</formula>
    </cfRule>
    <cfRule type="containsText" dxfId="1594" priority="1645" operator="containsText" text="COSH">
      <formula>NOT(ISERROR(SEARCH("COSH",Z67)))</formula>
    </cfRule>
  </conditionalFormatting>
  <conditionalFormatting sqref="Z68">
    <cfRule type="containsText" dxfId="1593" priority="1640" operator="containsText" text="FAT">
      <formula>NOT(ISERROR(SEARCH("FAT",Z68)))</formula>
    </cfRule>
    <cfRule type="containsText" dxfId="1592" priority="1641" operator="containsText" text="FIRE">
      <formula>NOT(ISERROR(SEARCH("FIRE",Z68)))</formula>
    </cfRule>
    <cfRule type="containsText" dxfId="1591" priority="1642" operator="containsText" text="COSH">
      <formula>NOT(ISERROR(SEARCH("COSH",Z68)))</formula>
    </cfRule>
  </conditionalFormatting>
  <conditionalFormatting sqref="Z81">
    <cfRule type="containsText" dxfId="1590" priority="1637" operator="containsText" text="FAT">
      <formula>NOT(ISERROR(SEARCH("FAT",Z81)))</formula>
    </cfRule>
    <cfRule type="containsText" dxfId="1589" priority="1638" operator="containsText" text="FIRE">
      <formula>NOT(ISERROR(SEARCH("FIRE",Z81)))</formula>
    </cfRule>
    <cfRule type="containsText" dxfId="1588" priority="1639" operator="containsText" text="COSH">
      <formula>NOT(ISERROR(SEARCH("COSH",Z81)))</formula>
    </cfRule>
  </conditionalFormatting>
  <conditionalFormatting sqref="Z76">
    <cfRule type="containsText" dxfId="1587" priority="1634" operator="containsText" text="FAT">
      <formula>NOT(ISERROR(SEARCH("FAT",Z76)))</formula>
    </cfRule>
    <cfRule type="containsText" dxfId="1586" priority="1635" operator="containsText" text="FIRE">
      <formula>NOT(ISERROR(SEARCH("FIRE",Z76)))</formula>
    </cfRule>
    <cfRule type="containsText" dxfId="1585" priority="1636" operator="containsText" text="COSH">
      <formula>NOT(ISERROR(SEARCH("COSH",Z76)))</formula>
    </cfRule>
  </conditionalFormatting>
  <conditionalFormatting sqref="Z84">
    <cfRule type="containsText" dxfId="1584" priority="1631" operator="containsText" text="FAT">
      <formula>NOT(ISERROR(SEARCH("FAT",Z84)))</formula>
    </cfRule>
    <cfRule type="containsText" dxfId="1583" priority="1632" operator="containsText" text="FIRE">
      <formula>NOT(ISERROR(SEARCH("FIRE",Z84)))</formula>
    </cfRule>
    <cfRule type="containsText" dxfId="1582" priority="1633" operator="containsText" text="COSH">
      <formula>NOT(ISERROR(SEARCH("COSH",Z84)))</formula>
    </cfRule>
  </conditionalFormatting>
  <conditionalFormatting sqref="Z86">
    <cfRule type="containsText" dxfId="1581" priority="1628" operator="containsText" text="FAT">
      <formula>NOT(ISERROR(SEARCH("FAT",Z86)))</formula>
    </cfRule>
    <cfRule type="containsText" dxfId="1580" priority="1629" operator="containsText" text="FIRE">
      <formula>NOT(ISERROR(SEARCH("FIRE",Z86)))</formula>
    </cfRule>
    <cfRule type="containsText" dxfId="1579" priority="1630" operator="containsText" text="COSH">
      <formula>NOT(ISERROR(SEARCH("COSH",Z86)))</formula>
    </cfRule>
  </conditionalFormatting>
  <conditionalFormatting sqref="Z71">
    <cfRule type="containsText" dxfId="1578" priority="1625" operator="containsText" text="FAT">
      <formula>NOT(ISERROR(SEARCH("FAT",Z71)))</formula>
    </cfRule>
    <cfRule type="containsText" dxfId="1577" priority="1626" operator="containsText" text="FIRE">
      <formula>NOT(ISERROR(SEARCH("FIRE",Z71)))</formula>
    </cfRule>
    <cfRule type="containsText" dxfId="1576" priority="1627" operator="containsText" text="COSH">
      <formula>NOT(ISERROR(SEARCH("COSH",Z71)))</formula>
    </cfRule>
  </conditionalFormatting>
  <conditionalFormatting sqref="Z80">
    <cfRule type="containsText" dxfId="1575" priority="1622" operator="containsText" text="FAT">
      <formula>NOT(ISERROR(SEARCH("FAT",Z80)))</formula>
    </cfRule>
    <cfRule type="containsText" dxfId="1574" priority="1623" operator="containsText" text="FIRE">
      <formula>NOT(ISERROR(SEARCH("FIRE",Z80)))</formula>
    </cfRule>
    <cfRule type="containsText" dxfId="1573" priority="1624" operator="containsText" text="COSH">
      <formula>NOT(ISERROR(SEARCH("COSH",Z80)))</formula>
    </cfRule>
  </conditionalFormatting>
  <conditionalFormatting sqref="Z80">
    <cfRule type="containsText" dxfId="1572" priority="1619" operator="containsText" text="FAT">
      <formula>NOT(ISERROR(SEARCH("FAT",Z80)))</formula>
    </cfRule>
    <cfRule type="containsText" dxfId="1571" priority="1620" operator="containsText" text="FIRE">
      <formula>NOT(ISERROR(SEARCH("FIRE",Z80)))</formula>
    </cfRule>
    <cfRule type="containsText" dxfId="1570" priority="1621" operator="containsText" text="COSH">
      <formula>NOT(ISERROR(SEARCH("COSH",Z80)))</formula>
    </cfRule>
  </conditionalFormatting>
  <conditionalFormatting sqref="Z69">
    <cfRule type="containsText" dxfId="1569" priority="1615" operator="containsText" text="FAT">
      <formula>NOT(ISERROR(SEARCH("FAT",Z69)))</formula>
    </cfRule>
    <cfRule type="containsText" dxfId="1568" priority="1616" operator="containsText" text="FIRE">
      <formula>NOT(ISERROR(SEARCH("FIRE",Z69)))</formula>
    </cfRule>
    <cfRule type="containsText" dxfId="1567" priority="1617" operator="containsText" text="COSH">
      <formula>NOT(ISERROR(SEARCH("COSH",Z69)))</formula>
    </cfRule>
  </conditionalFormatting>
  <conditionalFormatting sqref="Z69">
    <cfRule type="containsText" dxfId="1566" priority="1612" operator="containsText" text="FAT">
      <formula>NOT(ISERROR(SEARCH("FAT",Z69)))</formula>
    </cfRule>
    <cfRule type="containsText" dxfId="1565" priority="1613" operator="containsText" text="FIRE">
      <formula>NOT(ISERROR(SEARCH("FIRE",Z69)))</formula>
    </cfRule>
    <cfRule type="containsText" dxfId="1564" priority="1614" operator="containsText" text="COSH">
      <formula>NOT(ISERROR(SEARCH("COSH",Z69)))</formula>
    </cfRule>
  </conditionalFormatting>
  <conditionalFormatting sqref="Z69">
    <cfRule type="containsText" dxfId="1563" priority="1609" operator="containsText" text="FAT">
      <formula>NOT(ISERROR(SEARCH("FAT",Z69)))</formula>
    </cfRule>
    <cfRule type="containsText" dxfId="1562" priority="1610" operator="containsText" text="FIRE">
      <formula>NOT(ISERROR(SEARCH("FIRE",Z69)))</formula>
    </cfRule>
    <cfRule type="containsText" dxfId="1561" priority="1611" operator="containsText" text="COSH">
      <formula>NOT(ISERROR(SEARCH("COSH",Z69)))</formula>
    </cfRule>
  </conditionalFormatting>
  <conditionalFormatting sqref="Z69">
    <cfRule type="containsText" dxfId="1560" priority="1606" operator="containsText" text="FAT">
      <formula>NOT(ISERROR(SEARCH("FAT",Z69)))</formula>
    </cfRule>
    <cfRule type="containsText" dxfId="1559" priority="1607" operator="containsText" text="FIRE">
      <formula>NOT(ISERROR(SEARCH("FIRE",Z69)))</formula>
    </cfRule>
    <cfRule type="containsText" dxfId="1558" priority="1608" operator="containsText" text="COSH">
      <formula>NOT(ISERROR(SEARCH("COSH",Z69)))</formula>
    </cfRule>
  </conditionalFormatting>
  <conditionalFormatting sqref="Z69">
    <cfRule type="containsText" dxfId="1557" priority="1603" operator="containsText" text="FAT">
      <formula>NOT(ISERROR(SEARCH("FAT",Z69)))</formula>
    </cfRule>
    <cfRule type="containsText" dxfId="1556" priority="1604" operator="containsText" text="FIRE">
      <formula>NOT(ISERROR(SEARCH("FIRE",Z69)))</formula>
    </cfRule>
    <cfRule type="containsText" dxfId="1555" priority="1605" operator="containsText" text="COSH">
      <formula>NOT(ISERROR(SEARCH("COSH",Z69)))</formula>
    </cfRule>
  </conditionalFormatting>
  <conditionalFormatting sqref="Z69">
    <cfRule type="containsText" dxfId="1554" priority="1600" operator="containsText" text="FAT">
      <formula>NOT(ISERROR(SEARCH("FAT",Z69)))</formula>
    </cfRule>
    <cfRule type="containsText" dxfId="1553" priority="1601" operator="containsText" text="FIRE">
      <formula>NOT(ISERROR(SEARCH("FIRE",Z69)))</formula>
    </cfRule>
    <cfRule type="containsText" dxfId="1552" priority="1602" operator="containsText" text="COSH">
      <formula>NOT(ISERROR(SEARCH("COSH",Z69)))</formula>
    </cfRule>
  </conditionalFormatting>
  <conditionalFormatting sqref="Z69">
    <cfRule type="containsText" dxfId="1551" priority="1597" operator="containsText" text="FAT">
      <formula>NOT(ISERROR(SEARCH("FAT",Z69)))</formula>
    </cfRule>
    <cfRule type="containsText" dxfId="1550" priority="1598" operator="containsText" text="FIRE">
      <formula>NOT(ISERROR(SEARCH("FIRE",Z69)))</formula>
    </cfRule>
    <cfRule type="containsText" dxfId="1549" priority="1599" operator="containsText" text="COSH">
      <formula>NOT(ISERROR(SEARCH("COSH",Z69)))</formula>
    </cfRule>
  </conditionalFormatting>
  <conditionalFormatting sqref="Z69">
    <cfRule type="containsText" dxfId="1548" priority="1594" operator="containsText" text="FAT">
      <formula>NOT(ISERROR(SEARCH("FAT",Z69)))</formula>
    </cfRule>
    <cfRule type="containsText" dxfId="1547" priority="1595" operator="containsText" text="FIRE">
      <formula>NOT(ISERROR(SEARCH("FIRE",Z69)))</formula>
    </cfRule>
    <cfRule type="containsText" dxfId="1546" priority="1596" operator="containsText" text="COSH">
      <formula>NOT(ISERROR(SEARCH("COSH",Z69)))</formula>
    </cfRule>
  </conditionalFormatting>
  <conditionalFormatting sqref="Z69">
    <cfRule type="containsText" dxfId="1545" priority="1591" operator="containsText" text="FAT">
      <formula>NOT(ISERROR(SEARCH("FAT",Z69)))</formula>
    </cfRule>
    <cfRule type="containsText" dxfId="1544" priority="1592" operator="containsText" text="FIRE">
      <formula>NOT(ISERROR(SEARCH("FIRE",Z69)))</formula>
    </cfRule>
    <cfRule type="containsText" dxfId="1543" priority="1593" operator="containsText" text="COSH">
      <formula>NOT(ISERROR(SEARCH("COSH",Z69)))</formula>
    </cfRule>
  </conditionalFormatting>
  <conditionalFormatting sqref="Z69">
    <cfRule type="containsText" dxfId="1542" priority="1588" operator="containsText" text="FAT">
      <formula>NOT(ISERROR(SEARCH("FAT",Z69)))</formula>
    </cfRule>
    <cfRule type="containsText" dxfId="1541" priority="1589" operator="containsText" text="FIRE">
      <formula>NOT(ISERROR(SEARCH("FIRE",Z69)))</formula>
    </cfRule>
    <cfRule type="containsText" dxfId="1540" priority="1590" operator="containsText" text="COSH">
      <formula>NOT(ISERROR(SEARCH("COSH",Z69)))</formula>
    </cfRule>
  </conditionalFormatting>
  <conditionalFormatting sqref="Z80 Z82">
    <cfRule type="containsText" dxfId="1539" priority="1585" operator="containsText" text="FAT">
      <formula>NOT(ISERROR(SEARCH("FAT",Z80)))</formula>
    </cfRule>
    <cfRule type="containsText" dxfId="1538" priority="1586" operator="containsText" text="FIRE">
      <formula>NOT(ISERROR(SEARCH("FIRE",Z80)))</formula>
    </cfRule>
    <cfRule type="containsText" dxfId="1537" priority="1587" operator="containsText" text="COSH">
      <formula>NOT(ISERROR(SEARCH("COSH",Z80)))</formula>
    </cfRule>
  </conditionalFormatting>
  <conditionalFormatting sqref="Z80 Z82">
    <cfRule type="containsText" dxfId="1536" priority="1582" operator="containsText" text="FAT">
      <formula>NOT(ISERROR(SEARCH("FAT",Z80)))</formula>
    </cfRule>
    <cfRule type="containsText" dxfId="1535" priority="1583" operator="containsText" text="FIRE">
      <formula>NOT(ISERROR(SEARCH("FIRE",Z80)))</formula>
    </cfRule>
    <cfRule type="containsText" dxfId="1534" priority="1584" operator="containsText" text="COSH">
      <formula>NOT(ISERROR(SEARCH("COSH",Z80)))</formula>
    </cfRule>
  </conditionalFormatting>
  <conditionalFormatting sqref="Z80 Z82">
    <cfRule type="containsText" dxfId="1533" priority="1579" operator="containsText" text="FAT">
      <formula>NOT(ISERROR(SEARCH("FAT",Z80)))</formula>
    </cfRule>
    <cfRule type="containsText" dxfId="1532" priority="1580" operator="containsText" text="FIRE">
      <formula>NOT(ISERROR(SEARCH("FIRE",Z80)))</formula>
    </cfRule>
    <cfRule type="containsText" dxfId="1531" priority="1581" operator="containsText" text="COSH">
      <formula>NOT(ISERROR(SEARCH("COSH",Z80)))</formula>
    </cfRule>
  </conditionalFormatting>
  <conditionalFormatting sqref="Z80 Z82">
    <cfRule type="containsText" dxfId="1530" priority="1576" operator="containsText" text="FAT">
      <formula>NOT(ISERROR(SEARCH("FAT",Z80)))</formula>
    </cfRule>
    <cfRule type="containsText" dxfId="1529" priority="1577" operator="containsText" text="FIRE">
      <formula>NOT(ISERROR(SEARCH("FIRE",Z80)))</formula>
    </cfRule>
    <cfRule type="containsText" dxfId="1528" priority="1578" operator="containsText" text="COSH">
      <formula>NOT(ISERROR(SEARCH("COSH",Z80)))</formula>
    </cfRule>
  </conditionalFormatting>
  <conditionalFormatting sqref="Z80 Z82">
    <cfRule type="containsText" dxfId="1527" priority="1573" operator="containsText" text="FAT">
      <formula>NOT(ISERROR(SEARCH("FAT",Z80)))</formula>
    </cfRule>
    <cfRule type="containsText" dxfId="1526" priority="1574" operator="containsText" text="FIRE">
      <formula>NOT(ISERROR(SEARCH("FIRE",Z80)))</formula>
    </cfRule>
    <cfRule type="containsText" dxfId="1525" priority="1575" operator="containsText" text="COSH">
      <formula>NOT(ISERROR(SEARCH("COSH",Z80)))</formula>
    </cfRule>
  </conditionalFormatting>
  <conditionalFormatting sqref="Z80 Z82">
    <cfRule type="containsText" dxfId="1524" priority="1570" operator="containsText" text="FAT">
      <formula>NOT(ISERROR(SEARCH("FAT",Z80)))</formula>
    </cfRule>
    <cfRule type="containsText" dxfId="1523" priority="1571" operator="containsText" text="FIRE">
      <formula>NOT(ISERROR(SEARCH("FIRE",Z80)))</formula>
    </cfRule>
    <cfRule type="containsText" dxfId="1522" priority="1572" operator="containsText" text="COSH">
      <formula>NOT(ISERROR(SEARCH("COSH",Z80)))</formula>
    </cfRule>
  </conditionalFormatting>
  <conditionalFormatting sqref="Z80 Z82">
    <cfRule type="containsText" dxfId="1521" priority="1567" operator="containsText" text="FAT">
      <formula>NOT(ISERROR(SEARCH("FAT",Z80)))</formula>
    </cfRule>
    <cfRule type="containsText" dxfId="1520" priority="1568" operator="containsText" text="FIRE">
      <formula>NOT(ISERROR(SEARCH("FIRE",Z80)))</formula>
    </cfRule>
    <cfRule type="containsText" dxfId="1519" priority="1569" operator="containsText" text="COSH">
      <formula>NOT(ISERROR(SEARCH("COSH",Z80)))</formula>
    </cfRule>
  </conditionalFormatting>
  <conditionalFormatting sqref="Z80 Z82">
    <cfRule type="containsText" dxfId="1518" priority="1564" operator="containsText" text="FAT">
      <formula>NOT(ISERROR(SEARCH("FAT",Z80)))</formula>
    </cfRule>
    <cfRule type="containsText" dxfId="1517" priority="1565" operator="containsText" text="FIRE">
      <formula>NOT(ISERROR(SEARCH("FIRE",Z80)))</formula>
    </cfRule>
    <cfRule type="containsText" dxfId="1516" priority="1566" operator="containsText" text="COSH">
      <formula>NOT(ISERROR(SEARCH("COSH",Z80)))</formula>
    </cfRule>
  </conditionalFormatting>
  <conditionalFormatting sqref="Z80 Z82">
    <cfRule type="containsText" dxfId="1515" priority="1561" operator="containsText" text="FAT">
      <formula>NOT(ISERROR(SEARCH("FAT",Z80)))</formula>
    </cfRule>
    <cfRule type="containsText" dxfId="1514" priority="1562" operator="containsText" text="FIRE">
      <formula>NOT(ISERROR(SEARCH("FIRE",Z80)))</formula>
    </cfRule>
    <cfRule type="containsText" dxfId="1513" priority="1563" operator="containsText" text="COSH">
      <formula>NOT(ISERROR(SEARCH("COSH",Z80)))</formula>
    </cfRule>
  </conditionalFormatting>
  <conditionalFormatting sqref="Z80 Z82">
    <cfRule type="containsText" dxfId="1512" priority="1558" operator="containsText" text="FAT">
      <formula>NOT(ISERROR(SEARCH("FAT",Z80)))</formula>
    </cfRule>
    <cfRule type="containsText" dxfId="1511" priority="1559" operator="containsText" text="FIRE">
      <formula>NOT(ISERROR(SEARCH("FIRE",Z80)))</formula>
    </cfRule>
    <cfRule type="containsText" dxfId="1510" priority="1560" operator="containsText" text="COSH">
      <formula>NOT(ISERROR(SEARCH("COSH",Z80)))</formula>
    </cfRule>
  </conditionalFormatting>
  <conditionalFormatting sqref="Z86">
    <cfRule type="containsText" dxfId="1509" priority="1555" operator="containsText" text="FAT">
      <formula>NOT(ISERROR(SEARCH("FAT",Z86)))</formula>
    </cfRule>
    <cfRule type="containsText" dxfId="1508" priority="1556" operator="containsText" text="FIRE">
      <formula>NOT(ISERROR(SEARCH("FIRE",Z86)))</formula>
    </cfRule>
    <cfRule type="containsText" dxfId="1507" priority="1557" operator="containsText" text="COSH">
      <formula>NOT(ISERROR(SEARCH("COSH",Z86)))</formula>
    </cfRule>
  </conditionalFormatting>
  <conditionalFormatting sqref="Z86">
    <cfRule type="containsText" dxfId="1506" priority="1552" operator="containsText" text="FAT">
      <formula>NOT(ISERROR(SEARCH("FAT",Z86)))</formula>
    </cfRule>
    <cfRule type="containsText" dxfId="1505" priority="1553" operator="containsText" text="FIRE">
      <formula>NOT(ISERROR(SEARCH("FIRE",Z86)))</formula>
    </cfRule>
    <cfRule type="containsText" dxfId="1504" priority="1554" operator="containsText" text="COSH">
      <formula>NOT(ISERROR(SEARCH("COSH",Z86)))</formula>
    </cfRule>
  </conditionalFormatting>
  <conditionalFormatting sqref="Z86">
    <cfRule type="containsText" dxfId="1503" priority="1549" operator="containsText" text="FAT">
      <formula>NOT(ISERROR(SEARCH("FAT",Z86)))</formula>
    </cfRule>
    <cfRule type="containsText" dxfId="1502" priority="1550" operator="containsText" text="FIRE">
      <formula>NOT(ISERROR(SEARCH("FIRE",Z86)))</formula>
    </cfRule>
    <cfRule type="containsText" dxfId="1501" priority="1551" operator="containsText" text="COSH">
      <formula>NOT(ISERROR(SEARCH("COSH",Z86)))</formula>
    </cfRule>
  </conditionalFormatting>
  <conditionalFormatting sqref="Z86">
    <cfRule type="containsText" dxfId="1500" priority="1546" operator="containsText" text="FAT">
      <formula>NOT(ISERROR(SEARCH("FAT",Z86)))</formula>
    </cfRule>
    <cfRule type="containsText" dxfId="1499" priority="1547" operator="containsText" text="FIRE">
      <formula>NOT(ISERROR(SEARCH("FIRE",Z86)))</formula>
    </cfRule>
    <cfRule type="containsText" dxfId="1498" priority="1548" operator="containsText" text="COSH">
      <formula>NOT(ISERROR(SEARCH("COSH",Z86)))</formula>
    </cfRule>
  </conditionalFormatting>
  <conditionalFormatting sqref="Z86">
    <cfRule type="containsText" dxfId="1497" priority="1543" operator="containsText" text="FAT">
      <formula>NOT(ISERROR(SEARCH("FAT",Z86)))</formula>
    </cfRule>
    <cfRule type="containsText" dxfId="1496" priority="1544" operator="containsText" text="FIRE">
      <formula>NOT(ISERROR(SEARCH("FIRE",Z86)))</formula>
    </cfRule>
    <cfRule type="containsText" dxfId="1495" priority="1545" operator="containsText" text="COSH">
      <formula>NOT(ISERROR(SEARCH("COSH",Z86)))</formula>
    </cfRule>
  </conditionalFormatting>
  <conditionalFormatting sqref="Z86">
    <cfRule type="containsText" dxfId="1494" priority="1540" operator="containsText" text="FAT">
      <formula>NOT(ISERROR(SEARCH("FAT",Z86)))</formula>
    </cfRule>
    <cfRule type="containsText" dxfId="1493" priority="1541" operator="containsText" text="FIRE">
      <formula>NOT(ISERROR(SEARCH("FIRE",Z86)))</formula>
    </cfRule>
    <cfRule type="containsText" dxfId="1492" priority="1542" operator="containsText" text="COSH">
      <formula>NOT(ISERROR(SEARCH("COSH",Z86)))</formula>
    </cfRule>
  </conditionalFormatting>
  <conditionalFormatting sqref="Z86">
    <cfRule type="containsText" dxfId="1491" priority="1537" operator="containsText" text="FAT">
      <formula>NOT(ISERROR(SEARCH("FAT",Z86)))</formula>
    </cfRule>
    <cfRule type="containsText" dxfId="1490" priority="1538" operator="containsText" text="FIRE">
      <formula>NOT(ISERROR(SEARCH("FIRE",Z86)))</formula>
    </cfRule>
    <cfRule type="containsText" dxfId="1489" priority="1539" operator="containsText" text="COSH">
      <formula>NOT(ISERROR(SEARCH("COSH",Z86)))</formula>
    </cfRule>
  </conditionalFormatting>
  <conditionalFormatting sqref="Z86">
    <cfRule type="containsText" dxfId="1488" priority="1534" operator="containsText" text="FAT">
      <formula>NOT(ISERROR(SEARCH("FAT",Z86)))</formula>
    </cfRule>
    <cfRule type="containsText" dxfId="1487" priority="1535" operator="containsText" text="FIRE">
      <formula>NOT(ISERROR(SEARCH("FIRE",Z86)))</formula>
    </cfRule>
    <cfRule type="containsText" dxfId="1486" priority="1536" operator="containsText" text="COSH">
      <formula>NOT(ISERROR(SEARCH("COSH",Z86)))</formula>
    </cfRule>
  </conditionalFormatting>
  <conditionalFormatting sqref="Z86">
    <cfRule type="containsText" dxfId="1485" priority="1531" operator="containsText" text="FAT">
      <formula>NOT(ISERROR(SEARCH("FAT",Z86)))</formula>
    </cfRule>
    <cfRule type="containsText" dxfId="1484" priority="1532" operator="containsText" text="FIRE">
      <formula>NOT(ISERROR(SEARCH("FIRE",Z86)))</formula>
    </cfRule>
    <cfRule type="containsText" dxfId="1483" priority="1533" operator="containsText" text="COSH">
      <formula>NOT(ISERROR(SEARCH("COSH",Z86)))</formula>
    </cfRule>
  </conditionalFormatting>
  <conditionalFormatting sqref="Z86">
    <cfRule type="containsText" dxfId="1482" priority="1528" operator="containsText" text="FAT">
      <formula>NOT(ISERROR(SEARCH("FAT",Z86)))</formula>
    </cfRule>
    <cfRule type="containsText" dxfId="1481" priority="1529" operator="containsText" text="FIRE">
      <formula>NOT(ISERROR(SEARCH("FIRE",Z86)))</formula>
    </cfRule>
    <cfRule type="containsText" dxfId="1480" priority="1530" operator="containsText" text="COSH">
      <formula>NOT(ISERROR(SEARCH("COSH",Z86)))</formula>
    </cfRule>
  </conditionalFormatting>
  <conditionalFormatting sqref="Z86">
    <cfRule type="containsText" dxfId="1479" priority="1525" operator="containsText" text="FAT">
      <formula>NOT(ISERROR(SEARCH("FAT",Z86)))</formula>
    </cfRule>
    <cfRule type="containsText" dxfId="1478" priority="1526" operator="containsText" text="FIRE">
      <formula>NOT(ISERROR(SEARCH("FIRE",Z86)))</formula>
    </cfRule>
    <cfRule type="containsText" dxfId="1477" priority="1527" operator="containsText" text="COSH">
      <formula>NOT(ISERROR(SEARCH("COSH",Z86)))</formula>
    </cfRule>
  </conditionalFormatting>
  <conditionalFormatting sqref="Z67:Z69 Z71:Z87">
    <cfRule type="cellIs" dxfId="1476" priority="1618" operator="between">
      <formula>1</formula>
      <formula>3</formula>
    </cfRule>
  </conditionalFormatting>
  <conditionalFormatting sqref="Z87">
    <cfRule type="containsText" dxfId="1475" priority="1522" operator="containsText" text="FAT">
      <formula>NOT(ISERROR(SEARCH("FAT",Z87)))</formula>
    </cfRule>
    <cfRule type="containsText" dxfId="1474" priority="1523" operator="containsText" text="FIRE">
      <formula>NOT(ISERROR(SEARCH("FIRE",Z87)))</formula>
    </cfRule>
    <cfRule type="containsText" dxfId="1473" priority="1524" operator="containsText" text="COSH">
      <formula>NOT(ISERROR(SEARCH("COSH",Z87)))</formula>
    </cfRule>
  </conditionalFormatting>
  <conditionalFormatting sqref="Z73:Z75">
    <cfRule type="containsText" dxfId="1472" priority="1519" operator="containsText" text="FAT">
      <formula>NOT(ISERROR(SEARCH("FAT",Z73)))</formula>
    </cfRule>
    <cfRule type="containsText" dxfId="1471" priority="1520" operator="containsText" text="FIRE">
      <formula>NOT(ISERROR(SEARCH("FIRE",Z73)))</formula>
    </cfRule>
    <cfRule type="containsText" dxfId="1470" priority="1521" operator="containsText" text="COSH">
      <formula>NOT(ISERROR(SEARCH("COSH",Z73)))</formula>
    </cfRule>
  </conditionalFormatting>
  <conditionalFormatting sqref="Z78">
    <cfRule type="containsText" dxfId="1469" priority="1516" operator="containsText" text="FAT">
      <formula>NOT(ISERROR(SEARCH("FAT",Z78)))</formula>
    </cfRule>
    <cfRule type="containsText" dxfId="1468" priority="1517" operator="containsText" text="FIRE">
      <formula>NOT(ISERROR(SEARCH("FIRE",Z78)))</formula>
    </cfRule>
    <cfRule type="containsText" dxfId="1467" priority="1518" operator="containsText" text="COSH">
      <formula>NOT(ISERROR(SEARCH("COSH",Z78)))</formula>
    </cfRule>
  </conditionalFormatting>
  <conditionalFormatting sqref="Z84">
    <cfRule type="containsText" dxfId="1466" priority="1513" operator="containsText" text="FAT">
      <formula>NOT(ISERROR(SEARCH("FAT",Z84)))</formula>
    </cfRule>
    <cfRule type="containsText" dxfId="1465" priority="1514" operator="containsText" text="FIRE">
      <formula>NOT(ISERROR(SEARCH("FIRE",Z84)))</formula>
    </cfRule>
    <cfRule type="containsText" dxfId="1464" priority="1515" operator="containsText" text="COSH">
      <formula>NOT(ISERROR(SEARCH("COSH",Z84)))</formula>
    </cfRule>
  </conditionalFormatting>
  <conditionalFormatting sqref="Z84">
    <cfRule type="containsText" dxfId="1463" priority="1510" operator="containsText" text="FAT">
      <formula>NOT(ISERROR(SEARCH("FAT",Z84)))</formula>
    </cfRule>
    <cfRule type="containsText" dxfId="1462" priority="1511" operator="containsText" text="FIRE">
      <formula>NOT(ISERROR(SEARCH("FIRE",Z84)))</formula>
    </cfRule>
    <cfRule type="containsText" dxfId="1461" priority="1512" operator="containsText" text="COSH">
      <formula>NOT(ISERROR(SEARCH("COSH",Z84)))</formula>
    </cfRule>
  </conditionalFormatting>
  <conditionalFormatting sqref="Z77">
    <cfRule type="containsText" dxfId="1460" priority="1507" operator="containsText" text="FAT">
      <formula>NOT(ISERROR(SEARCH("FAT",Z77)))</formula>
    </cfRule>
    <cfRule type="containsText" dxfId="1459" priority="1508" operator="containsText" text="FIRE">
      <formula>NOT(ISERROR(SEARCH("FIRE",Z77)))</formula>
    </cfRule>
    <cfRule type="containsText" dxfId="1458" priority="1509" operator="containsText" text="COSH">
      <formula>NOT(ISERROR(SEARCH("COSH",Z77)))</formula>
    </cfRule>
  </conditionalFormatting>
  <conditionalFormatting sqref="Z76">
    <cfRule type="containsText" dxfId="1457" priority="1504" operator="containsText" text="FAT">
      <formula>NOT(ISERROR(SEARCH("FAT",Z76)))</formula>
    </cfRule>
    <cfRule type="containsText" dxfId="1456" priority="1505" operator="containsText" text="FIRE">
      <formula>NOT(ISERROR(SEARCH("FIRE",Z76)))</formula>
    </cfRule>
    <cfRule type="containsText" dxfId="1455" priority="1506" operator="containsText" text="COSH">
      <formula>NOT(ISERROR(SEARCH("COSH",Z76)))</formula>
    </cfRule>
  </conditionalFormatting>
  <conditionalFormatting sqref="Z72">
    <cfRule type="containsText" dxfId="1454" priority="1501" operator="containsText" text="FAT">
      <formula>NOT(ISERROR(SEARCH("FAT",Z72)))</formula>
    </cfRule>
    <cfRule type="containsText" dxfId="1453" priority="1502" operator="containsText" text="FIRE">
      <formula>NOT(ISERROR(SEARCH("FIRE",Z72)))</formula>
    </cfRule>
    <cfRule type="containsText" dxfId="1452" priority="1503" operator="containsText" text="COSH">
      <formula>NOT(ISERROR(SEARCH("COSH",Z72)))</formula>
    </cfRule>
  </conditionalFormatting>
  <conditionalFormatting sqref="Z81">
    <cfRule type="containsText" dxfId="1451" priority="1498" operator="containsText" text="FAT">
      <formula>NOT(ISERROR(SEARCH("FAT",Z81)))</formula>
    </cfRule>
    <cfRule type="containsText" dxfId="1450" priority="1499" operator="containsText" text="FIRE">
      <formula>NOT(ISERROR(SEARCH("FIRE",Z81)))</formula>
    </cfRule>
    <cfRule type="containsText" dxfId="1449" priority="1500" operator="containsText" text="COSH">
      <formula>NOT(ISERROR(SEARCH("COSH",Z81)))</formula>
    </cfRule>
  </conditionalFormatting>
  <conditionalFormatting sqref="Z80">
    <cfRule type="containsText" dxfId="1448" priority="1495" operator="containsText" text="FAT">
      <formula>NOT(ISERROR(SEARCH("FAT",Z80)))</formula>
    </cfRule>
    <cfRule type="containsText" dxfId="1447" priority="1496" operator="containsText" text="FIRE">
      <formula>NOT(ISERROR(SEARCH("FIRE",Z80)))</formula>
    </cfRule>
    <cfRule type="containsText" dxfId="1446" priority="1497" operator="containsText" text="COSH">
      <formula>NOT(ISERROR(SEARCH("COSH",Z80)))</formula>
    </cfRule>
  </conditionalFormatting>
  <conditionalFormatting sqref="Z80">
    <cfRule type="containsText" dxfId="1445" priority="1492" operator="containsText" text="FAT">
      <formula>NOT(ISERROR(SEARCH("FAT",Z80)))</formula>
    </cfRule>
    <cfRule type="containsText" dxfId="1444" priority="1493" operator="containsText" text="FIRE">
      <formula>NOT(ISERROR(SEARCH("FIRE",Z80)))</formula>
    </cfRule>
    <cfRule type="containsText" dxfId="1443" priority="1494" operator="containsText" text="COSH">
      <formula>NOT(ISERROR(SEARCH("COSH",Z80)))</formula>
    </cfRule>
  </conditionalFormatting>
  <conditionalFormatting sqref="Z80">
    <cfRule type="containsText" dxfId="1442" priority="1489" operator="containsText" text="FAT">
      <formula>NOT(ISERROR(SEARCH("FAT",Z80)))</formula>
    </cfRule>
    <cfRule type="containsText" dxfId="1441" priority="1490" operator="containsText" text="FIRE">
      <formula>NOT(ISERROR(SEARCH("FIRE",Z80)))</formula>
    </cfRule>
    <cfRule type="containsText" dxfId="1440" priority="1491" operator="containsText" text="COSH">
      <formula>NOT(ISERROR(SEARCH("COSH",Z80)))</formula>
    </cfRule>
  </conditionalFormatting>
  <conditionalFormatting sqref="Z80">
    <cfRule type="containsText" dxfId="1439" priority="1486" operator="containsText" text="FAT">
      <formula>NOT(ISERROR(SEARCH("FAT",Z80)))</formula>
    </cfRule>
    <cfRule type="containsText" dxfId="1438" priority="1487" operator="containsText" text="FIRE">
      <formula>NOT(ISERROR(SEARCH("FIRE",Z80)))</formula>
    </cfRule>
    <cfRule type="containsText" dxfId="1437" priority="1488" operator="containsText" text="COSH">
      <formula>NOT(ISERROR(SEARCH("COSH",Z80)))</formula>
    </cfRule>
  </conditionalFormatting>
  <conditionalFormatting sqref="Z80">
    <cfRule type="containsText" dxfId="1436" priority="1483" operator="containsText" text="FAT">
      <formula>NOT(ISERROR(SEARCH("FAT",Z80)))</formula>
    </cfRule>
    <cfRule type="containsText" dxfId="1435" priority="1484" operator="containsText" text="FIRE">
      <formula>NOT(ISERROR(SEARCH("FIRE",Z80)))</formula>
    </cfRule>
    <cfRule type="containsText" dxfId="1434" priority="1485" operator="containsText" text="COSH">
      <formula>NOT(ISERROR(SEARCH("COSH",Z80)))</formula>
    </cfRule>
  </conditionalFormatting>
  <conditionalFormatting sqref="Z80">
    <cfRule type="containsText" dxfId="1433" priority="1480" operator="containsText" text="FAT">
      <formula>NOT(ISERROR(SEARCH("FAT",Z80)))</formula>
    </cfRule>
    <cfRule type="containsText" dxfId="1432" priority="1481" operator="containsText" text="FIRE">
      <formula>NOT(ISERROR(SEARCH("FIRE",Z80)))</formula>
    </cfRule>
    <cfRule type="containsText" dxfId="1431" priority="1482" operator="containsText" text="COSH">
      <formula>NOT(ISERROR(SEARCH("COSH",Z80)))</formula>
    </cfRule>
  </conditionalFormatting>
  <conditionalFormatting sqref="Z80">
    <cfRule type="containsText" dxfId="1430" priority="1477" operator="containsText" text="FAT">
      <formula>NOT(ISERROR(SEARCH("FAT",Z80)))</formula>
    </cfRule>
    <cfRule type="containsText" dxfId="1429" priority="1478" operator="containsText" text="FIRE">
      <formula>NOT(ISERROR(SEARCH("FIRE",Z80)))</formula>
    </cfRule>
    <cfRule type="containsText" dxfId="1428" priority="1479" operator="containsText" text="COSH">
      <formula>NOT(ISERROR(SEARCH("COSH",Z80)))</formula>
    </cfRule>
  </conditionalFormatting>
  <conditionalFormatting sqref="Z80">
    <cfRule type="containsText" dxfId="1427" priority="1474" operator="containsText" text="FAT">
      <formula>NOT(ISERROR(SEARCH("FAT",Z80)))</formula>
    </cfRule>
    <cfRule type="containsText" dxfId="1426" priority="1475" operator="containsText" text="FIRE">
      <formula>NOT(ISERROR(SEARCH("FIRE",Z80)))</formula>
    </cfRule>
    <cfRule type="containsText" dxfId="1425" priority="1476" operator="containsText" text="COSH">
      <formula>NOT(ISERROR(SEARCH("COSH",Z80)))</formula>
    </cfRule>
  </conditionalFormatting>
  <conditionalFormatting sqref="Z80">
    <cfRule type="containsText" dxfId="1424" priority="1471" operator="containsText" text="FAT">
      <formula>NOT(ISERROR(SEARCH("FAT",Z80)))</formula>
    </cfRule>
    <cfRule type="containsText" dxfId="1423" priority="1472" operator="containsText" text="FIRE">
      <formula>NOT(ISERROR(SEARCH("FIRE",Z80)))</formula>
    </cfRule>
    <cfRule type="containsText" dxfId="1422" priority="1473" operator="containsText" text="COSH">
      <formula>NOT(ISERROR(SEARCH("COSH",Z80)))</formula>
    </cfRule>
  </conditionalFormatting>
  <conditionalFormatting sqref="Z80">
    <cfRule type="containsText" dxfId="1421" priority="1468" operator="containsText" text="FAT">
      <formula>NOT(ISERROR(SEARCH("FAT",Z80)))</formula>
    </cfRule>
    <cfRule type="containsText" dxfId="1420" priority="1469" operator="containsText" text="FIRE">
      <formula>NOT(ISERROR(SEARCH("FIRE",Z80)))</formula>
    </cfRule>
    <cfRule type="containsText" dxfId="1419" priority="1470" operator="containsText" text="COSH">
      <formula>NOT(ISERROR(SEARCH("COSH",Z80)))</formula>
    </cfRule>
  </conditionalFormatting>
  <conditionalFormatting sqref="Z80">
    <cfRule type="containsText" dxfId="1418" priority="1465" operator="containsText" text="FAT">
      <formula>NOT(ISERROR(SEARCH("FAT",Z80)))</formula>
    </cfRule>
    <cfRule type="containsText" dxfId="1417" priority="1466" operator="containsText" text="FIRE">
      <formula>NOT(ISERROR(SEARCH("FIRE",Z80)))</formula>
    </cfRule>
    <cfRule type="containsText" dxfId="1416" priority="1467" operator="containsText" text="COSH">
      <formula>NOT(ISERROR(SEARCH("COSH",Z80)))</formula>
    </cfRule>
  </conditionalFormatting>
  <conditionalFormatting sqref="Z79">
    <cfRule type="containsText" dxfId="1415" priority="1462" operator="containsText" text="FAT">
      <formula>NOT(ISERROR(SEARCH("FAT",Z79)))</formula>
    </cfRule>
    <cfRule type="containsText" dxfId="1414" priority="1463" operator="containsText" text="FIRE">
      <formula>NOT(ISERROR(SEARCH("FIRE",Z79)))</formula>
    </cfRule>
    <cfRule type="containsText" dxfId="1413" priority="1464" operator="containsText" text="COSH">
      <formula>NOT(ISERROR(SEARCH("COSH",Z79)))</formula>
    </cfRule>
  </conditionalFormatting>
  <conditionalFormatting sqref="Z82">
    <cfRule type="containsText" dxfId="1412" priority="1459" operator="containsText" text="FAT">
      <formula>NOT(ISERROR(SEARCH("FAT",Z82)))</formula>
    </cfRule>
    <cfRule type="containsText" dxfId="1411" priority="1460" operator="containsText" text="FIRE">
      <formula>NOT(ISERROR(SEARCH("FIRE",Z82)))</formula>
    </cfRule>
    <cfRule type="containsText" dxfId="1410" priority="1461" operator="containsText" text="COSH">
      <formula>NOT(ISERROR(SEARCH("COSH",Z82)))</formula>
    </cfRule>
  </conditionalFormatting>
  <conditionalFormatting sqref="Z82">
    <cfRule type="containsText" dxfId="1409" priority="1456" operator="containsText" text="FAT">
      <formula>NOT(ISERROR(SEARCH("FAT",Z82)))</formula>
    </cfRule>
    <cfRule type="containsText" dxfId="1408" priority="1457" operator="containsText" text="FIRE">
      <formula>NOT(ISERROR(SEARCH("FIRE",Z82)))</formula>
    </cfRule>
    <cfRule type="containsText" dxfId="1407" priority="1458" operator="containsText" text="COSH">
      <formula>NOT(ISERROR(SEARCH("COSH",Z82)))</formula>
    </cfRule>
  </conditionalFormatting>
  <conditionalFormatting sqref="Z82">
    <cfRule type="containsText" dxfId="1406" priority="1453" operator="containsText" text="FAT">
      <formula>NOT(ISERROR(SEARCH("FAT",Z82)))</formula>
    </cfRule>
    <cfRule type="containsText" dxfId="1405" priority="1454" operator="containsText" text="FIRE">
      <formula>NOT(ISERROR(SEARCH("FIRE",Z82)))</formula>
    </cfRule>
    <cfRule type="containsText" dxfId="1404" priority="1455" operator="containsText" text="COSH">
      <formula>NOT(ISERROR(SEARCH("COSH",Z82)))</formula>
    </cfRule>
  </conditionalFormatting>
  <conditionalFormatting sqref="Z82">
    <cfRule type="containsText" dxfId="1403" priority="1450" operator="containsText" text="FAT">
      <formula>NOT(ISERROR(SEARCH("FAT",Z82)))</formula>
    </cfRule>
    <cfRule type="containsText" dxfId="1402" priority="1451" operator="containsText" text="FIRE">
      <formula>NOT(ISERROR(SEARCH("FIRE",Z82)))</formula>
    </cfRule>
    <cfRule type="containsText" dxfId="1401" priority="1452" operator="containsText" text="COSH">
      <formula>NOT(ISERROR(SEARCH("COSH",Z82)))</formula>
    </cfRule>
  </conditionalFormatting>
  <conditionalFormatting sqref="Z82">
    <cfRule type="containsText" dxfId="1400" priority="1447" operator="containsText" text="FAT">
      <formula>NOT(ISERROR(SEARCH("FAT",Z82)))</formula>
    </cfRule>
    <cfRule type="containsText" dxfId="1399" priority="1448" operator="containsText" text="FIRE">
      <formula>NOT(ISERROR(SEARCH("FIRE",Z82)))</formula>
    </cfRule>
    <cfRule type="containsText" dxfId="1398" priority="1449" operator="containsText" text="COSH">
      <formula>NOT(ISERROR(SEARCH("COSH",Z82)))</formula>
    </cfRule>
  </conditionalFormatting>
  <conditionalFormatting sqref="Z82">
    <cfRule type="containsText" dxfId="1397" priority="1444" operator="containsText" text="FAT">
      <formula>NOT(ISERROR(SEARCH("FAT",Z82)))</formula>
    </cfRule>
    <cfRule type="containsText" dxfId="1396" priority="1445" operator="containsText" text="FIRE">
      <formula>NOT(ISERROR(SEARCH("FIRE",Z82)))</formula>
    </cfRule>
    <cfRule type="containsText" dxfId="1395" priority="1446" operator="containsText" text="COSH">
      <formula>NOT(ISERROR(SEARCH("COSH",Z82)))</formula>
    </cfRule>
  </conditionalFormatting>
  <conditionalFormatting sqref="Z82">
    <cfRule type="containsText" dxfId="1394" priority="1441" operator="containsText" text="FAT">
      <formula>NOT(ISERROR(SEARCH("FAT",Z82)))</formula>
    </cfRule>
    <cfRule type="containsText" dxfId="1393" priority="1442" operator="containsText" text="FIRE">
      <formula>NOT(ISERROR(SEARCH("FIRE",Z82)))</formula>
    </cfRule>
    <cfRule type="containsText" dxfId="1392" priority="1443" operator="containsText" text="COSH">
      <formula>NOT(ISERROR(SEARCH("COSH",Z82)))</formula>
    </cfRule>
  </conditionalFormatting>
  <conditionalFormatting sqref="Z82">
    <cfRule type="containsText" dxfId="1391" priority="1438" operator="containsText" text="FAT">
      <formula>NOT(ISERROR(SEARCH("FAT",Z82)))</formula>
    </cfRule>
    <cfRule type="containsText" dxfId="1390" priority="1439" operator="containsText" text="FIRE">
      <formula>NOT(ISERROR(SEARCH("FIRE",Z82)))</formula>
    </cfRule>
    <cfRule type="containsText" dxfId="1389" priority="1440" operator="containsText" text="COSH">
      <formula>NOT(ISERROR(SEARCH("COSH",Z82)))</formula>
    </cfRule>
  </conditionalFormatting>
  <conditionalFormatting sqref="Z82">
    <cfRule type="containsText" dxfId="1388" priority="1435" operator="containsText" text="FAT">
      <formula>NOT(ISERROR(SEARCH("FAT",Z82)))</formula>
    </cfRule>
    <cfRule type="containsText" dxfId="1387" priority="1436" operator="containsText" text="FIRE">
      <formula>NOT(ISERROR(SEARCH("FIRE",Z82)))</formula>
    </cfRule>
    <cfRule type="containsText" dxfId="1386" priority="1437" operator="containsText" text="COSH">
      <formula>NOT(ISERROR(SEARCH("COSH",Z82)))</formula>
    </cfRule>
  </conditionalFormatting>
  <conditionalFormatting sqref="Z82">
    <cfRule type="containsText" dxfId="1385" priority="1432" operator="containsText" text="FAT">
      <formula>NOT(ISERROR(SEARCH("FAT",Z82)))</formula>
    </cfRule>
    <cfRule type="containsText" dxfId="1384" priority="1433" operator="containsText" text="FIRE">
      <formula>NOT(ISERROR(SEARCH("FIRE",Z82)))</formula>
    </cfRule>
    <cfRule type="containsText" dxfId="1383" priority="1434" operator="containsText" text="COSH">
      <formula>NOT(ISERROR(SEARCH("COSH",Z82)))</formula>
    </cfRule>
  </conditionalFormatting>
  <conditionalFormatting sqref="Z82">
    <cfRule type="containsText" dxfId="1382" priority="1429" operator="containsText" text="FAT">
      <formula>NOT(ISERROR(SEARCH("FAT",Z82)))</formula>
    </cfRule>
    <cfRule type="containsText" dxfId="1381" priority="1430" operator="containsText" text="FIRE">
      <formula>NOT(ISERROR(SEARCH("FIRE",Z82)))</formula>
    </cfRule>
    <cfRule type="containsText" dxfId="1380" priority="1431" operator="containsText" text="COSH">
      <formula>NOT(ISERROR(SEARCH("COSH",Z82)))</formula>
    </cfRule>
  </conditionalFormatting>
  <conditionalFormatting sqref="Z86">
    <cfRule type="containsText" dxfId="1379" priority="1426" operator="containsText" text="FAT">
      <formula>NOT(ISERROR(SEARCH("FAT",Z86)))</formula>
    </cfRule>
    <cfRule type="containsText" dxfId="1378" priority="1427" operator="containsText" text="FIRE">
      <formula>NOT(ISERROR(SEARCH("FIRE",Z86)))</formula>
    </cfRule>
    <cfRule type="containsText" dxfId="1377" priority="1428" operator="containsText" text="COSH">
      <formula>NOT(ISERROR(SEARCH("COSH",Z86)))</formula>
    </cfRule>
  </conditionalFormatting>
  <conditionalFormatting sqref="Z86">
    <cfRule type="containsText" dxfId="1376" priority="1423" operator="containsText" text="FAT">
      <formula>NOT(ISERROR(SEARCH("FAT",Z86)))</formula>
    </cfRule>
    <cfRule type="containsText" dxfId="1375" priority="1424" operator="containsText" text="FIRE">
      <formula>NOT(ISERROR(SEARCH("FIRE",Z86)))</formula>
    </cfRule>
    <cfRule type="containsText" dxfId="1374" priority="1425" operator="containsText" text="COSH">
      <formula>NOT(ISERROR(SEARCH("COSH",Z86)))</formula>
    </cfRule>
  </conditionalFormatting>
  <conditionalFormatting sqref="Z86">
    <cfRule type="containsText" dxfId="1373" priority="1420" operator="containsText" text="FAT">
      <formula>NOT(ISERROR(SEARCH("FAT",Z86)))</formula>
    </cfRule>
    <cfRule type="containsText" dxfId="1372" priority="1421" operator="containsText" text="FIRE">
      <formula>NOT(ISERROR(SEARCH("FIRE",Z86)))</formula>
    </cfRule>
    <cfRule type="containsText" dxfId="1371" priority="1422" operator="containsText" text="COSH">
      <formula>NOT(ISERROR(SEARCH("COSH",Z86)))</formula>
    </cfRule>
  </conditionalFormatting>
  <conditionalFormatting sqref="Z86">
    <cfRule type="containsText" dxfId="1370" priority="1417" operator="containsText" text="FAT">
      <formula>NOT(ISERROR(SEARCH("FAT",Z86)))</formula>
    </cfRule>
    <cfRule type="containsText" dxfId="1369" priority="1418" operator="containsText" text="FIRE">
      <formula>NOT(ISERROR(SEARCH("FIRE",Z86)))</formula>
    </cfRule>
    <cfRule type="containsText" dxfId="1368" priority="1419" operator="containsText" text="COSH">
      <formula>NOT(ISERROR(SEARCH("COSH",Z86)))</formula>
    </cfRule>
  </conditionalFormatting>
  <conditionalFormatting sqref="Z86">
    <cfRule type="containsText" dxfId="1367" priority="1414" operator="containsText" text="FAT">
      <formula>NOT(ISERROR(SEARCH("FAT",Z86)))</formula>
    </cfRule>
    <cfRule type="containsText" dxfId="1366" priority="1415" operator="containsText" text="FIRE">
      <formula>NOT(ISERROR(SEARCH("FIRE",Z86)))</formula>
    </cfRule>
    <cfRule type="containsText" dxfId="1365" priority="1416" operator="containsText" text="COSH">
      <formula>NOT(ISERROR(SEARCH("COSH",Z86)))</formula>
    </cfRule>
  </conditionalFormatting>
  <conditionalFormatting sqref="Z86">
    <cfRule type="containsText" dxfId="1364" priority="1411" operator="containsText" text="FAT">
      <formula>NOT(ISERROR(SEARCH("FAT",Z86)))</formula>
    </cfRule>
    <cfRule type="containsText" dxfId="1363" priority="1412" operator="containsText" text="FIRE">
      <formula>NOT(ISERROR(SEARCH("FIRE",Z86)))</formula>
    </cfRule>
    <cfRule type="containsText" dxfId="1362" priority="1413" operator="containsText" text="COSH">
      <formula>NOT(ISERROR(SEARCH("COSH",Z86)))</formula>
    </cfRule>
  </conditionalFormatting>
  <conditionalFormatting sqref="Z86">
    <cfRule type="containsText" dxfId="1361" priority="1408" operator="containsText" text="FAT">
      <formula>NOT(ISERROR(SEARCH("FAT",Z86)))</formula>
    </cfRule>
    <cfRule type="containsText" dxfId="1360" priority="1409" operator="containsText" text="FIRE">
      <formula>NOT(ISERROR(SEARCH("FIRE",Z86)))</formula>
    </cfRule>
    <cfRule type="containsText" dxfId="1359" priority="1410" operator="containsText" text="COSH">
      <formula>NOT(ISERROR(SEARCH("COSH",Z86)))</formula>
    </cfRule>
  </conditionalFormatting>
  <conditionalFormatting sqref="Z86">
    <cfRule type="containsText" dxfId="1358" priority="1405" operator="containsText" text="FAT">
      <formula>NOT(ISERROR(SEARCH("FAT",Z86)))</formula>
    </cfRule>
    <cfRule type="containsText" dxfId="1357" priority="1406" operator="containsText" text="FIRE">
      <formula>NOT(ISERROR(SEARCH("FIRE",Z86)))</formula>
    </cfRule>
    <cfRule type="containsText" dxfId="1356" priority="1407" operator="containsText" text="COSH">
      <formula>NOT(ISERROR(SEARCH("COSH",Z86)))</formula>
    </cfRule>
  </conditionalFormatting>
  <conditionalFormatting sqref="Z86">
    <cfRule type="containsText" dxfId="1355" priority="1402" operator="containsText" text="FAT">
      <formula>NOT(ISERROR(SEARCH("FAT",Z86)))</formula>
    </cfRule>
    <cfRule type="containsText" dxfId="1354" priority="1403" operator="containsText" text="FIRE">
      <formula>NOT(ISERROR(SEARCH("FIRE",Z86)))</formula>
    </cfRule>
    <cfRule type="containsText" dxfId="1353" priority="1404" operator="containsText" text="COSH">
      <formula>NOT(ISERROR(SEARCH("COSH",Z86)))</formula>
    </cfRule>
  </conditionalFormatting>
  <conditionalFormatting sqref="Z86">
    <cfRule type="containsText" dxfId="1352" priority="1399" operator="containsText" text="FAT">
      <formula>NOT(ISERROR(SEARCH("FAT",Z86)))</formula>
    </cfRule>
    <cfRule type="containsText" dxfId="1351" priority="1400" operator="containsText" text="FIRE">
      <formula>NOT(ISERROR(SEARCH("FIRE",Z86)))</formula>
    </cfRule>
    <cfRule type="containsText" dxfId="1350" priority="1401" operator="containsText" text="COSH">
      <formula>NOT(ISERROR(SEARCH("COSH",Z86)))</formula>
    </cfRule>
  </conditionalFormatting>
  <conditionalFormatting sqref="Z86">
    <cfRule type="containsText" dxfId="1349" priority="1396" operator="containsText" text="FAT">
      <formula>NOT(ISERROR(SEARCH("FAT",Z86)))</formula>
    </cfRule>
    <cfRule type="containsText" dxfId="1348" priority="1397" operator="containsText" text="FIRE">
      <formula>NOT(ISERROR(SEARCH("FIRE",Z86)))</formula>
    </cfRule>
    <cfRule type="containsText" dxfId="1347" priority="1398" operator="containsText" text="COSH">
      <formula>NOT(ISERROR(SEARCH("COSH",Z86)))</formula>
    </cfRule>
  </conditionalFormatting>
  <conditionalFormatting sqref="Z83">
    <cfRule type="containsText" dxfId="1346" priority="1393" operator="containsText" text="FAT">
      <formula>NOT(ISERROR(SEARCH("FAT",Z83)))</formula>
    </cfRule>
    <cfRule type="containsText" dxfId="1345" priority="1394" operator="containsText" text="FIRE">
      <formula>NOT(ISERROR(SEARCH("FIRE",Z83)))</formula>
    </cfRule>
    <cfRule type="containsText" dxfId="1344" priority="1395" operator="containsText" text="COSH">
      <formula>NOT(ISERROR(SEARCH("COSH",Z83)))</formula>
    </cfRule>
  </conditionalFormatting>
  <conditionalFormatting sqref="Z85">
    <cfRule type="containsText" dxfId="1343" priority="1390" operator="containsText" text="FAT">
      <formula>NOT(ISERROR(SEARCH("FAT",Z85)))</formula>
    </cfRule>
    <cfRule type="containsText" dxfId="1342" priority="1391" operator="containsText" text="FIRE">
      <formula>NOT(ISERROR(SEARCH("FIRE",Z85)))</formula>
    </cfRule>
    <cfRule type="containsText" dxfId="1341" priority="1392" operator="containsText" text="COSH">
      <formula>NOT(ISERROR(SEARCH("COSH",Z85)))</formula>
    </cfRule>
  </conditionalFormatting>
  <conditionalFormatting sqref="Z68">
    <cfRule type="containsText" dxfId="1340" priority="1387" operator="containsText" text="FAT">
      <formula>NOT(ISERROR(SEARCH("FAT",Z68)))</formula>
    </cfRule>
    <cfRule type="containsText" dxfId="1339" priority="1388" operator="containsText" text="FIRE">
      <formula>NOT(ISERROR(SEARCH("FIRE",Z68)))</formula>
    </cfRule>
    <cfRule type="containsText" dxfId="1338" priority="1389" operator="containsText" text="COSH">
      <formula>NOT(ISERROR(SEARCH("COSH",Z68)))</formula>
    </cfRule>
  </conditionalFormatting>
  <conditionalFormatting sqref="Z73:Z75">
    <cfRule type="containsText" dxfId="1337" priority="1384" operator="containsText" text="FAT">
      <formula>NOT(ISERROR(SEARCH("FAT",Z73)))</formula>
    </cfRule>
    <cfRule type="containsText" dxfId="1336" priority="1385" operator="containsText" text="FIRE">
      <formula>NOT(ISERROR(SEARCH("FIRE",Z73)))</formula>
    </cfRule>
    <cfRule type="containsText" dxfId="1335" priority="1386" operator="containsText" text="COSH">
      <formula>NOT(ISERROR(SEARCH("COSH",Z73)))</formula>
    </cfRule>
  </conditionalFormatting>
  <conditionalFormatting sqref="Z73:Z75">
    <cfRule type="containsText" dxfId="1334" priority="1381" operator="containsText" text="FAT">
      <formula>NOT(ISERROR(SEARCH("FAT",Z73)))</formula>
    </cfRule>
    <cfRule type="containsText" dxfId="1333" priority="1382" operator="containsText" text="FIRE">
      <formula>NOT(ISERROR(SEARCH("FIRE",Z73)))</formula>
    </cfRule>
    <cfRule type="containsText" dxfId="1332" priority="1383" operator="containsText" text="COSH">
      <formula>NOT(ISERROR(SEARCH("COSH",Z73)))</formula>
    </cfRule>
  </conditionalFormatting>
  <conditionalFormatting sqref="Z85">
    <cfRule type="containsText" dxfId="1331" priority="1378" operator="containsText" text="FAT">
      <formula>NOT(ISERROR(SEARCH("FAT",Z85)))</formula>
    </cfRule>
    <cfRule type="containsText" dxfId="1330" priority="1379" operator="containsText" text="FIRE">
      <formula>NOT(ISERROR(SEARCH("FIRE",Z85)))</formula>
    </cfRule>
    <cfRule type="containsText" dxfId="1329" priority="1380" operator="containsText" text="COSH">
      <formula>NOT(ISERROR(SEARCH("COSH",Z85)))</formula>
    </cfRule>
  </conditionalFormatting>
  <conditionalFormatting sqref="Z85">
    <cfRule type="containsText" dxfId="1328" priority="1375" operator="containsText" text="FAT">
      <formula>NOT(ISERROR(SEARCH("FAT",Z85)))</formula>
    </cfRule>
    <cfRule type="containsText" dxfId="1327" priority="1376" operator="containsText" text="FIRE">
      <formula>NOT(ISERROR(SEARCH("FIRE",Z85)))</formula>
    </cfRule>
    <cfRule type="containsText" dxfId="1326" priority="1377" operator="containsText" text="COSH">
      <formula>NOT(ISERROR(SEARCH("COSH",Z85)))</formula>
    </cfRule>
  </conditionalFormatting>
  <conditionalFormatting sqref="Z70">
    <cfRule type="containsText" dxfId="1325" priority="1372" operator="containsText" text="FAT">
      <formula>NOT(ISERROR(SEARCH("FAT",Z70)))</formula>
    </cfRule>
    <cfRule type="containsText" dxfId="1324" priority="1373" operator="containsText" text="FIRE">
      <formula>NOT(ISERROR(SEARCH("FIRE",Z70)))</formula>
    </cfRule>
    <cfRule type="containsText" dxfId="1323" priority="1374" operator="containsText" text="COSH">
      <formula>NOT(ISERROR(SEARCH("COSH",Z70)))</formula>
    </cfRule>
  </conditionalFormatting>
  <conditionalFormatting sqref="Z70">
    <cfRule type="cellIs" dxfId="1322" priority="1371" operator="between">
      <formula>1</formula>
      <formula>3</formula>
    </cfRule>
  </conditionalFormatting>
  <conditionalFormatting sqref="AE80 AE82 AE86">
    <cfRule type="containsText" dxfId="1321" priority="1368" operator="containsText" text="FAT">
      <formula>NOT(ISERROR(SEARCH("FAT",AE80)))</formula>
    </cfRule>
    <cfRule type="containsText" dxfId="1320" priority="1369" operator="containsText" text="FIRE">
      <formula>NOT(ISERROR(SEARCH("FIRE",AE80)))</formula>
    </cfRule>
    <cfRule type="containsText" dxfId="1319" priority="1370" operator="containsText" text="COSH">
      <formula>NOT(ISERROR(SEARCH("COSH",AE80)))</formula>
    </cfRule>
  </conditionalFormatting>
  <conditionalFormatting sqref="AE82">
    <cfRule type="containsText" dxfId="1318" priority="1365" operator="containsText" text="FAT">
      <formula>NOT(ISERROR(SEARCH("FAT",AE82)))</formula>
    </cfRule>
    <cfRule type="containsText" dxfId="1317" priority="1366" operator="containsText" text="FIRE">
      <formula>NOT(ISERROR(SEARCH("FIRE",AE82)))</formula>
    </cfRule>
    <cfRule type="containsText" dxfId="1316" priority="1367" operator="containsText" text="COSH">
      <formula>NOT(ISERROR(SEARCH("COSH",AE82)))</formula>
    </cfRule>
  </conditionalFormatting>
  <conditionalFormatting sqref="AE69">
    <cfRule type="containsText" dxfId="1315" priority="1362" operator="containsText" text="FAT">
      <formula>NOT(ISERROR(SEARCH("FAT",AE69)))</formula>
    </cfRule>
    <cfRule type="containsText" dxfId="1314" priority="1363" operator="containsText" text="FIRE">
      <formula>NOT(ISERROR(SEARCH("FIRE",AE69)))</formula>
    </cfRule>
    <cfRule type="containsText" dxfId="1313" priority="1364" operator="containsText" text="COSH">
      <formula>NOT(ISERROR(SEARCH("COSH",AE69)))</formula>
    </cfRule>
  </conditionalFormatting>
  <conditionalFormatting sqref="AE67 AE69 AE85 AE87 AE77:AE79 AE82:AE83 AE72:AE75">
    <cfRule type="containsText" dxfId="1312" priority="1359" operator="containsText" text="FAT">
      <formula>NOT(ISERROR(SEARCH("FAT",AE67)))</formula>
    </cfRule>
    <cfRule type="containsText" dxfId="1311" priority="1360" operator="containsText" text="FIRE">
      <formula>NOT(ISERROR(SEARCH("FIRE",AE67)))</formula>
    </cfRule>
    <cfRule type="containsText" dxfId="1310" priority="1361" operator="containsText" text="COSH">
      <formula>NOT(ISERROR(SEARCH("COSH",AE67)))</formula>
    </cfRule>
  </conditionalFormatting>
  <conditionalFormatting sqref="AE68">
    <cfRule type="containsText" dxfId="1309" priority="1356" operator="containsText" text="FAT">
      <formula>NOT(ISERROR(SEARCH("FAT",AE68)))</formula>
    </cfRule>
    <cfRule type="containsText" dxfId="1308" priority="1357" operator="containsText" text="FIRE">
      <formula>NOT(ISERROR(SEARCH("FIRE",AE68)))</formula>
    </cfRule>
    <cfRule type="containsText" dxfId="1307" priority="1358" operator="containsText" text="COSH">
      <formula>NOT(ISERROR(SEARCH("COSH",AE68)))</formula>
    </cfRule>
  </conditionalFormatting>
  <conditionalFormatting sqref="AE81">
    <cfRule type="containsText" dxfId="1306" priority="1353" operator="containsText" text="FAT">
      <formula>NOT(ISERROR(SEARCH("FAT",AE81)))</formula>
    </cfRule>
    <cfRule type="containsText" dxfId="1305" priority="1354" operator="containsText" text="FIRE">
      <formula>NOT(ISERROR(SEARCH("FIRE",AE81)))</formula>
    </cfRule>
    <cfRule type="containsText" dxfId="1304" priority="1355" operator="containsText" text="COSH">
      <formula>NOT(ISERROR(SEARCH("COSH",AE81)))</formula>
    </cfRule>
  </conditionalFormatting>
  <conditionalFormatting sqref="AE76">
    <cfRule type="containsText" dxfId="1303" priority="1350" operator="containsText" text="FAT">
      <formula>NOT(ISERROR(SEARCH("FAT",AE76)))</formula>
    </cfRule>
    <cfRule type="containsText" dxfId="1302" priority="1351" operator="containsText" text="FIRE">
      <formula>NOT(ISERROR(SEARCH("FIRE",AE76)))</formula>
    </cfRule>
    <cfRule type="containsText" dxfId="1301" priority="1352" operator="containsText" text="COSH">
      <formula>NOT(ISERROR(SEARCH("COSH",AE76)))</formula>
    </cfRule>
  </conditionalFormatting>
  <conditionalFormatting sqref="AE84">
    <cfRule type="containsText" dxfId="1300" priority="1347" operator="containsText" text="FAT">
      <formula>NOT(ISERROR(SEARCH("FAT",AE84)))</formula>
    </cfRule>
    <cfRule type="containsText" dxfId="1299" priority="1348" operator="containsText" text="FIRE">
      <formula>NOT(ISERROR(SEARCH("FIRE",AE84)))</formula>
    </cfRule>
    <cfRule type="containsText" dxfId="1298" priority="1349" operator="containsText" text="COSH">
      <formula>NOT(ISERROR(SEARCH("COSH",AE84)))</formula>
    </cfRule>
  </conditionalFormatting>
  <conditionalFormatting sqref="AE86">
    <cfRule type="containsText" dxfId="1297" priority="1344" operator="containsText" text="FAT">
      <formula>NOT(ISERROR(SEARCH("FAT",AE86)))</formula>
    </cfRule>
    <cfRule type="containsText" dxfId="1296" priority="1345" operator="containsText" text="FIRE">
      <formula>NOT(ISERROR(SEARCH("FIRE",AE86)))</formula>
    </cfRule>
    <cfRule type="containsText" dxfId="1295" priority="1346" operator="containsText" text="COSH">
      <formula>NOT(ISERROR(SEARCH("COSH",AE86)))</formula>
    </cfRule>
  </conditionalFormatting>
  <conditionalFormatting sqref="AE71">
    <cfRule type="containsText" dxfId="1294" priority="1341" operator="containsText" text="FAT">
      <formula>NOT(ISERROR(SEARCH("FAT",AE71)))</formula>
    </cfRule>
    <cfRule type="containsText" dxfId="1293" priority="1342" operator="containsText" text="FIRE">
      <formula>NOT(ISERROR(SEARCH("FIRE",AE71)))</formula>
    </cfRule>
    <cfRule type="containsText" dxfId="1292" priority="1343" operator="containsText" text="COSH">
      <formula>NOT(ISERROR(SEARCH("COSH",AE71)))</formula>
    </cfRule>
  </conditionalFormatting>
  <conditionalFormatting sqref="AE80">
    <cfRule type="containsText" dxfId="1291" priority="1338" operator="containsText" text="FAT">
      <formula>NOT(ISERROR(SEARCH("FAT",AE80)))</formula>
    </cfRule>
    <cfRule type="containsText" dxfId="1290" priority="1339" operator="containsText" text="FIRE">
      <formula>NOT(ISERROR(SEARCH("FIRE",AE80)))</formula>
    </cfRule>
    <cfRule type="containsText" dxfId="1289" priority="1340" operator="containsText" text="COSH">
      <formula>NOT(ISERROR(SEARCH("COSH",AE80)))</formula>
    </cfRule>
  </conditionalFormatting>
  <conditionalFormatting sqref="AE80">
    <cfRule type="containsText" dxfId="1288" priority="1335" operator="containsText" text="FAT">
      <formula>NOT(ISERROR(SEARCH("FAT",AE80)))</formula>
    </cfRule>
    <cfRule type="containsText" dxfId="1287" priority="1336" operator="containsText" text="FIRE">
      <formula>NOT(ISERROR(SEARCH("FIRE",AE80)))</formula>
    </cfRule>
    <cfRule type="containsText" dxfId="1286" priority="1337" operator="containsText" text="COSH">
      <formula>NOT(ISERROR(SEARCH("COSH",AE80)))</formula>
    </cfRule>
  </conditionalFormatting>
  <conditionalFormatting sqref="AE69">
    <cfRule type="containsText" dxfId="1285" priority="1331" operator="containsText" text="FAT">
      <formula>NOT(ISERROR(SEARCH("FAT",AE69)))</formula>
    </cfRule>
    <cfRule type="containsText" dxfId="1284" priority="1332" operator="containsText" text="FIRE">
      <formula>NOT(ISERROR(SEARCH("FIRE",AE69)))</formula>
    </cfRule>
    <cfRule type="containsText" dxfId="1283" priority="1333" operator="containsText" text="COSH">
      <formula>NOT(ISERROR(SEARCH("COSH",AE69)))</formula>
    </cfRule>
  </conditionalFormatting>
  <conditionalFormatting sqref="AE69">
    <cfRule type="containsText" dxfId="1282" priority="1328" operator="containsText" text="FAT">
      <formula>NOT(ISERROR(SEARCH("FAT",AE69)))</formula>
    </cfRule>
    <cfRule type="containsText" dxfId="1281" priority="1329" operator="containsText" text="FIRE">
      <formula>NOT(ISERROR(SEARCH("FIRE",AE69)))</formula>
    </cfRule>
    <cfRule type="containsText" dxfId="1280" priority="1330" operator="containsText" text="COSH">
      <formula>NOT(ISERROR(SEARCH("COSH",AE69)))</formula>
    </cfRule>
  </conditionalFormatting>
  <conditionalFormatting sqref="AE69">
    <cfRule type="containsText" dxfId="1279" priority="1325" operator="containsText" text="FAT">
      <formula>NOT(ISERROR(SEARCH("FAT",AE69)))</formula>
    </cfRule>
    <cfRule type="containsText" dxfId="1278" priority="1326" operator="containsText" text="FIRE">
      <formula>NOT(ISERROR(SEARCH("FIRE",AE69)))</formula>
    </cfRule>
    <cfRule type="containsText" dxfId="1277" priority="1327" operator="containsText" text="COSH">
      <formula>NOT(ISERROR(SEARCH("COSH",AE69)))</formula>
    </cfRule>
  </conditionalFormatting>
  <conditionalFormatting sqref="AE69">
    <cfRule type="containsText" dxfId="1276" priority="1322" operator="containsText" text="FAT">
      <formula>NOT(ISERROR(SEARCH("FAT",AE69)))</formula>
    </cfRule>
    <cfRule type="containsText" dxfId="1275" priority="1323" operator="containsText" text="FIRE">
      <formula>NOT(ISERROR(SEARCH("FIRE",AE69)))</formula>
    </cfRule>
    <cfRule type="containsText" dxfId="1274" priority="1324" operator="containsText" text="COSH">
      <formula>NOT(ISERROR(SEARCH("COSH",AE69)))</formula>
    </cfRule>
  </conditionalFormatting>
  <conditionalFormatting sqref="AE69">
    <cfRule type="containsText" dxfId="1273" priority="1319" operator="containsText" text="FAT">
      <formula>NOT(ISERROR(SEARCH("FAT",AE69)))</formula>
    </cfRule>
    <cfRule type="containsText" dxfId="1272" priority="1320" operator="containsText" text="FIRE">
      <formula>NOT(ISERROR(SEARCH("FIRE",AE69)))</formula>
    </cfRule>
    <cfRule type="containsText" dxfId="1271" priority="1321" operator="containsText" text="COSH">
      <formula>NOT(ISERROR(SEARCH("COSH",AE69)))</formula>
    </cfRule>
  </conditionalFormatting>
  <conditionalFormatting sqref="AE69">
    <cfRule type="containsText" dxfId="1270" priority="1316" operator="containsText" text="FAT">
      <formula>NOT(ISERROR(SEARCH("FAT",AE69)))</formula>
    </cfRule>
    <cfRule type="containsText" dxfId="1269" priority="1317" operator="containsText" text="FIRE">
      <formula>NOT(ISERROR(SEARCH("FIRE",AE69)))</formula>
    </cfRule>
    <cfRule type="containsText" dxfId="1268" priority="1318" operator="containsText" text="COSH">
      <formula>NOT(ISERROR(SEARCH("COSH",AE69)))</formula>
    </cfRule>
  </conditionalFormatting>
  <conditionalFormatting sqref="AE69">
    <cfRule type="containsText" dxfId="1267" priority="1313" operator="containsText" text="FAT">
      <formula>NOT(ISERROR(SEARCH("FAT",AE69)))</formula>
    </cfRule>
    <cfRule type="containsText" dxfId="1266" priority="1314" operator="containsText" text="FIRE">
      <formula>NOT(ISERROR(SEARCH("FIRE",AE69)))</formula>
    </cfRule>
    <cfRule type="containsText" dxfId="1265" priority="1315" operator="containsText" text="COSH">
      <formula>NOT(ISERROR(SEARCH("COSH",AE69)))</formula>
    </cfRule>
  </conditionalFormatting>
  <conditionalFormatting sqref="AE69">
    <cfRule type="containsText" dxfId="1264" priority="1310" operator="containsText" text="FAT">
      <formula>NOT(ISERROR(SEARCH("FAT",AE69)))</formula>
    </cfRule>
    <cfRule type="containsText" dxfId="1263" priority="1311" operator="containsText" text="FIRE">
      <formula>NOT(ISERROR(SEARCH("FIRE",AE69)))</formula>
    </cfRule>
    <cfRule type="containsText" dxfId="1262" priority="1312" operator="containsText" text="COSH">
      <formula>NOT(ISERROR(SEARCH("COSH",AE69)))</formula>
    </cfRule>
  </conditionalFormatting>
  <conditionalFormatting sqref="AE69">
    <cfRule type="containsText" dxfId="1261" priority="1307" operator="containsText" text="FAT">
      <formula>NOT(ISERROR(SEARCH("FAT",AE69)))</formula>
    </cfRule>
    <cfRule type="containsText" dxfId="1260" priority="1308" operator="containsText" text="FIRE">
      <formula>NOT(ISERROR(SEARCH("FIRE",AE69)))</formula>
    </cfRule>
    <cfRule type="containsText" dxfId="1259" priority="1309" operator="containsText" text="COSH">
      <formula>NOT(ISERROR(SEARCH("COSH",AE69)))</formula>
    </cfRule>
  </conditionalFormatting>
  <conditionalFormatting sqref="AE69">
    <cfRule type="containsText" dxfId="1258" priority="1304" operator="containsText" text="FAT">
      <formula>NOT(ISERROR(SEARCH("FAT",AE69)))</formula>
    </cfRule>
    <cfRule type="containsText" dxfId="1257" priority="1305" operator="containsText" text="FIRE">
      <formula>NOT(ISERROR(SEARCH("FIRE",AE69)))</formula>
    </cfRule>
    <cfRule type="containsText" dxfId="1256" priority="1306" operator="containsText" text="COSH">
      <formula>NOT(ISERROR(SEARCH("COSH",AE69)))</formula>
    </cfRule>
  </conditionalFormatting>
  <conditionalFormatting sqref="AE80 AE82">
    <cfRule type="containsText" dxfId="1255" priority="1301" operator="containsText" text="FAT">
      <formula>NOT(ISERROR(SEARCH("FAT",AE80)))</formula>
    </cfRule>
    <cfRule type="containsText" dxfId="1254" priority="1302" operator="containsText" text="FIRE">
      <formula>NOT(ISERROR(SEARCH("FIRE",AE80)))</formula>
    </cfRule>
    <cfRule type="containsText" dxfId="1253" priority="1303" operator="containsText" text="COSH">
      <formula>NOT(ISERROR(SEARCH("COSH",AE80)))</formula>
    </cfRule>
  </conditionalFormatting>
  <conditionalFormatting sqref="AE80 AE82">
    <cfRule type="containsText" dxfId="1252" priority="1298" operator="containsText" text="FAT">
      <formula>NOT(ISERROR(SEARCH("FAT",AE80)))</formula>
    </cfRule>
    <cfRule type="containsText" dxfId="1251" priority="1299" operator="containsText" text="FIRE">
      <formula>NOT(ISERROR(SEARCH("FIRE",AE80)))</formula>
    </cfRule>
    <cfRule type="containsText" dxfId="1250" priority="1300" operator="containsText" text="COSH">
      <formula>NOT(ISERROR(SEARCH("COSH",AE80)))</formula>
    </cfRule>
  </conditionalFormatting>
  <conditionalFormatting sqref="AE80 AE82">
    <cfRule type="containsText" dxfId="1249" priority="1295" operator="containsText" text="FAT">
      <formula>NOT(ISERROR(SEARCH("FAT",AE80)))</formula>
    </cfRule>
    <cfRule type="containsText" dxfId="1248" priority="1296" operator="containsText" text="FIRE">
      <formula>NOT(ISERROR(SEARCH("FIRE",AE80)))</formula>
    </cfRule>
    <cfRule type="containsText" dxfId="1247" priority="1297" operator="containsText" text="COSH">
      <formula>NOT(ISERROR(SEARCH("COSH",AE80)))</formula>
    </cfRule>
  </conditionalFormatting>
  <conditionalFormatting sqref="AE80 AE82">
    <cfRule type="containsText" dxfId="1246" priority="1292" operator="containsText" text="FAT">
      <formula>NOT(ISERROR(SEARCH("FAT",AE80)))</formula>
    </cfRule>
    <cfRule type="containsText" dxfId="1245" priority="1293" operator="containsText" text="FIRE">
      <formula>NOT(ISERROR(SEARCH("FIRE",AE80)))</formula>
    </cfRule>
    <cfRule type="containsText" dxfId="1244" priority="1294" operator="containsText" text="COSH">
      <formula>NOT(ISERROR(SEARCH("COSH",AE80)))</formula>
    </cfRule>
  </conditionalFormatting>
  <conditionalFormatting sqref="AE80 AE82">
    <cfRule type="containsText" dxfId="1243" priority="1289" operator="containsText" text="FAT">
      <formula>NOT(ISERROR(SEARCH("FAT",AE80)))</formula>
    </cfRule>
    <cfRule type="containsText" dxfId="1242" priority="1290" operator="containsText" text="FIRE">
      <formula>NOT(ISERROR(SEARCH("FIRE",AE80)))</formula>
    </cfRule>
    <cfRule type="containsText" dxfId="1241" priority="1291" operator="containsText" text="COSH">
      <formula>NOT(ISERROR(SEARCH("COSH",AE80)))</formula>
    </cfRule>
  </conditionalFormatting>
  <conditionalFormatting sqref="AE80 AE82">
    <cfRule type="containsText" dxfId="1240" priority="1286" operator="containsText" text="FAT">
      <formula>NOT(ISERROR(SEARCH("FAT",AE80)))</formula>
    </cfRule>
    <cfRule type="containsText" dxfId="1239" priority="1287" operator="containsText" text="FIRE">
      <formula>NOT(ISERROR(SEARCH("FIRE",AE80)))</formula>
    </cfRule>
    <cfRule type="containsText" dxfId="1238" priority="1288" operator="containsText" text="COSH">
      <formula>NOT(ISERROR(SEARCH("COSH",AE80)))</formula>
    </cfRule>
  </conditionalFormatting>
  <conditionalFormatting sqref="AE80 AE82">
    <cfRule type="containsText" dxfId="1237" priority="1283" operator="containsText" text="FAT">
      <formula>NOT(ISERROR(SEARCH("FAT",AE80)))</formula>
    </cfRule>
    <cfRule type="containsText" dxfId="1236" priority="1284" operator="containsText" text="FIRE">
      <formula>NOT(ISERROR(SEARCH("FIRE",AE80)))</formula>
    </cfRule>
    <cfRule type="containsText" dxfId="1235" priority="1285" operator="containsText" text="COSH">
      <formula>NOT(ISERROR(SEARCH("COSH",AE80)))</formula>
    </cfRule>
  </conditionalFormatting>
  <conditionalFormatting sqref="AE80 AE82">
    <cfRule type="containsText" dxfId="1234" priority="1280" operator="containsText" text="FAT">
      <formula>NOT(ISERROR(SEARCH("FAT",AE80)))</formula>
    </cfRule>
    <cfRule type="containsText" dxfId="1233" priority="1281" operator="containsText" text="FIRE">
      <formula>NOT(ISERROR(SEARCH("FIRE",AE80)))</formula>
    </cfRule>
    <cfRule type="containsText" dxfId="1232" priority="1282" operator="containsText" text="COSH">
      <formula>NOT(ISERROR(SEARCH("COSH",AE80)))</formula>
    </cfRule>
  </conditionalFormatting>
  <conditionalFormatting sqref="AE80 AE82">
    <cfRule type="containsText" dxfId="1231" priority="1277" operator="containsText" text="FAT">
      <formula>NOT(ISERROR(SEARCH("FAT",AE80)))</formula>
    </cfRule>
    <cfRule type="containsText" dxfId="1230" priority="1278" operator="containsText" text="FIRE">
      <formula>NOT(ISERROR(SEARCH("FIRE",AE80)))</formula>
    </cfRule>
    <cfRule type="containsText" dxfId="1229" priority="1279" operator="containsText" text="COSH">
      <formula>NOT(ISERROR(SEARCH("COSH",AE80)))</formula>
    </cfRule>
  </conditionalFormatting>
  <conditionalFormatting sqref="AE80 AE82">
    <cfRule type="containsText" dxfId="1228" priority="1274" operator="containsText" text="FAT">
      <formula>NOT(ISERROR(SEARCH("FAT",AE80)))</formula>
    </cfRule>
    <cfRule type="containsText" dxfId="1227" priority="1275" operator="containsText" text="FIRE">
      <formula>NOT(ISERROR(SEARCH("FIRE",AE80)))</formula>
    </cfRule>
    <cfRule type="containsText" dxfId="1226" priority="1276" operator="containsText" text="COSH">
      <formula>NOT(ISERROR(SEARCH("COSH",AE80)))</formula>
    </cfRule>
  </conditionalFormatting>
  <conditionalFormatting sqref="AE86">
    <cfRule type="containsText" dxfId="1225" priority="1271" operator="containsText" text="FAT">
      <formula>NOT(ISERROR(SEARCH("FAT",AE86)))</formula>
    </cfRule>
    <cfRule type="containsText" dxfId="1224" priority="1272" operator="containsText" text="FIRE">
      <formula>NOT(ISERROR(SEARCH("FIRE",AE86)))</formula>
    </cfRule>
    <cfRule type="containsText" dxfId="1223" priority="1273" operator="containsText" text="COSH">
      <formula>NOT(ISERROR(SEARCH("COSH",AE86)))</formula>
    </cfRule>
  </conditionalFormatting>
  <conditionalFormatting sqref="AE86">
    <cfRule type="containsText" dxfId="1222" priority="1268" operator="containsText" text="FAT">
      <formula>NOT(ISERROR(SEARCH("FAT",AE86)))</formula>
    </cfRule>
    <cfRule type="containsText" dxfId="1221" priority="1269" operator="containsText" text="FIRE">
      <formula>NOT(ISERROR(SEARCH("FIRE",AE86)))</formula>
    </cfRule>
    <cfRule type="containsText" dxfId="1220" priority="1270" operator="containsText" text="COSH">
      <formula>NOT(ISERROR(SEARCH("COSH",AE86)))</formula>
    </cfRule>
  </conditionalFormatting>
  <conditionalFormatting sqref="AE86">
    <cfRule type="containsText" dxfId="1219" priority="1265" operator="containsText" text="FAT">
      <formula>NOT(ISERROR(SEARCH("FAT",AE86)))</formula>
    </cfRule>
    <cfRule type="containsText" dxfId="1218" priority="1266" operator="containsText" text="FIRE">
      <formula>NOT(ISERROR(SEARCH("FIRE",AE86)))</formula>
    </cfRule>
    <cfRule type="containsText" dxfId="1217" priority="1267" operator="containsText" text="COSH">
      <formula>NOT(ISERROR(SEARCH("COSH",AE86)))</formula>
    </cfRule>
  </conditionalFormatting>
  <conditionalFormatting sqref="AE86">
    <cfRule type="containsText" dxfId="1216" priority="1262" operator="containsText" text="FAT">
      <formula>NOT(ISERROR(SEARCH("FAT",AE86)))</formula>
    </cfRule>
    <cfRule type="containsText" dxfId="1215" priority="1263" operator="containsText" text="FIRE">
      <formula>NOT(ISERROR(SEARCH("FIRE",AE86)))</formula>
    </cfRule>
    <cfRule type="containsText" dxfId="1214" priority="1264" operator="containsText" text="COSH">
      <formula>NOT(ISERROR(SEARCH("COSH",AE86)))</formula>
    </cfRule>
  </conditionalFormatting>
  <conditionalFormatting sqref="AE86">
    <cfRule type="containsText" dxfId="1213" priority="1259" operator="containsText" text="FAT">
      <formula>NOT(ISERROR(SEARCH("FAT",AE86)))</formula>
    </cfRule>
    <cfRule type="containsText" dxfId="1212" priority="1260" operator="containsText" text="FIRE">
      <formula>NOT(ISERROR(SEARCH("FIRE",AE86)))</formula>
    </cfRule>
    <cfRule type="containsText" dxfId="1211" priority="1261" operator="containsText" text="COSH">
      <formula>NOT(ISERROR(SEARCH("COSH",AE86)))</formula>
    </cfRule>
  </conditionalFormatting>
  <conditionalFormatting sqref="AE86">
    <cfRule type="containsText" dxfId="1210" priority="1256" operator="containsText" text="FAT">
      <formula>NOT(ISERROR(SEARCH("FAT",AE86)))</formula>
    </cfRule>
    <cfRule type="containsText" dxfId="1209" priority="1257" operator="containsText" text="FIRE">
      <formula>NOT(ISERROR(SEARCH("FIRE",AE86)))</formula>
    </cfRule>
    <cfRule type="containsText" dxfId="1208" priority="1258" operator="containsText" text="COSH">
      <formula>NOT(ISERROR(SEARCH("COSH",AE86)))</formula>
    </cfRule>
  </conditionalFormatting>
  <conditionalFormatting sqref="AE86">
    <cfRule type="containsText" dxfId="1207" priority="1253" operator="containsText" text="FAT">
      <formula>NOT(ISERROR(SEARCH("FAT",AE86)))</formula>
    </cfRule>
    <cfRule type="containsText" dxfId="1206" priority="1254" operator="containsText" text="FIRE">
      <formula>NOT(ISERROR(SEARCH("FIRE",AE86)))</formula>
    </cfRule>
    <cfRule type="containsText" dxfId="1205" priority="1255" operator="containsText" text="COSH">
      <formula>NOT(ISERROR(SEARCH("COSH",AE86)))</formula>
    </cfRule>
  </conditionalFormatting>
  <conditionalFormatting sqref="AE86">
    <cfRule type="containsText" dxfId="1204" priority="1250" operator="containsText" text="FAT">
      <formula>NOT(ISERROR(SEARCH("FAT",AE86)))</formula>
    </cfRule>
    <cfRule type="containsText" dxfId="1203" priority="1251" operator="containsText" text="FIRE">
      <formula>NOT(ISERROR(SEARCH("FIRE",AE86)))</formula>
    </cfRule>
    <cfRule type="containsText" dxfId="1202" priority="1252" operator="containsText" text="COSH">
      <formula>NOT(ISERROR(SEARCH("COSH",AE86)))</formula>
    </cfRule>
  </conditionalFormatting>
  <conditionalFormatting sqref="AE86">
    <cfRule type="containsText" dxfId="1201" priority="1247" operator="containsText" text="FAT">
      <formula>NOT(ISERROR(SEARCH("FAT",AE86)))</formula>
    </cfRule>
    <cfRule type="containsText" dxfId="1200" priority="1248" operator="containsText" text="FIRE">
      <formula>NOT(ISERROR(SEARCH("FIRE",AE86)))</formula>
    </cfRule>
    <cfRule type="containsText" dxfId="1199" priority="1249" operator="containsText" text="COSH">
      <formula>NOT(ISERROR(SEARCH("COSH",AE86)))</formula>
    </cfRule>
  </conditionalFormatting>
  <conditionalFormatting sqref="AE86">
    <cfRule type="containsText" dxfId="1198" priority="1244" operator="containsText" text="FAT">
      <formula>NOT(ISERROR(SEARCH("FAT",AE86)))</formula>
    </cfRule>
    <cfRule type="containsText" dxfId="1197" priority="1245" operator="containsText" text="FIRE">
      <formula>NOT(ISERROR(SEARCH("FIRE",AE86)))</formula>
    </cfRule>
    <cfRule type="containsText" dxfId="1196" priority="1246" operator="containsText" text="COSH">
      <formula>NOT(ISERROR(SEARCH("COSH",AE86)))</formula>
    </cfRule>
  </conditionalFormatting>
  <conditionalFormatting sqref="AE86">
    <cfRule type="containsText" dxfId="1195" priority="1241" operator="containsText" text="FAT">
      <formula>NOT(ISERROR(SEARCH("FAT",AE86)))</formula>
    </cfRule>
    <cfRule type="containsText" dxfId="1194" priority="1242" operator="containsText" text="FIRE">
      <formula>NOT(ISERROR(SEARCH("FIRE",AE86)))</formula>
    </cfRule>
    <cfRule type="containsText" dxfId="1193" priority="1243" operator="containsText" text="COSH">
      <formula>NOT(ISERROR(SEARCH("COSH",AE86)))</formula>
    </cfRule>
  </conditionalFormatting>
  <conditionalFormatting sqref="AE67:AE69 AE71:AE87">
    <cfRule type="cellIs" dxfId="1192" priority="1334" operator="between">
      <formula>1</formula>
      <formula>3</formula>
    </cfRule>
  </conditionalFormatting>
  <conditionalFormatting sqref="AE87">
    <cfRule type="containsText" dxfId="1191" priority="1238" operator="containsText" text="FAT">
      <formula>NOT(ISERROR(SEARCH("FAT",AE87)))</formula>
    </cfRule>
    <cfRule type="containsText" dxfId="1190" priority="1239" operator="containsText" text="FIRE">
      <formula>NOT(ISERROR(SEARCH("FIRE",AE87)))</formula>
    </cfRule>
    <cfRule type="containsText" dxfId="1189" priority="1240" operator="containsText" text="COSH">
      <formula>NOT(ISERROR(SEARCH("COSH",AE87)))</formula>
    </cfRule>
  </conditionalFormatting>
  <conditionalFormatting sqref="AE73:AE75">
    <cfRule type="containsText" dxfId="1188" priority="1235" operator="containsText" text="FAT">
      <formula>NOT(ISERROR(SEARCH("FAT",AE73)))</formula>
    </cfRule>
    <cfRule type="containsText" dxfId="1187" priority="1236" operator="containsText" text="FIRE">
      <formula>NOT(ISERROR(SEARCH("FIRE",AE73)))</formula>
    </cfRule>
    <cfRule type="containsText" dxfId="1186" priority="1237" operator="containsText" text="COSH">
      <formula>NOT(ISERROR(SEARCH("COSH",AE73)))</formula>
    </cfRule>
  </conditionalFormatting>
  <conditionalFormatting sqref="AE78">
    <cfRule type="containsText" dxfId="1185" priority="1232" operator="containsText" text="FAT">
      <formula>NOT(ISERROR(SEARCH("FAT",AE78)))</formula>
    </cfRule>
    <cfRule type="containsText" dxfId="1184" priority="1233" operator="containsText" text="FIRE">
      <formula>NOT(ISERROR(SEARCH("FIRE",AE78)))</formula>
    </cfRule>
    <cfRule type="containsText" dxfId="1183" priority="1234" operator="containsText" text="COSH">
      <formula>NOT(ISERROR(SEARCH("COSH",AE78)))</formula>
    </cfRule>
  </conditionalFormatting>
  <conditionalFormatting sqref="AE84">
    <cfRule type="containsText" dxfId="1182" priority="1229" operator="containsText" text="FAT">
      <formula>NOT(ISERROR(SEARCH("FAT",AE84)))</formula>
    </cfRule>
    <cfRule type="containsText" dxfId="1181" priority="1230" operator="containsText" text="FIRE">
      <formula>NOT(ISERROR(SEARCH("FIRE",AE84)))</formula>
    </cfRule>
    <cfRule type="containsText" dxfId="1180" priority="1231" operator="containsText" text="COSH">
      <formula>NOT(ISERROR(SEARCH("COSH",AE84)))</formula>
    </cfRule>
  </conditionalFormatting>
  <conditionalFormatting sqref="AE84">
    <cfRule type="containsText" dxfId="1179" priority="1226" operator="containsText" text="FAT">
      <formula>NOT(ISERROR(SEARCH("FAT",AE84)))</formula>
    </cfRule>
    <cfRule type="containsText" dxfId="1178" priority="1227" operator="containsText" text="FIRE">
      <formula>NOT(ISERROR(SEARCH("FIRE",AE84)))</formula>
    </cfRule>
    <cfRule type="containsText" dxfId="1177" priority="1228" operator="containsText" text="COSH">
      <formula>NOT(ISERROR(SEARCH("COSH",AE84)))</formula>
    </cfRule>
  </conditionalFormatting>
  <conditionalFormatting sqref="AE77">
    <cfRule type="containsText" dxfId="1176" priority="1223" operator="containsText" text="FAT">
      <formula>NOT(ISERROR(SEARCH("FAT",AE77)))</formula>
    </cfRule>
    <cfRule type="containsText" dxfId="1175" priority="1224" operator="containsText" text="FIRE">
      <formula>NOT(ISERROR(SEARCH("FIRE",AE77)))</formula>
    </cfRule>
    <cfRule type="containsText" dxfId="1174" priority="1225" operator="containsText" text="COSH">
      <formula>NOT(ISERROR(SEARCH("COSH",AE77)))</formula>
    </cfRule>
  </conditionalFormatting>
  <conditionalFormatting sqref="AE76">
    <cfRule type="containsText" dxfId="1173" priority="1220" operator="containsText" text="FAT">
      <formula>NOT(ISERROR(SEARCH("FAT",AE76)))</formula>
    </cfRule>
    <cfRule type="containsText" dxfId="1172" priority="1221" operator="containsText" text="FIRE">
      <formula>NOT(ISERROR(SEARCH("FIRE",AE76)))</formula>
    </cfRule>
    <cfRule type="containsText" dxfId="1171" priority="1222" operator="containsText" text="COSH">
      <formula>NOT(ISERROR(SEARCH("COSH",AE76)))</formula>
    </cfRule>
  </conditionalFormatting>
  <conditionalFormatting sqref="AE72">
    <cfRule type="containsText" dxfId="1170" priority="1217" operator="containsText" text="FAT">
      <formula>NOT(ISERROR(SEARCH("FAT",AE72)))</formula>
    </cfRule>
    <cfRule type="containsText" dxfId="1169" priority="1218" operator="containsText" text="FIRE">
      <formula>NOT(ISERROR(SEARCH("FIRE",AE72)))</formula>
    </cfRule>
    <cfRule type="containsText" dxfId="1168" priority="1219" operator="containsText" text="COSH">
      <formula>NOT(ISERROR(SEARCH("COSH",AE72)))</formula>
    </cfRule>
  </conditionalFormatting>
  <conditionalFormatting sqref="AE81">
    <cfRule type="containsText" dxfId="1167" priority="1214" operator="containsText" text="FAT">
      <formula>NOT(ISERROR(SEARCH("FAT",AE81)))</formula>
    </cfRule>
    <cfRule type="containsText" dxfId="1166" priority="1215" operator="containsText" text="FIRE">
      <formula>NOT(ISERROR(SEARCH("FIRE",AE81)))</formula>
    </cfRule>
    <cfRule type="containsText" dxfId="1165" priority="1216" operator="containsText" text="COSH">
      <formula>NOT(ISERROR(SEARCH("COSH",AE81)))</formula>
    </cfRule>
  </conditionalFormatting>
  <conditionalFormatting sqref="AE80">
    <cfRule type="containsText" dxfId="1164" priority="1211" operator="containsText" text="FAT">
      <formula>NOT(ISERROR(SEARCH("FAT",AE80)))</formula>
    </cfRule>
    <cfRule type="containsText" dxfId="1163" priority="1212" operator="containsText" text="FIRE">
      <formula>NOT(ISERROR(SEARCH("FIRE",AE80)))</formula>
    </cfRule>
    <cfRule type="containsText" dxfId="1162" priority="1213" operator="containsText" text="COSH">
      <formula>NOT(ISERROR(SEARCH("COSH",AE80)))</formula>
    </cfRule>
  </conditionalFormatting>
  <conditionalFormatting sqref="AE80">
    <cfRule type="containsText" dxfId="1161" priority="1208" operator="containsText" text="FAT">
      <formula>NOT(ISERROR(SEARCH("FAT",AE80)))</formula>
    </cfRule>
    <cfRule type="containsText" dxfId="1160" priority="1209" operator="containsText" text="FIRE">
      <formula>NOT(ISERROR(SEARCH("FIRE",AE80)))</formula>
    </cfRule>
    <cfRule type="containsText" dxfId="1159" priority="1210" operator="containsText" text="COSH">
      <formula>NOT(ISERROR(SEARCH("COSH",AE80)))</formula>
    </cfRule>
  </conditionalFormatting>
  <conditionalFormatting sqref="AE80">
    <cfRule type="containsText" dxfId="1158" priority="1205" operator="containsText" text="FAT">
      <formula>NOT(ISERROR(SEARCH("FAT",AE80)))</formula>
    </cfRule>
    <cfRule type="containsText" dxfId="1157" priority="1206" operator="containsText" text="FIRE">
      <formula>NOT(ISERROR(SEARCH("FIRE",AE80)))</formula>
    </cfRule>
    <cfRule type="containsText" dxfId="1156" priority="1207" operator="containsText" text="COSH">
      <formula>NOT(ISERROR(SEARCH("COSH",AE80)))</formula>
    </cfRule>
  </conditionalFormatting>
  <conditionalFormatting sqref="AE80">
    <cfRule type="containsText" dxfId="1155" priority="1202" operator="containsText" text="FAT">
      <formula>NOT(ISERROR(SEARCH("FAT",AE80)))</formula>
    </cfRule>
    <cfRule type="containsText" dxfId="1154" priority="1203" operator="containsText" text="FIRE">
      <formula>NOT(ISERROR(SEARCH("FIRE",AE80)))</formula>
    </cfRule>
    <cfRule type="containsText" dxfId="1153" priority="1204" operator="containsText" text="COSH">
      <formula>NOT(ISERROR(SEARCH("COSH",AE80)))</formula>
    </cfRule>
  </conditionalFormatting>
  <conditionalFormatting sqref="AE80">
    <cfRule type="containsText" dxfId="1152" priority="1199" operator="containsText" text="FAT">
      <formula>NOT(ISERROR(SEARCH("FAT",AE80)))</formula>
    </cfRule>
    <cfRule type="containsText" dxfId="1151" priority="1200" operator="containsText" text="FIRE">
      <formula>NOT(ISERROR(SEARCH("FIRE",AE80)))</formula>
    </cfRule>
    <cfRule type="containsText" dxfId="1150" priority="1201" operator="containsText" text="COSH">
      <formula>NOT(ISERROR(SEARCH("COSH",AE80)))</formula>
    </cfRule>
  </conditionalFormatting>
  <conditionalFormatting sqref="AE80">
    <cfRule type="containsText" dxfId="1149" priority="1196" operator="containsText" text="FAT">
      <formula>NOT(ISERROR(SEARCH("FAT",AE80)))</formula>
    </cfRule>
    <cfRule type="containsText" dxfId="1148" priority="1197" operator="containsText" text="FIRE">
      <formula>NOT(ISERROR(SEARCH("FIRE",AE80)))</formula>
    </cfRule>
    <cfRule type="containsText" dxfId="1147" priority="1198" operator="containsText" text="COSH">
      <formula>NOT(ISERROR(SEARCH("COSH",AE80)))</formula>
    </cfRule>
  </conditionalFormatting>
  <conditionalFormatting sqref="AE80">
    <cfRule type="containsText" dxfId="1146" priority="1193" operator="containsText" text="FAT">
      <formula>NOT(ISERROR(SEARCH("FAT",AE80)))</formula>
    </cfRule>
    <cfRule type="containsText" dxfId="1145" priority="1194" operator="containsText" text="FIRE">
      <formula>NOT(ISERROR(SEARCH("FIRE",AE80)))</formula>
    </cfRule>
    <cfRule type="containsText" dxfId="1144" priority="1195" operator="containsText" text="COSH">
      <formula>NOT(ISERROR(SEARCH("COSH",AE80)))</formula>
    </cfRule>
  </conditionalFormatting>
  <conditionalFormatting sqref="AE80">
    <cfRule type="containsText" dxfId="1143" priority="1190" operator="containsText" text="FAT">
      <formula>NOT(ISERROR(SEARCH("FAT",AE80)))</formula>
    </cfRule>
    <cfRule type="containsText" dxfId="1142" priority="1191" operator="containsText" text="FIRE">
      <formula>NOT(ISERROR(SEARCH("FIRE",AE80)))</formula>
    </cfRule>
    <cfRule type="containsText" dxfId="1141" priority="1192" operator="containsText" text="COSH">
      <formula>NOT(ISERROR(SEARCH("COSH",AE80)))</formula>
    </cfRule>
  </conditionalFormatting>
  <conditionalFormatting sqref="AE80">
    <cfRule type="containsText" dxfId="1140" priority="1187" operator="containsText" text="FAT">
      <formula>NOT(ISERROR(SEARCH("FAT",AE80)))</formula>
    </cfRule>
    <cfRule type="containsText" dxfId="1139" priority="1188" operator="containsText" text="FIRE">
      <formula>NOT(ISERROR(SEARCH("FIRE",AE80)))</formula>
    </cfRule>
    <cfRule type="containsText" dxfId="1138" priority="1189" operator="containsText" text="COSH">
      <formula>NOT(ISERROR(SEARCH("COSH",AE80)))</formula>
    </cfRule>
  </conditionalFormatting>
  <conditionalFormatting sqref="AE80">
    <cfRule type="containsText" dxfId="1137" priority="1184" operator="containsText" text="FAT">
      <formula>NOT(ISERROR(SEARCH("FAT",AE80)))</formula>
    </cfRule>
    <cfRule type="containsText" dxfId="1136" priority="1185" operator="containsText" text="FIRE">
      <formula>NOT(ISERROR(SEARCH("FIRE",AE80)))</formula>
    </cfRule>
    <cfRule type="containsText" dxfId="1135" priority="1186" operator="containsText" text="COSH">
      <formula>NOT(ISERROR(SEARCH("COSH",AE80)))</formula>
    </cfRule>
  </conditionalFormatting>
  <conditionalFormatting sqref="AE80">
    <cfRule type="containsText" dxfId="1134" priority="1181" operator="containsText" text="FAT">
      <formula>NOT(ISERROR(SEARCH("FAT",AE80)))</formula>
    </cfRule>
    <cfRule type="containsText" dxfId="1133" priority="1182" operator="containsText" text="FIRE">
      <formula>NOT(ISERROR(SEARCH("FIRE",AE80)))</formula>
    </cfRule>
    <cfRule type="containsText" dxfId="1132" priority="1183" operator="containsText" text="COSH">
      <formula>NOT(ISERROR(SEARCH("COSH",AE80)))</formula>
    </cfRule>
  </conditionalFormatting>
  <conditionalFormatting sqref="AE79">
    <cfRule type="containsText" dxfId="1131" priority="1178" operator="containsText" text="FAT">
      <formula>NOT(ISERROR(SEARCH("FAT",AE79)))</formula>
    </cfRule>
    <cfRule type="containsText" dxfId="1130" priority="1179" operator="containsText" text="FIRE">
      <formula>NOT(ISERROR(SEARCH("FIRE",AE79)))</formula>
    </cfRule>
    <cfRule type="containsText" dxfId="1129" priority="1180" operator="containsText" text="COSH">
      <formula>NOT(ISERROR(SEARCH("COSH",AE79)))</formula>
    </cfRule>
  </conditionalFormatting>
  <conditionalFormatting sqref="AE82">
    <cfRule type="containsText" dxfId="1128" priority="1175" operator="containsText" text="FAT">
      <formula>NOT(ISERROR(SEARCH("FAT",AE82)))</formula>
    </cfRule>
    <cfRule type="containsText" dxfId="1127" priority="1176" operator="containsText" text="FIRE">
      <formula>NOT(ISERROR(SEARCH("FIRE",AE82)))</formula>
    </cfRule>
    <cfRule type="containsText" dxfId="1126" priority="1177" operator="containsText" text="COSH">
      <formula>NOT(ISERROR(SEARCH("COSH",AE82)))</formula>
    </cfRule>
  </conditionalFormatting>
  <conditionalFormatting sqref="AE82">
    <cfRule type="containsText" dxfId="1125" priority="1172" operator="containsText" text="FAT">
      <formula>NOT(ISERROR(SEARCH("FAT",AE82)))</formula>
    </cfRule>
    <cfRule type="containsText" dxfId="1124" priority="1173" operator="containsText" text="FIRE">
      <formula>NOT(ISERROR(SEARCH("FIRE",AE82)))</formula>
    </cfRule>
    <cfRule type="containsText" dxfId="1123" priority="1174" operator="containsText" text="COSH">
      <formula>NOT(ISERROR(SEARCH("COSH",AE82)))</formula>
    </cfRule>
  </conditionalFormatting>
  <conditionalFormatting sqref="AE82">
    <cfRule type="containsText" dxfId="1122" priority="1169" operator="containsText" text="FAT">
      <formula>NOT(ISERROR(SEARCH("FAT",AE82)))</formula>
    </cfRule>
    <cfRule type="containsText" dxfId="1121" priority="1170" operator="containsText" text="FIRE">
      <formula>NOT(ISERROR(SEARCH("FIRE",AE82)))</formula>
    </cfRule>
    <cfRule type="containsText" dxfId="1120" priority="1171" operator="containsText" text="COSH">
      <formula>NOT(ISERROR(SEARCH("COSH",AE82)))</formula>
    </cfRule>
  </conditionalFormatting>
  <conditionalFormatting sqref="AE82">
    <cfRule type="containsText" dxfId="1119" priority="1166" operator="containsText" text="FAT">
      <formula>NOT(ISERROR(SEARCH("FAT",AE82)))</formula>
    </cfRule>
    <cfRule type="containsText" dxfId="1118" priority="1167" operator="containsText" text="FIRE">
      <formula>NOT(ISERROR(SEARCH("FIRE",AE82)))</formula>
    </cfRule>
    <cfRule type="containsText" dxfId="1117" priority="1168" operator="containsText" text="COSH">
      <formula>NOT(ISERROR(SEARCH("COSH",AE82)))</formula>
    </cfRule>
  </conditionalFormatting>
  <conditionalFormatting sqref="AE82">
    <cfRule type="containsText" dxfId="1116" priority="1163" operator="containsText" text="FAT">
      <formula>NOT(ISERROR(SEARCH("FAT",AE82)))</formula>
    </cfRule>
    <cfRule type="containsText" dxfId="1115" priority="1164" operator="containsText" text="FIRE">
      <formula>NOT(ISERROR(SEARCH("FIRE",AE82)))</formula>
    </cfRule>
    <cfRule type="containsText" dxfId="1114" priority="1165" operator="containsText" text="COSH">
      <formula>NOT(ISERROR(SEARCH("COSH",AE82)))</formula>
    </cfRule>
  </conditionalFormatting>
  <conditionalFormatting sqref="AE82">
    <cfRule type="containsText" dxfId="1113" priority="1160" operator="containsText" text="FAT">
      <formula>NOT(ISERROR(SEARCH("FAT",AE82)))</formula>
    </cfRule>
    <cfRule type="containsText" dxfId="1112" priority="1161" operator="containsText" text="FIRE">
      <formula>NOT(ISERROR(SEARCH("FIRE",AE82)))</formula>
    </cfRule>
    <cfRule type="containsText" dxfId="1111" priority="1162" operator="containsText" text="COSH">
      <formula>NOT(ISERROR(SEARCH("COSH",AE82)))</formula>
    </cfRule>
  </conditionalFormatting>
  <conditionalFormatting sqref="AE82">
    <cfRule type="containsText" dxfId="1110" priority="1157" operator="containsText" text="FAT">
      <formula>NOT(ISERROR(SEARCH("FAT",AE82)))</formula>
    </cfRule>
    <cfRule type="containsText" dxfId="1109" priority="1158" operator="containsText" text="FIRE">
      <formula>NOT(ISERROR(SEARCH("FIRE",AE82)))</formula>
    </cfRule>
    <cfRule type="containsText" dxfId="1108" priority="1159" operator="containsText" text="COSH">
      <formula>NOT(ISERROR(SEARCH("COSH",AE82)))</formula>
    </cfRule>
  </conditionalFormatting>
  <conditionalFormatting sqref="AE82">
    <cfRule type="containsText" dxfId="1107" priority="1154" operator="containsText" text="FAT">
      <formula>NOT(ISERROR(SEARCH("FAT",AE82)))</formula>
    </cfRule>
    <cfRule type="containsText" dxfId="1106" priority="1155" operator="containsText" text="FIRE">
      <formula>NOT(ISERROR(SEARCH("FIRE",AE82)))</formula>
    </cfRule>
    <cfRule type="containsText" dxfId="1105" priority="1156" operator="containsText" text="COSH">
      <formula>NOT(ISERROR(SEARCH("COSH",AE82)))</formula>
    </cfRule>
  </conditionalFormatting>
  <conditionalFormatting sqref="AE82">
    <cfRule type="containsText" dxfId="1104" priority="1151" operator="containsText" text="FAT">
      <formula>NOT(ISERROR(SEARCH("FAT",AE82)))</formula>
    </cfRule>
    <cfRule type="containsText" dxfId="1103" priority="1152" operator="containsText" text="FIRE">
      <formula>NOT(ISERROR(SEARCH("FIRE",AE82)))</formula>
    </cfRule>
    <cfRule type="containsText" dxfId="1102" priority="1153" operator="containsText" text="COSH">
      <formula>NOT(ISERROR(SEARCH("COSH",AE82)))</formula>
    </cfRule>
  </conditionalFormatting>
  <conditionalFormatting sqref="AE82">
    <cfRule type="containsText" dxfId="1101" priority="1148" operator="containsText" text="FAT">
      <formula>NOT(ISERROR(SEARCH("FAT",AE82)))</formula>
    </cfRule>
    <cfRule type="containsText" dxfId="1100" priority="1149" operator="containsText" text="FIRE">
      <formula>NOT(ISERROR(SEARCH("FIRE",AE82)))</formula>
    </cfRule>
    <cfRule type="containsText" dxfId="1099" priority="1150" operator="containsText" text="COSH">
      <formula>NOT(ISERROR(SEARCH("COSH",AE82)))</formula>
    </cfRule>
  </conditionalFormatting>
  <conditionalFormatting sqref="AE82">
    <cfRule type="containsText" dxfId="1098" priority="1145" operator="containsText" text="FAT">
      <formula>NOT(ISERROR(SEARCH("FAT",AE82)))</formula>
    </cfRule>
    <cfRule type="containsText" dxfId="1097" priority="1146" operator="containsText" text="FIRE">
      <formula>NOT(ISERROR(SEARCH("FIRE",AE82)))</formula>
    </cfRule>
    <cfRule type="containsText" dxfId="1096" priority="1147" operator="containsText" text="COSH">
      <formula>NOT(ISERROR(SEARCH("COSH",AE82)))</formula>
    </cfRule>
  </conditionalFormatting>
  <conditionalFormatting sqref="AE86">
    <cfRule type="containsText" dxfId="1095" priority="1142" operator="containsText" text="FAT">
      <formula>NOT(ISERROR(SEARCH("FAT",AE86)))</formula>
    </cfRule>
    <cfRule type="containsText" dxfId="1094" priority="1143" operator="containsText" text="FIRE">
      <formula>NOT(ISERROR(SEARCH("FIRE",AE86)))</formula>
    </cfRule>
    <cfRule type="containsText" dxfId="1093" priority="1144" operator="containsText" text="COSH">
      <formula>NOT(ISERROR(SEARCH("COSH",AE86)))</formula>
    </cfRule>
  </conditionalFormatting>
  <conditionalFormatting sqref="AE86">
    <cfRule type="containsText" dxfId="1092" priority="1139" operator="containsText" text="FAT">
      <formula>NOT(ISERROR(SEARCH("FAT",AE86)))</formula>
    </cfRule>
    <cfRule type="containsText" dxfId="1091" priority="1140" operator="containsText" text="FIRE">
      <formula>NOT(ISERROR(SEARCH("FIRE",AE86)))</formula>
    </cfRule>
    <cfRule type="containsText" dxfId="1090" priority="1141" operator="containsText" text="COSH">
      <formula>NOT(ISERROR(SEARCH("COSH",AE86)))</formula>
    </cfRule>
  </conditionalFormatting>
  <conditionalFormatting sqref="AE86">
    <cfRule type="containsText" dxfId="1089" priority="1136" operator="containsText" text="FAT">
      <formula>NOT(ISERROR(SEARCH("FAT",AE86)))</formula>
    </cfRule>
    <cfRule type="containsText" dxfId="1088" priority="1137" operator="containsText" text="FIRE">
      <formula>NOT(ISERROR(SEARCH("FIRE",AE86)))</formula>
    </cfRule>
    <cfRule type="containsText" dxfId="1087" priority="1138" operator="containsText" text="COSH">
      <formula>NOT(ISERROR(SEARCH("COSH",AE86)))</formula>
    </cfRule>
  </conditionalFormatting>
  <conditionalFormatting sqref="AE86">
    <cfRule type="containsText" dxfId="1086" priority="1133" operator="containsText" text="FAT">
      <formula>NOT(ISERROR(SEARCH("FAT",AE86)))</formula>
    </cfRule>
    <cfRule type="containsText" dxfId="1085" priority="1134" operator="containsText" text="FIRE">
      <formula>NOT(ISERROR(SEARCH("FIRE",AE86)))</formula>
    </cfRule>
    <cfRule type="containsText" dxfId="1084" priority="1135" operator="containsText" text="COSH">
      <formula>NOT(ISERROR(SEARCH("COSH",AE86)))</formula>
    </cfRule>
  </conditionalFormatting>
  <conditionalFormatting sqref="AE86">
    <cfRule type="containsText" dxfId="1083" priority="1130" operator="containsText" text="FAT">
      <formula>NOT(ISERROR(SEARCH("FAT",AE86)))</formula>
    </cfRule>
    <cfRule type="containsText" dxfId="1082" priority="1131" operator="containsText" text="FIRE">
      <formula>NOT(ISERROR(SEARCH("FIRE",AE86)))</formula>
    </cfRule>
    <cfRule type="containsText" dxfId="1081" priority="1132" operator="containsText" text="COSH">
      <formula>NOT(ISERROR(SEARCH("COSH",AE86)))</formula>
    </cfRule>
  </conditionalFormatting>
  <conditionalFormatting sqref="AE86">
    <cfRule type="containsText" dxfId="1080" priority="1127" operator="containsText" text="FAT">
      <formula>NOT(ISERROR(SEARCH("FAT",AE86)))</formula>
    </cfRule>
    <cfRule type="containsText" dxfId="1079" priority="1128" operator="containsText" text="FIRE">
      <formula>NOT(ISERROR(SEARCH("FIRE",AE86)))</formula>
    </cfRule>
    <cfRule type="containsText" dxfId="1078" priority="1129" operator="containsText" text="COSH">
      <formula>NOT(ISERROR(SEARCH("COSH",AE86)))</formula>
    </cfRule>
  </conditionalFormatting>
  <conditionalFormatting sqref="AE86">
    <cfRule type="containsText" dxfId="1077" priority="1124" operator="containsText" text="FAT">
      <formula>NOT(ISERROR(SEARCH("FAT",AE86)))</formula>
    </cfRule>
    <cfRule type="containsText" dxfId="1076" priority="1125" operator="containsText" text="FIRE">
      <formula>NOT(ISERROR(SEARCH("FIRE",AE86)))</formula>
    </cfRule>
    <cfRule type="containsText" dxfId="1075" priority="1126" operator="containsText" text="COSH">
      <formula>NOT(ISERROR(SEARCH("COSH",AE86)))</formula>
    </cfRule>
  </conditionalFormatting>
  <conditionalFormatting sqref="AE86">
    <cfRule type="containsText" dxfId="1074" priority="1121" operator="containsText" text="FAT">
      <formula>NOT(ISERROR(SEARCH("FAT",AE86)))</formula>
    </cfRule>
    <cfRule type="containsText" dxfId="1073" priority="1122" operator="containsText" text="FIRE">
      <formula>NOT(ISERROR(SEARCH("FIRE",AE86)))</formula>
    </cfRule>
    <cfRule type="containsText" dxfId="1072" priority="1123" operator="containsText" text="COSH">
      <formula>NOT(ISERROR(SEARCH("COSH",AE86)))</formula>
    </cfRule>
  </conditionalFormatting>
  <conditionalFormatting sqref="AE86">
    <cfRule type="containsText" dxfId="1071" priority="1118" operator="containsText" text="FAT">
      <formula>NOT(ISERROR(SEARCH("FAT",AE86)))</formula>
    </cfRule>
    <cfRule type="containsText" dxfId="1070" priority="1119" operator="containsText" text="FIRE">
      <formula>NOT(ISERROR(SEARCH("FIRE",AE86)))</formula>
    </cfRule>
    <cfRule type="containsText" dxfId="1069" priority="1120" operator="containsText" text="COSH">
      <formula>NOT(ISERROR(SEARCH("COSH",AE86)))</formula>
    </cfRule>
  </conditionalFormatting>
  <conditionalFormatting sqref="AE86">
    <cfRule type="containsText" dxfId="1068" priority="1115" operator="containsText" text="FAT">
      <formula>NOT(ISERROR(SEARCH("FAT",AE86)))</formula>
    </cfRule>
    <cfRule type="containsText" dxfId="1067" priority="1116" operator="containsText" text="FIRE">
      <formula>NOT(ISERROR(SEARCH("FIRE",AE86)))</formula>
    </cfRule>
    <cfRule type="containsText" dxfId="1066" priority="1117" operator="containsText" text="COSH">
      <formula>NOT(ISERROR(SEARCH("COSH",AE86)))</formula>
    </cfRule>
  </conditionalFormatting>
  <conditionalFormatting sqref="AE86">
    <cfRule type="containsText" dxfId="1065" priority="1112" operator="containsText" text="FAT">
      <formula>NOT(ISERROR(SEARCH("FAT",AE86)))</formula>
    </cfRule>
    <cfRule type="containsText" dxfId="1064" priority="1113" operator="containsText" text="FIRE">
      <formula>NOT(ISERROR(SEARCH("FIRE",AE86)))</formula>
    </cfRule>
    <cfRule type="containsText" dxfId="1063" priority="1114" operator="containsText" text="COSH">
      <formula>NOT(ISERROR(SEARCH("COSH",AE86)))</formula>
    </cfRule>
  </conditionalFormatting>
  <conditionalFormatting sqref="AE83">
    <cfRule type="containsText" dxfId="1062" priority="1109" operator="containsText" text="FAT">
      <formula>NOT(ISERROR(SEARCH("FAT",AE83)))</formula>
    </cfRule>
    <cfRule type="containsText" dxfId="1061" priority="1110" operator="containsText" text="FIRE">
      <formula>NOT(ISERROR(SEARCH("FIRE",AE83)))</formula>
    </cfRule>
    <cfRule type="containsText" dxfId="1060" priority="1111" operator="containsText" text="COSH">
      <formula>NOT(ISERROR(SEARCH("COSH",AE83)))</formula>
    </cfRule>
  </conditionalFormatting>
  <conditionalFormatting sqref="AE85">
    <cfRule type="containsText" dxfId="1059" priority="1106" operator="containsText" text="FAT">
      <formula>NOT(ISERROR(SEARCH("FAT",AE85)))</formula>
    </cfRule>
    <cfRule type="containsText" dxfId="1058" priority="1107" operator="containsText" text="FIRE">
      <formula>NOT(ISERROR(SEARCH("FIRE",AE85)))</formula>
    </cfRule>
    <cfRule type="containsText" dxfId="1057" priority="1108" operator="containsText" text="COSH">
      <formula>NOT(ISERROR(SEARCH("COSH",AE85)))</formula>
    </cfRule>
  </conditionalFormatting>
  <conditionalFormatting sqref="AE68">
    <cfRule type="containsText" dxfId="1056" priority="1103" operator="containsText" text="FAT">
      <formula>NOT(ISERROR(SEARCH("FAT",AE68)))</formula>
    </cfRule>
    <cfRule type="containsText" dxfId="1055" priority="1104" operator="containsText" text="FIRE">
      <formula>NOT(ISERROR(SEARCH("FIRE",AE68)))</formula>
    </cfRule>
    <cfRule type="containsText" dxfId="1054" priority="1105" operator="containsText" text="COSH">
      <formula>NOT(ISERROR(SEARCH("COSH",AE68)))</formula>
    </cfRule>
  </conditionalFormatting>
  <conditionalFormatting sqref="AE73:AE75">
    <cfRule type="containsText" dxfId="1053" priority="1100" operator="containsText" text="FAT">
      <formula>NOT(ISERROR(SEARCH("FAT",AE73)))</formula>
    </cfRule>
    <cfRule type="containsText" dxfId="1052" priority="1101" operator="containsText" text="FIRE">
      <formula>NOT(ISERROR(SEARCH("FIRE",AE73)))</formula>
    </cfRule>
    <cfRule type="containsText" dxfId="1051" priority="1102" operator="containsText" text="COSH">
      <formula>NOT(ISERROR(SEARCH("COSH",AE73)))</formula>
    </cfRule>
  </conditionalFormatting>
  <conditionalFormatting sqref="AE73:AE75">
    <cfRule type="containsText" dxfId="1050" priority="1097" operator="containsText" text="FAT">
      <formula>NOT(ISERROR(SEARCH("FAT",AE73)))</formula>
    </cfRule>
    <cfRule type="containsText" dxfId="1049" priority="1098" operator="containsText" text="FIRE">
      <formula>NOT(ISERROR(SEARCH("FIRE",AE73)))</formula>
    </cfRule>
    <cfRule type="containsText" dxfId="1048" priority="1099" operator="containsText" text="COSH">
      <formula>NOT(ISERROR(SEARCH("COSH",AE73)))</formula>
    </cfRule>
  </conditionalFormatting>
  <conditionalFormatting sqref="AE85">
    <cfRule type="containsText" dxfId="1047" priority="1094" operator="containsText" text="FAT">
      <formula>NOT(ISERROR(SEARCH("FAT",AE85)))</formula>
    </cfRule>
    <cfRule type="containsText" dxfId="1046" priority="1095" operator="containsText" text="FIRE">
      <formula>NOT(ISERROR(SEARCH("FIRE",AE85)))</formula>
    </cfRule>
    <cfRule type="containsText" dxfId="1045" priority="1096" operator="containsText" text="COSH">
      <formula>NOT(ISERROR(SEARCH("COSH",AE85)))</formula>
    </cfRule>
  </conditionalFormatting>
  <conditionalFormatting sqref="AE85">
    <cfRule type="containsText" dxfId="1044" priority="1091" operator="containsText" text="FAT">
      <formula>NOT(ISERROR(SEARCH("FAT",AE85)))</formula>
    </cfRule>
    <cfRule type="containsText" dxfId="1043" priority="1092" operator="containsText" text="FIRE">
      <formula>NOT(ISERROR(SEARCH("FIRE",AE85)))</formula>
    </cfRule>
    <cfRule type="containsText" dxfId="1042" priority="1093" operator="containsText" text="COSH">
      <formula>NOT(ISERROR(SEARCH("COSH",AE85)))</formula>
    </cfRule>
  </conditionalFormatting>
  <conditionalFormatting sqref="AE70">
    <cfRule type="containsText" dxfId="1041" priority="1088" operator="containsText" text="FAT">
      <formula>NOT(ISERROR(SEARCH("FAT",AE70)))</formula>
    </cfRule>
    <cfRule type="containsText" dxfId="1040" priority="1089" operator="containsText" text="FIRE">
      <formula>NOT(ISERROR(SEARCH("FIRE",AE70)))</formula>
    </cfRule>
    <cfRule type="containsText" dxfId="1039" priority="1090" operator="containsText" text="COSH">
      <formula>NOT(ISERROR(SEARCH("COSH",AE70)))</formula>
    </cfRule>
  </conditionalFormatting>
  <conditionalFormatting sqref="AE70">
    <cfRule type="cellIs" dxfId="1038" priority="1087" operator="between">
      <formula>1</formula>
      <formula>3</formula>
    </cfRule>
  </conditionalFormatting>
  <conditionalFormatting sqref="AJ80 AJ82 AJ86">
    <cfRule type="containsText" dxfId="1037" priority="1084" operator="containsText" text="FAT">
      <formula>NOT(ISERROR(SEARCH("FAT",AJ80)))</formula>
    </cfRule>
    <cfRule type="containsText" dxfId="1036" priority="1085" operator="containsText" text="FIRE">
      <formula>NOT(ISERROR(SEARCH("FIRE",AJ80)))</formula>
    </cfRule>
    <cfRule type="containsText" dxfId="1035" priority="1086" operator="containsText" text="COSH">
      <formula>NOT(ISERROR(SEARCH("COSH",AJ80)))</formula>
    </cfRule>
  </conditionalFormatting>
  <conditionalFormatting sqref="AJ82">
    <cfRule type="containsText" dxfId="1034" priority="1081" operator="containsText" text="FAT">
      <formula>NOT(ISERROR(SEARCH("FAT",AJ82)))</formula>
    </cfRule>
    <cfRule type="containsText" dxfId="1033" priority="1082" operator="containsText" text="FIRE">
      <formula>NOT(ISERROR(SEARCH("FIRE",AJ82)))</formula>
    </cfRule>
    <cfRule type="containsText" dxfId="1032" priority="1083" operator="containsText" text="COSH">
      <formula>NOT(ISERROR(SEARCH("COSH",AJ82)))</formula>
    </cfRule>
  </conditionalFormatting>
  <conditionalFormatting sqref="AJ69">
    <cfRule type="containsText" dxfId="1031" priority="1078" operator="containsText" text="FAT">
      <formula>NOT(ISERROR(SEARCH("FAT",AJ69)))</formula>
    </cfRule>
    <cfRule type="containsText" dxfId="1030" priority="1079" operator="containsText" text="FIRE">
      <formula>NOT(ISERROR(SEARCH("FIRE",AJ69)))</formula>
    </cfRule>
    <cfRule type="containsText" dxfId="1029" priority="1080" operator="containsText" text="COSH">
      <formula>NOT(ISERROR(SEARCH("COSH",AJ69)))</formula>
    </cfRule>
  </conditionalFormatting>
  <conditionalFormatting sqref="AJ67 AJ69 AJ85 AJ87 AJ77:AJ79 AJ82:AJ83 AJ72:AJ75">
    <cfRule type="containsText" dxfId="1028" priority="1075" operator="containsText" text="FAT">
      <formula>NOT(ISERROR(SEARCH("FAT",AJ67)))</formula>
    </cfRule>
    <cfRule type="containsText" dxfId="1027" priority="1076" operator="containsText" text="FIRE">
      <formula>NOT(ISERROR(SEARCH("FIRE",AJ67)))</formula>
    </cfRule>
    <cfRule type="containsText" dxfId="1026" priority="1077" operator="containsText" text="COSH">
      <formula>NOT(ISERROR(SEARCH("COSH",AJ67)))</formula>
    </cfRule>
  </conditionalFormatting>
  <conditionalFormatting sqref="AJ68">
    <cfRule type="containsText" dxfId="1025" priority="1072" operator="containsText" text="FAT">
      <formula>NOT(ISERROR(SEARCH("FAT",AJ68)))</formula>
    </cfRule>
    <cfRule type="containsText" dxfId="1024" priority="1073" operator="containsText" text="FIRE">
      <formula>NOT(ISERROR(SEARCH("FIRE",AJ68)))</formula>
    </cfRule>
    <cfRule type="containsText" dxfId="1023" priority="1074" operator="containsText" text="COSH">
      <formula>NOT(ISERROR(SEARCH("COSH",AJ68)))</formula>
    </cfRule>
  </conditionalFormatting>
  <conditionalFormatting sqref="AJ81">
    <cfRule type="containsText" dxfId="1022" priority="1069" operator="containsText" text="FAT">
      <formula>NOT(ISERROR(SEARCH("FAT",AJ81)))</formula>
    </cfRule>
    <cfRule type="containsText" dxfId="1021" priority="1070" operator="containsText" text="FIRE">
      <formula>NOT(ISERROR(SEARCH("FIRE",AJ81)))</formula>
    </cfRule>
    <cfRule type="containsText" dxfId="1020" priority="1071" operator="containsText" text="COSH">
      <formula>NOT(ISERROR(SEARCH("COSH",AJ81)))</formula>
    </cfRule>
  </conditionalFormatting>
  <conditionalFormatting sqref="AJ76">
    <cfRule type="containsText" dxfId="1019" priority="1066" operator="containsText" text="FAT">
      <formula>NOT(ISERROR(SEARCH("FAT",AJ76)))</formula>
    </cfRule>
    <cfRule type="containsText" dxfId="1018" priority="1067" operator="containsText" text="FIRE">
      <formula>NOT(ISERROR(SEARCH("FIRE",AJ76)))</formula>
    </cfRule>
    <cfRule type="containsText" dxfId="1017" priority="1068" operator="containsText" text="COSH">
      <formula>NOT(ISERROR(SEARCH("COSH",AJ76)))</formula>
    </cfRule>
  </conditionalFormatting>
  <conditionalFormatting sqref="AJ84">
    <cfRule type="containsText" dxfId="1016" priority="1063" operator="containsText" text="FAT">
      <formula>NOT(ISERROR(SEARCH("FAT",AJ84)))</formula>
    </cfRule>
    <cfRule type="containsText" dxfId="1015" priority="1064" operator="containsText" text="FIRE">
      <formula>NOT(ISERROR(SEARCH("FIRE",AJ84)))</formula>
    </cfRule>
    <cfRule type="containsText" dxfId="1014" priority="1065" operator="containsText" text="COSH">
      <formula>NOT(ISERROR(SEARCH("COSH",AJ84)))</formula>
    </cfRule>
  </conditionalFormatting>
  <conditionalFormatting sqref="AJ86">
    <cfRule type="containsText" dxfId="1013" priority="1060" operator="containsText" text="FAT">
      <formula>NOT(ISERROR(SEARCH("FAT",AJ86)))</formula>
    </cfRule>
    <cfRule type="containsText" dxfId="1012" priority="1061" operator="containsText" text="FIRE">
      <formula>NOT(ISERROR(SEARCH("FIRE",AJ86)))</formula>
    </cfRule>
    <cfRule type="containsText" dxfId="1011" priority="1062" operator="containsText" text="COSH">
      <formula>NOT(ISERROR(SEARCH("COSH",AJ86)))</formula>
    </cfRule>
  </conditionalFormatting>
  <conditionalFormatting sqref="AJ71">
    <cfRule type="containsText" dxfId="1010" priority="1057" operator="containsText" text="FAT">
      <formula>NOT(ISERROR(SEARCH("FAT",AJ71)))</formula>
    </cfRule>
    <cfRule type="containsText" dxfId="1009" priority="1058" operator="containsText" text="FIRE">
      <formula>NOT(ISERROR(SEARCH("FIRE",AJ71)))</formula>
    </cfRule>
    <cfRule type="containsText" dxfId="1008" priority="1059" operator="containsText" text="COSH">
      <formula>NOT(ISERROR(SEARCH("COSH",AJ71)))</formula>
    </cfRule>
  </conditionalFormatting>
  <conditionalFormatting sqref="AJ80">
    <cfRule type="containsText" dxfId="1007" priority="1054" operator="containsText" text="FAT">
      <formula>NOT(ISERROR(SEARCH("FAT",AJ80)))</formula>
    </cfRule>
    <cfRule type="containsText" dxfId="1006" priority="1055" operator="containsText" text="FIRE">
      <formula>NOT(ISERROR(SEARCH("FIRE",AJ80)))</formula>
    </cfRule>
    <cfRule type="containsText" dxfId="1005" priority="1056" operator="containsText" text="COSH">
      <formula>NOT(ISERROR(SEARCH("COSH",AJ80)))</formula>
    </cfRule>
  </conditionalFormatting>
  <conditionalFormatting sqref="AJ80">
    <cfRule type="containsText" dxfId="1004" priority="1051" operator="containsText" text="FAT">
      <formula>NOT(ISERROR(SEARCH("FAT",AJ80)))</formula>
    </cfRule>
    <cfRule type="containsText" dxfId="1003" priority="1052" operator="containsText" text="FIRE">
      <formula>NOT(ISERROR(SEARCH("FIRE",AJ80)))</formula>
    </cfRule>
    <cfRule type="containsText" dxfId="1002" priority="1053" operator="containsText" text="COSH">
      <formula>NOT(ISERROR(SEARCH("COSH",AJ80)))</formula>
    </cfRule>
  </conditionalFormatting>
  <conditionalFormatting sqref="AJ69">
    <cfRule type="containsText" dxfId="1001" priority="1047" operator="containsText" text="FAT">
      <formula>NOT(ISERROR(SEARCH("FAT",AJ69)))</formula>
    </cfRule>
    <cfRule type="containsText" dxfId="1000" priority="1048" operator="containsText" text="FIRE">
      <formula>NOT(ISERROR(SEARCH("FIRE",AJ69)))</formula>
    </cfRule>
    <cfRule type="containsText" dxfId="999" priority="1049" operator="containsText" text="COSH">
      <formula>NOT(ISERROR(SEARCH("COSH",AJ69)))</formula>
    </cfRule>
  </conditionalFormatting>
  <conditionalFormatting sqref="AJ69">
    <cfRule type="containsText" dxfId="998" priority="1044" operator="containsText" text="FAT">
      <formula>NOT(ISERROR(SEARCH("FAT",AJ69)))</formula>
    </cfRule>
    <cfRule type="containsText" dxfId="997" priority="1045" operator="containsText" text="FIRE">
      <formula>NOT(ISERROR(SEARCH("FIRE",AJ69)))</formula>
    </cfRule>
    <cfRule type="containsText" dxfId="996" priority="1046" operator="containsText" text="COSH">
      <formula>NOT(ISERROR(SEARCH("COSH",AJ69)))</formula>
    </cfRule>
  </conditionalFormatting>
  <conditionalFormatting sqref="AJ69">
    <cfRule type="containsText" dxfId="995" priority="1041" operator="containsText" text="FAT">
      <formula>NOT(ISERROR(SEARCH("FAT",AJ69)))</formula>
    </cfRule>
    <cfRule type="containsText" dxfId="994" priority="1042" operator="containsText" text="FIRE">
      <formula>NOT(ISERROR(SEARCH("FIRE",AJ69)))</formula>
    </cfRule>
    <cfRule type="containsText" dxfId="993" priority="1043" operator="containsText" text="COSH">
      <formula>NOT(ISERROR(SEARCH("COSH",AJ69)))</formula>
    </cfRule>
  </conditionalFormatting>
  <conditionalFormatting sqref="AJ69">
    <cfRule type="containsText" dxfId="992" priority="1038" operator="containsText" text="FAT">
      <formula>NOT(ISERROR(SEARCH("FAT",AJ69)))</formula>
    </cfRule>
    <cfRule type="containsText" dxfId="991" priority="1039" operator="containsText" text="FIRE">
      <formula>NOT(ISERROR(SEARCH("FIRE",AJ69)))</formula>
    </cfRule>
    <cfRule type="containsText" dxfId="990" priority="1040" operator="containsText" text="COSH">
      <formula>NOT(ISERROR(SEARCH("COSH",AJ69)))</formula>
    </cfRule>
  </conditionalFormatting>
  <conditionalFormatting sqref="AJ69">
    <cfRule type="containsText" dxfId="989" priority="1035" operator="containsText" text="FAT">
      <formula>NOT(ISERROR(SEARCH("FAT",AJ69)))</formula>
    </cfRule>
    <cfRule type="containsText" dxfId="988" priority="1036" operator="containsText" text="FIRE">
      <formula>NOT(ISERROR(SEARCH("FIRE",AJ69)))</formula>
    </cfRule>
    <cfRule type="containsText" dxfId="987" priority="1037" operator="containsText" text="COSH">
      <formula>NOT(ISERROR(SEARCH("COSH",AJ69)))</formula>
    </cfRule>
  </conditionalFormatting>
  <conditionalFormatting sqref="AJ69">
    <cfRule type="containsText" dxfId="986" priority="1032" operator="containsText" text="FAT">
      <formula>NOT(ISERROR(SEARCH("FAT",AJ69)))</formula>
    </cfRule>
    <cfRule type="containsText" dxfId="985" priority="1033" operator="containsText" text="FIRE">
      <formula>NOT(ISERROR(SEARCH("FIRE",AJ69)))</formula>
    </cfRule>
    <cfRule type="containsText" dxfId="984" priority="1034" operator="containsText" text="COSH">
      <formula>NOT(ISERROR(SEARCH("COSH",AJ69)))</formula>
    </cfRule>
  </conditionalFormatting>
  <conditionalFormatting sqref="AJ69">
    <cfRule type="containsText" dxfId="983" priority="1029" operator="containsText" text="FAT">
      <formula>NOT(ISERROR(SEARCH("FAT",AJ69)))</formula>
    </cfRule>
    <cfRule type="containsText" dxfId="982" priority="1030" operator="containsText" text="FIRE">
      <formula>NOT(ISERROR(SEARCH("FIRE",AJ69)))</formula>
    </cfRule>
    <cfRule type="containsText" dxfId="981" priority="1031" operator="containsText" text="COSH">
      <formula>NOT(ISERROR(SEARCH("COSH",AJ69)))</formula>
    </cfRule>
  </conditionalFormatting>
  <conditionalFormatting sqref="AJ69">
    <cfRule type="containsText" dxfId="980" priority="1026" operator="containsText" text="FAT">
      <formula>NOT(ISERROR(SEARCH("FAT",AJ69)))</formula>
    </cfRule>
    <cfRule type="containsText" dxfId="979" priority="1027" operator="containsText" text="FIRE">
      <formula>NOT(ISERROR(SEARCH("FIRE",AJ69)))</formula>
    </cfRule>
    <cfRule type="containsText" dxfId="978" priority="1028" operator="containsText" text="COSH">
      <formula>NOT(ISERROR(SEARCH("COSH",AJ69)))</formula>
    </cfRule>
  </conditionalFormatting>
  <conditionalFormatting sqref="AJ69">
    <cfRule type="containsText" dxfId="977" priority="1023" operator="containsText" text="FAT">
      <formula>NOT(ISERROR(SEARCH("FAT",AJ69)))</formula>
    </cfRule>
    <cfRule type="containsText" dxfId="976" priority="1024" operator="containsText" text="FIRE">
      <formula>NOT(ISERROR(SEARCH("FIRE",AJ69)))</formula>
    </cfRule>
    <cfRule type="containsText" dxfId="975" priority="1025" operator="containsText" text="COSH">
      <formula>NOT(ISERROR(SEARCH("COSH",AJ69)))</formula>
    </cfRule>
  </conditionalFormatting>
  <conditionalFormatting sqref="AJ69">
    <cfRule type="containsText" dxfId="974" priority="1020" operator="containsText" text="FAT">
      <formula>NOT(ISERROR(SEARCH("FAT",AJ69)))</formula>
    </cfRule>
    <cfRule type="containsText" dxfId="973" priority="1021" operator="containsText" text="FIRE">
      <formula>NOT(ISERROR(SEARCH("FIRE",AJ69)))</formula>
    </cfRule>
    <cfRule type="containsText" dxfId="972" priority="1022" operator="containsText" text="COSH">
      <formula>NOT(ISERROR(SEARCH("COSH",AJ69)))</formula>
    </cfRule>
  </conditionalFormatting>
  <conditionalFormatting sqref="AJ80 AJ82">
    <cfRule type="containsText" dxfId="971" priority="1017" operator="containsText" text="FAT">
      <formula>NOT(ISERROR(SEARCH("FAT",AJ80)))</formula>
    </cfRule>
    <cfRule type="containsText" dxfId="970" priority="1018" operator="containsText" text="FIRE">
      <formula>NOT(ISERROR(SEARCH("FIRE",AJ80)))</formula>
    </cfRule>
    <cfRule type="containsText" dxfId="969" priority="1019" operator="containsText" text="COSH">
      <formula>NOT(ISERROR(SEARCH("COSH",AJ80)))</formula>
    </cfRule>
  </conditionalFormatting>
  <conditionalFormatting sqref="AJ80 AJ82">
    <cfRule type="containsText" dxfId="968" priority="1014" operator="containsText" text="FAT">
      <formula>NOT(ISERROR(SEARCH("FAT",AJ80)))</formula>
    </cfRule>
    <cfRule type="containsText" dxfId="967" priority="1015" operator="containsText" text="FIRE">
      <formula>NOT(ISERROR(SEARCH("FIRE",AJ80)))</formula>
    </cfRule>
    <cfRule type="containsText" dxfId="966" priority="1016" operator="containsText" text="COSH">
      <formula>NOT(ISERROR(SEARCH("COSH",AJ80)))</formula>
    </cfRule>
  </conditionalFormatting>
  <conditionalFormatting sqref="AJ80 AJ82">
    <cfRule type="containsText" dxfId="965" priority="1011" operator="containsText" text="FAT">
      <formula>NOT(ISERROR(SEARCH("FAT",AJ80)))</formula>
    </cfRule>
    <cfRule type="containsText" dxfId="964" priority="1012" operator="containsText" text="FIRE">
      <formula>NOT(ISERROR(SEARCH("FIRE",AJ80)))</formula>
    </cfRule>
    <cfRule type="containsText" dxfId="963" priority="1013" operator="containsText" text="COSH">
      <formula>NOT(ISERROR(SEARCH("COSH",AJ80)))</formula>
    </cfRule>
  </conditionalFormatting>
  <conditionalFormatting sqref="AJ80 AJ82">
    <cfRule type="containsText" dxfId="962" priority="1008" operator="containsText" text="FAT">
      <formula>NOT(ISERROR(SEARCH("FAT",AJ80)))</formula>
    </cfRule>
    <cfRule type="containsText" dxfId="961" priority="1009" operator="containsText" text="FIRE">
      <formula>NOT(ISERROR(SEARCH("FIRE",AJ80)))</formula>
    </cfRule>
    <cfRule type="containsText" dxfId="960" priority="1010" operator="containsText" text="COSH">
      <formula>NOT(ISERROR(SEARCH("COSH",AJ80)))</formula>
    </cfRule>
  </conditionalFormatting>
  <conditionalFormatting sqref="AJ80 AJ82">
    <cfRule type="containsText" dxfId="959" priority="1005" operator="containsText" text="FAT">
      <formula>NOT(ISERROR(SEARCH("FAT",AJ80)))</formula>
    </cfRule>
    <cfRule type="containsText" dxfId="958" priority="1006" operator="containsText" text="FIRE">
      <formula>NOT(ISERROR(SEARCH("FIRE",AJ80)))</formula>
    </cfRule>
    <cfRule type="containsText" dxfId="957" priority="1007" operator="containsText" text="COSH">
      <formula>NOT(ISERROR(SEARCH("COSH",AJ80)))</formula>
    </cfRule>
  </conditionalFormatting>
  <conditionalFormatting sqref="AJ80 AJ82">
    <cfRule type="containsText" dxfId="956" priority="1002" operator="containsText" text="FAT">
      <formula>NOT(ISERROR(SEARCH("FAT",AJ80)))</formula>
    </cfRule>
    <cfRule type="containsText" dxfId="955" priority="1003" operator="containsText" text="FIRE">
      <formula>NOT(ISERROR(SEARCH("FIRE",AJ80)))</formula>
    </cfRule>
    <cfRule type="containsText" dxfId="954" priority="1004" operator="containsText" text="COSH">
      <formula>NOT(ISERROR(SEARCH("COSH",AJ80)))</formula>
    </cfRule>
  </conditionalFormatting>
  <conditionalFormatting sqref="AJ80 AJ82">
    <cfRule type="containsText" dxfId="953" priority="999" operator="containsText" text="FAT">
      <formula>NOT(ISERROR(SEARCH("FAT",AJ80)))</formula>
    </cfRule>
    <cfRule type="containsText" dxfId="952" priority="1000" operator="containsText" text="FIRE">
      <formula>NOT(ISERROR(SEARCH("FIRE",AJ80)))</formula>
    </cfRule>
    <cfRule type="containsText" dxfId="951" priority="1001" operator="containsText" text="COSH">
      <formula>NOT(ISERROR(SEARCH("COSH",AJ80)))</formula>
    </cfRule>
  </conditionalFormatting>
  <conditionalFormatting sqref="AJ80 AJ82">
    <cfRule type="containsText" dxfId="950" priority="996" operator="containsText" text="FAT">
      <formula>NOT(ISERROR(SEARCH("FAT",AJ80)))</formula>
    </cfRule>
    <cfRule type="containsText" dxfId="949" priority="997" operator="containsText" text="FIRE">
      <formula>NOT(ISERROR(SEARCH("FIRE",AJ80)))</formula>
    </cfRule>
    <cfRule type="containsText" dxfId="948" priority="998" operator="containsText" text="COSH">
      <formula>NOT(ISERROR(SEARCH("COSH",AJ80)))</formula>
    </cfRule>
  </conditionalFormatting>
  <conditionalFormatting sqref="AJ80 AJ82">
    <cfRule type="containsText" dxfId="947" priority="993" operator="containsText" text="FAT">
      <formula>NOT(ISERROR(SEARCH("FAT",AJ80)))</formula>
    </cfRule>
    <cfRule type="containsText" dxfId="946" priority="994" operator="containsText" text="FIRE">
      <formula>NOT(ISERROR(SEARCH("FIRE",AJ80)))</formula>
    </cfRule>
    <cfRule type="containsText" dxfId="945" priority="995" operator="containsText" text="COSH">
      <formula>NOT(ISERROR(SEARCH("COSH",AJ80)))</formula>
    </cfRule>
  </conditionalFormatting>
  <conditionalFormatting sqref="AJ80 AJ82">
    <cfRule type="containsText" dxfId="944" priority="990" operator="containsText" text="FAT">
      <formula>NOT(ISERROR(SEARCH("FAT",AJ80)))</formula>
    </cfRule>
    <cfRule type="containsText" dxfId="943" priority="991" operator="containsText" text="FIRE">
      <formula>NOT(ISERROR(SEARCH("FIRE",AJ80)))</formula>
    </cfRule>
    <cfRule type="containsText" dxfId="942" priority="992" operator="containsText" text="COSH">
      <formula>NOT(ISERROR(SEARCH("COSH",AJ80)))</formula>
    </cfRule>
  </conditionalFormatting>
  <conditionalFormatting sqref="AJ86">
    <cfRule type="containsText" dxfId="941" priority="987" operator="containsText" text="FAT">
      <formula>NOT(ISERROR(SEARCH("FAT",AJ86)))</formula>
    </cfRule>
    <cfRule type="containsText" dxfId="940" priority="988" operator="containsText" text="FIRE">
      <formula>NOT(ISERROR(SEARCH("FIRE",AJ86)))</formula>
    </cfRule>
    <cfRule type="containsText" dxfId="939" priority="989" operator="containsText" text="COSH">
      <formula>NOT(ISERROR(SEARCH("COSH",AJ86)))</formula>
    </cfRule>
  </conditionalFormatting>
  <conditionalFormatting sqref="AJ86">
    <cfRule type="containsText" dxfId="938" priority="984" operator="containsText" text="FAT">
      <formula>NOT(ISERROR(SEARCH("FAT",AJ86)))</formula>
    </cfRule>
    <cfRule type="containsText" dxfId="937" priority="985" operator="containsText" text="FIRE">
      <formula>NOT(ISERROR(SEARCH("FIRE",AJ86)))</formula>
    </cfRule>
    <cfRule type="containsText" dxfId="936" priority="986" operator="containsText" text="COSH">
      <formula>NOT(ISERROR(SEARCH("COSH",AJ86)))</formula>
    </cfRule>
  </conditionalFormatting>
  <conditionalFormatting sqref="AJ86">
    <cfRule type="containsText" dxfId="935" priority="981" operator="containsText" text="FAT">
      <formula>NOT(ISERROR(SEARCH("FAT",AJ86)))</formula>
    </cfRule>
    <cfRule type="containsText" dxfId="934" priority="982" operator="containsText" text="FIRE">
      <formula>NOT(ISERROR(SEARCH("FIRE",AJ86)))</formula>
    </cfRule>
    <cfRule type="containsText" dxfId="933" priority="983" operator="containsText" text="COSH">
      <formula>NOT(ISERROR(SEARCH("COSH",AJ86)))</formula>
    </cfRule>
  </conditionalFormatting>
  <conditionalFormatting sqref="AJ86">
    <cfRule type="containsText" dxfId="932" priority="978" operator="containsText" text="FAT">
      <formula>NOT(ISERROR(SEARCH("FAT",AJ86)))</formula>
    </cfRule>
    <cfRule type="containsText" dxfId="931" priority="979" operator="containsText" text="FIRE">
      <formula>NOT(ISERROR(SEARCH("FIRE",AJ86)))</formula>
    </cfRule>
    <cfRule type="containsText" dxfId="930" priority="980" operator="containsText" text="COSH">
      <formula>NOT(ISERROR(SEARCH("COSH",AJ86)))</formula>
    </cfRule>
  </conditionalFormatting>
  <conditionalFormatting sqref="AJ86">
    <cfRule type="containsText" dxfId="929" priority="975" operator="containsText" text="FAT">
      <formula>NOT(ISERROR(SEARCH("FAT",AJ86)))</formula>
    </cfRule>
    <cfRule type="containsText" dxfId="928" priority="976" operator="containsText" text="FIRE">
      <formula>NOT(ISERROR(SEARCH("FIRE",AJ86)))</formula>
    </cfRule>
    <cfRule type="containsText" dxfId="927" priority="977" operator="containsText" text="COSH">
      <formula>NOT(ISERROR(SEARCH("COSH",AJ86)))</formula>
    </cfRule>
  </conditionalFormatting>
  <conditionalFormatting sqref="AJ86">
    <cfRule type="containsText" dxfId="926" priority="972" operator="containsText" text="FAT">
      <formula>NOT(ISERROR(SEARCH("FAT",AJ86)))</formula>
    </cfRule>
    <cfRule type="containsText" dxfId="925" priority="973" operator="containsText" text="FIRE">
      <formula>NOT(ISERROR(SEARCH("FIRE",AJ86)))</formula>
    </cfRule>
    <cfRule type="containsText" dxfId="924" priority="974" operator="containsText" text="COSH">
      <formula>NOT(ISERROR(SEARCH("COSH",AJ86)))</formula>
    </cfRule>
  </conditionalFormatting>
  <conditionalFormatting sqref="AJ86">
    <cfRule type="containsText" dxfId="923" priority="969" operator="containsText" text="FAT">
      <formula>NOT(ISERROR(SEARCH("FAT",AJ86)))</formula>
    </cfRule>
    <cfRule type="containsText" dxfId="922" priority="970" operator="containsText" text="FIRE">
      <formula>NOT(ISERROR(SEARCH("FIRE",AJ86)))</formula>
    </cfRule>
    <cfRule type="containsText" dxfId="921" priority="971" operator="containsText" text="COSH">
      <formula>NOT(ISERROR(SEARCH("COSH",AJ86)))</formula>
    </cfRule>
  </conditionalFormatting>
  <conditionalFormatting sqref="AJ86">
    <cfRule type="containsText" dxfId="920" priority="966" operator="containsText" text="FAT">
      <formula>NOT(ISERROR(SEARCH("FAT",AJ86)))</formula>
    </cfRule>
    <cfRule type="containsText" dxfId="919" priority="967" operator="containsText" text="FIRE">
      <formula>NOT(ISERROR(SEARCH("FIRE",AJ86)))</formula>
    </cfRule>
    <cfRule type="containsText" dxfId="918" priority="968" operator="containsText" text="COSH">
      <formula>NOT(ISERROR(SEARCH("COSH",AJ86)))</formula>
    </cfRule>
  </conditionalFormatting>
  <conditionalFormatting sqref="AJ86">
    <cfRule type="containsText" dxfId="917" priority="963" operator="containsText" text="FAT">
      <formula>NOT(ISERROR(SEARCH("FAT",AJ86)))</formula>
    </cfRule>
    <cfRule type="containsText" dxfId="916" priority="964" operator="containsText" text="FIRE">
      <formula>NOT(ISERROR(SEARCH("FIRE",AJ86)))</formula>
    </cfRule>
    <cfRule type="containsText" dxfId="915" priority="965" operator="containsText" text="COSH">
      <formula>NOT(ISERROR(SEARCH("COSH",AJ86)))</formula>
    </cfRule>
  </conditionalFormatting>
  <conditionalFormatting sqref="AJ86">
    <cfRule type="containsText" dxfId="914" priority="960" operator="containsText" text="FAT">
      <formula>NOT(ISERROR(SEARCH("FAT",AJ86)))</formula>
    </cfRule>
    <cfRule type="containsText" dxfId="913" priority="961" operator="containsText" text="FIRE">
      <formula>NOT(ISERROR(SEARCH("FIRE",AJ86)))</formula>
    </cfRule>
    <cfRule type="containsText" dxfId="912" priority="962" operator="containsText" text="COSH">
      <formula>NOT(ISERROR(SEARCH("COSH",AJ86)))</formula>
    </cfRule>
  </conditionalFormatting>
  <conditionalFormatting sqref="AJ86">
    <cfRule type="containsText" dxfId="911" priority="957" operator="containsText" text="FAT">
      <formula>NOT(ISERROR(SEARCH("FAT",AJ86)))</formula>
    </cfRule>
    <cfRule type="containsText" dxfId="910" priority="958" operator="containsText" text="FIRE">
      <formula>NOT(ISERROR(SEARCH("FIRE",AJ86)))</formula>
    </cfRule>
    <cfRule type="containsText" dxfId="909" priority="959" operator="containsText" text="COSH">
      <formula>NOT(ISERROR(SEARCH("COSH",AJ86)))</formula>
    </cfRule>
  </conditionalFormatting>
  <conditionalFormatting sqref="AJ67:AJ69 AJ71:AJ87">
    <cfRule type="cellIs" dxfId="908" priority="1050" operator="between">
      <formula>1</formula>
      <formula>3</formula>
    </cfRule>
  </conditionalFormatting>
  <conditionalFormatting sqref="AJ87">
    <cfRule type="containsText" dxfId="907" priority="954" operator="containsText" text="FAT">
      <formula>NOT(ISERROR(SEARCH("FAT",AJ87)))</formula>
    </cfRule>
    <cfRule type="containsText" dxfId="906" priority="955" operator="containsText" text="FIRE">
      <formula>NOT(ISERROR(SEARCH("FIRE",AJ87)))</formula>
    </cfRule>
    <cfRule type="containsText" dxfId="905" priority="956" operator="containsText" text="COSH">
      <formula>NOT(ISERROR(SEARCH("COSH",AJ87)))</formula>
    </cfRule>
  </conditionalFormatting>
  <conditionalFormatting sqref="AJ73:AJ75">
    <cfRule type="containsText" dxfId="904" priority="951" operator="containsText" text="FAT">
      <formula>NOT(ISERROR(SEARCH("FAT",AJ73)))</formula>
    </cfRule>
    <cfRule type="containsText" dxfId="903" priority="952" operator="containsText" text="FIRE">
      <formula>NOT(ISERROR(SEARCH("FIRE",AJ73)))</formula>
    </cfRule>
    <cfRule type="containsText" dxfId="902" priority="953" operator="containsText" text="COSH">
      <formula>NOT(ISERROR(SEARCH("COSH",AJ73)))</formula>
    </cfRule>
  </conditionalFormatting>
  <conditionalFormatting sqref="AJ78">
    <cfRule type="containsText" dxfId="901" priority="948" operator="containsText" text="FAT">
      <formula>NOT(ISERROR(SEARCH("FAT",AJ78)))</formula>
    </cfRule>
    <cfRule type="containsText" dxfId="900" priority="949" operator="containsText" text="FIRE">
      <formula>NOT(ISERROR(SEARCH("FIRE",AJ78)))</formula>
    </cfRule>
    <cfRule type="containsText" dxfId="899" priority="950" operator="containsText" text="COSH">
      <formula>NOT(ISERROR(SEARCH("COSH",AJ78)))</formula>
    </cfRule>
  </conditionalFormatting>
  <conditionalFormatting sqref="AJ84">
    <cfRule type="containsText" dxfId="898" priority="945" operator="containsText" text="FAT">
      <formula>NOT(ISERROR(SEARCH("FAT",AJ84)))</formula>
    </cfRule>
    <cfRule type="containsText" dxfId="897" priority="946" operator="containsText" text="FIRE">
      <formula>NOT(ISERROR(SEARCH("FIRE",AJ84)))</formula>
    </cfRule>
    <cfRule type="containsText" dxfId="896" priority="947" operator="containsText" text="COSH">
      <formula>NOT(ISERROR(SEARCH("COSH",AJ84)))</formula>
    </cfRule>
  </conditionalFormatting>
  <conditionalFormatting sqref="AJ84">
    <cfRule type="containsText" dxfId="895" priority="942" operator="containsText" text="FAT">
      <formula>NOT(ISERROR(SEARCH("FAT",AJ84)))</formula>
    </cfRule>
    <cfRule type="containsText" dxfId="894" priority="943" operator="containsText" text="FIRE">
      <formula>NOT(ISERROR(SEARCH("FIRE",AJ84)))</formula>
    </cfRule>
    <cfRule type="containsText" dxfId="893" priority="944" operator="containsText" text="COSH">
      <formula>NOT(ISERROR(SEARCH("COSH",AJ84)))</formula>
    </cfRule>
  </conditionalFormatting>
  <conditionalFormatting sqref="AJ77">
    <cfRule type="containsText" dxfId="892" priority="939" operator="containsText" text="FAT">
      <formula>NOT(ISERROR(SEARCH("FAT",AJ77)))</formula>
    </cfRule>
    <cfRule type="containsText" dxfId="891" priority="940" operator="containsText" text="FIRE">
      <formula>NOT(ISERROR(SEARCH("FIRE",AJ77)))</formula>
    </cfRule>
    <cfRule type="containsText" dxfId="890" priority="941" operator="containsText" text="COSH">
      <formula>NOT(ISERROR(SEARCH("COSH",AJ77)))</formula>
    </cfRule>
  </conditionalFormatting>
  <conditionalFormatting sqref="AJ76">
    <cfRule type="containsText" dxfId="889" priority="936" operator="containsText" text="FAT">
      <formula>NOT(ISERROR(SEARCH("FAT",AJ76)))</formula>
    </cfRule>
    <cfRule type="containsText" dxfId="888" priority="937" operator="containsText" text="FIRE">
      <formula>NOT(ISERROR(SEARCH("FIRE",AJ76)))</formula>
    </cfRule>
    <cfRule type="containsText" dxfId="887" priority="938" operator="containsText" text="COSH">
      <formula>NOT(ISERROR(SEARCH("COSH",AJ76)))</formula>
    </cfRule>
  </conditionalFormatting>
  <conditionalFormatting sqref="AJ72">
    <cfRule type="containsText" dxfId="886" priority="933" operator="containsText" text="FAT">
      <formula>NOT(ISERROR(SEARCH("FAT",AJ72)))</formula>
    </cfRule>
    <cfRule type="containsText" dxfId="885" priority="934" operator="containsText" text="FIRE">
      <formula>NOT(ISERROR(SEARCH("FIRE",AJ72)))</formula>
    </cfRule>
    <cfRule type="containsText" dxfId="884" priority="935" operator="containsText" text="COSH">
      <formula>NOT(ISERROR(SEARCH("COSH",AJ72)))</formula>
    </cfRule>
  </conditionalFormatting>
  <conditionalFormatting sqref="AJ81">
    <cfRule type="containsText" dxfId="883" priority="930" operator="containsText" text="FAT">
      <formula>NOT(ISERROR(SEARCH("FAT",AJ81)))</formula>
    </cfRule>
    <cfRule type="containsText" dxfId="882" priority="931" operator="containsText" text="FIRE">
      <formula>NOT(ISERROR(SEARCH("FIRE",AJ81)))</formula>
    </cfRule>
    <cfRule type="containsText" dxfId="881" priority="932" operator="containsText" text="COSH">
      <formula>NOT(ISERROR(SEARCH("COSH",AJ81)))</formula>
    </cfRule>
  </conditionalFormatting>
  <conditionalFormatting sqref="AJ80">
    <cfRule type="containsText" dxfId="880" priority="927" operator="containsText" text="FAT">
      <formula>NOT(ISERROR(SEARCH("FAT",AJ80)))</formula>
    </cfRule>
    <cfRule type="containsText" dxfId="879" priority="928" operator="containsText" text="FIRE">
      <formula>NOT(ISERROR(SEARCH("FIRE",AJ80)))</formula>
    </cfRule>
    <cfRule type="containsText" dxfId="878" priority="929" operator="containsText" text="COSH">
      <formula>NOT(ISERROR(SEARCH("COSH",AJ80)))</formula>
    </cfRule>
  </conditionalFormatting>
  <conditionalFormatting sqref="AJ80">
    <cfRule type="containsText" dxfId="877" priority="924" operator="containsText" text="FAT">
      <formula>NOT(ISERROR(SEARCH("FAT",AJ80)))</formula>
    </cfRule>
    <cfRule type="containsText" dxfId="876" priority="925" operator="containsText" text="FIRE">
      <formula>NOT(ISERROR(SEARCH("FIRE",AJ80)))</formula>
    </cfRule>
    <cfRule type="containsText" dxfId="875" priority="926" operator="containsText" text="COSH">
      <formula>NOT(ISERROR(SEARCH("COSH",AJ80)))</formula>
    </cfRule>
  </conditionalFormatting>
  <conditionalFormatting sqref="AJ80">
    <cfRule type="containsText" dxfId="874" priority="921" operator="containsText" text="FAT">
      <formula>NOT(ISERROR(SEARCH("FAT",AJ80)))</formula>
    </cfRule>
    <cfRule type="containsText" dxfId="873" priority="922" operator="containsText" text="FIRE">
      <formula>NOT(ISERROR(SEARCH("FIRE",AJ80)))</formula>
    </cfRule>
    <cfRule type="containsText" dxfId="872" priority="923" operator="containsText" text="COSH">
      <formula>NOT(ISERROR(SEARCH("COSH",AJ80)))</formula>
    </cfRule>
  </conditionalFormatting>
  <conditionalFormatting sqref="AJ80">
    <cfRule type="containsText" dxfId="871" priority="918" operator="containsText" text="FAT">
      <formula>NOT(ISERROR(SEARCH("FAT",AJ80)))</formula>
    </cfRule>
    <cfRule type="containsText" dxfId="870" priority="919" operator="containsText" text="FIRE">
      <formula>NOT(ISERROR(SEARCH("FIRE",AJ80)))</formula>
    </cfRule>
    <cfRule type="containsText" dxfId="869" priority="920" operator="containsText" text="COSH">
      <formula>NOT(ISERROR(SEARCH("COSH",AJ80)))</formula>
    </cfRule>
  </conditionalFormatting>
  <conditionalFormatting sqref="AJ80">
    <cfRule type="containsText" dxfId="868" priority="915" operator="containsText" text="FAT">
      <formula>NOT(ISERROR(SEARCH("FAT",AJ80)))</formula>
    </cfRule>
    <cfRule type="containsText" dxfId="867" priority="916" operator="containsText" text="FIRE">
      <formula>NOT(ISERROR(SEARCH("FIRE",AJ80)))</formula>
    </cfRule>
    <cfRule type="containsText" dxfId="866" priority="917" operator="containsText" text="COSH">
      <formula>NOT(ISERROR(SEARCH("COSH",AJ80)))</formula>
    </cfRule>
  </conditionalFormatting>
  <conditionalFormatting sqref="AJ80">
    <cfRule type="containsText" dxfId="865" priority="912" operator="containsText" text="FAT">
      <formula>NOT(ISERROR(SEARCH("FAT",AJ80)))</formula>
    </cfRule>
    <cfRule type="containsText" dxfId="864" priority="913" operator="containsText" text="FIRE">
      <formula>NOT(ISERROR(SEARCH("FIRE",AJ80)))</formula>
    </cfRule>
    <cfRule type="containsText" dxfId="863" priority="914" operator="containsText" text="COSH">
      <formula>NOT(ISERROR(SEARCH("COSH",AJ80)))</formula>
    </cfRule>
  </conditionalFormatting>
  <conditionalFormatting sqref="AJ80">
    <cfRule type="containsText" dxfId="862" priority="909" operator="containsText" text="FAT">
      <formula>NOT(ISERROR(SEARCH("FAT",AJ80)))</formula>
    </cfRule>
    <cfRule type="containsText" dxfId="861" priority="910" operator="containsText" text="FIRE">
      <formula>NOT(ISERROR(SEARCH("FIRE",AJ80)))</formula>
    </cfRule>
    <cfRule type="containsText" dxfId="860" priority="911" operator="containsText" text="COSH">
      <formula>NOT(ISERROR(SEARCH("COSH",AJ80)))</formula>
    </cfRule>
  </conditionalFormatting>
  <conditionalFormatting sqref="AJ80">
    <cfRule type="containsText" dxfId="859" priority="906" operator="containsText" text="FAT">
      <formula>NOT(ISERROR(SEARCH("FAT",AJ80)))</formula>
    </cfRule>
    <cfRule type="containsText" dxfId="858" priority="907" operator="containsText" text="FIRE">
      <formula>NOT(ISERROR(SEARCH("FIRE",AJ80)))</formula>
    </cfRule>
    <cfRule type="containsText" dxfId="857" priority="908" operator="containsText" text="COSH">
      <formula>NOT(ISERROR(SEARCH("COSH",AJ80)))</formula>
    </cfRule>
  </conditionalFormatting>
  <conditionalFormatting sqref="AJ80">
    <cfRule type="containsText" dxfId="856" priority="903" operator="containsText" text="FAT">
      <formula>NOT(ISERROR(SEARCH("FAT",AJ80)))</formula>
    </cfRule>
    <cfRule type="containsText" dxfId="855" priority="904" operator="containsText" text="FIRE">
      <formula>NOT(ISERROR(SEARCH("FIRE",AJ80)))</formula>
    </cfRule>
    <cfRule type="containsText" dxfId="854" priority="905" operator="containsText" text="COSH">
      <formula>NOT(ISERROR(SEARCH("COSH",AJ80)))</formula>
    </cfRule>
  </conditionalFormatting>
  <conditionalFormatting sqref="AJ80">
    <cfRule type="containsText" dxfId="853" priority="900" operator="containsText" text="FAT">
      <formula>NOT(ISERROR(SEARCH("FAT",AJ80)))</formula>
    </cfRule>
    <cfRule type="containsText" dxfId="852" priority="901" operator="containsText" text="FIRE">
      <formula>NOT(ISERROR(SEARCH("FIRE",AJ80)))</formula>
    </cfRule>
    <cfRule type="containsText" dxfId="851" priority="902" operator="containsText" text="COSH">
      <formula>NOT(ISERROR(SEARCH("COSH",AJ80)))</formula>
    </cfRule>
  </conditionalFormatting>
  <conditionalFormatting sqref="AJ80">
    <cfRule type="containsText" dxfId="850" priority="897" operator="containsText" text="FAT">
      <formula>NOT(ISERROR(SEARCH("FAT",AJ80)))</formula>
    </cfRule>
    <cfRule type="containsText" dxfId="849" priority="898" operator="containsText" text="FIRE">
      <formula>NOT(ISERROR(SEARCH("FIRE",AJ80)))</formula>
    </cfRule>
    <cfRule type="containsText" dxfId="848" priority="899" operator="containsText" text="COSH">
      <formula>NOT(ISERROR(SEARCH("COSH",AJ80)))</formula>
    </cfRule>
  </conditionalFormatting>
  <conditionalFormatting sqref="AJ79">
    <cfRule type="containsText" dxfId="847" priority="894" operator="containsText" text="FAT">
      <formula>NOT(ISERROR(SEARCH("FAT",AJ79)))</formula>
    </cfRule>
    <cfRule type="containsText" dxfId="846" priority="895" operator="containsText" text="FIRE">
      <formula>NOT(ISERROR(SEARCH("FIRE",AJ79)))</formula>
    </cfRule>
    <cfRule type="containsText" dxfId="845" priority="896" operator="containsText" text="COSH">
      <formula>NOT(ISERROR(SEARCH("COSH",AJ79)))</formula>
    </cfRule>
  </conditionalFormatting>
  <conditionalFormatting sqref="AJ82">
    <cfRule type="containsText" dxfId="844" priority="891" operator="containsText" text="FAT">
      <formula>NOT(ISERROR(SEARCH("FAT",AJ82)))</formula>
    </cfRule>
    <cfRule type="containsText" dxfId="843" priority="892" operator="containsText" text="FIRE">
      <formula>NOT(ISERROR(SEARCH("FIRE",AJ82)))</formula>
    </cfRule>
    <cfRule type="containsText" dxfId="842" priority="893" operator="containsText" text="COSH">
      <formula>NOT(ISERROR(SEARCH("COSH",AJ82)))</formula>
    </cfRule>
  </conditionalFormatting>
  <conditionalFormatting sqref="AJ82">
    <cfRule type="containsText" dxfId="841" priority="888" operator="containsText" text="FAT">
      <formula>NOT(ISERROR(SEARCH("FAT",AJ82)))</formula>
    </cfRule>
    <cfRule type="containsText" dxfId="840" priority="889" operator="containsText" text="FIRE">
      <formula>NOT(ISERROR(SEARCH("FIRE",AJ82)))</formula>
    </cfRule>
    <cfRule type="containsText" dxfId="839" priority="890" operator="containsText" text="COSH">
      <formula>NOT(ISERROR(SEARCH("COSH",AJ82)))</formula>
    </cfRule>
  </conditionalFormatting>
  <conditionalFormatting sqref="AJ82">
    <cfRule type="containsText" dxfId="838" priority="885" operator="containsText" text="FAT">
      <formula>NOT(ISERROR(SEARCH("FAT",AJ82)))</formula>
    </cfRule>
    <cfRule type="containsText" dxfId="837" priority="886" operator="containsText" text="FIRE">
      <formula>NOT(ISERROR(SEARCH("FIRE",AJ82)))</formula>
    </cfRule>
    <cfRule type="containsText" dxfId="836" priority="887" operator="containsText" text="COSH">
      <formula>NOT(ISERROR(SEARCH("COSH",AJ82)))</formula>
    </cfRule>
  </conditionalFormatting>
  <conditionalFormatting sqref="AJ82">
    <cfRule type="containsText" dxfId="835" priority="882" operator="containsText" text="FAT">
      <formula>NOT(ISERROR(SEARCH("FAT",AJ82)))</formula>
    </cfRule>
    <cfRule type="containsText" dxfId="834" priority="883" operator="containsText" text="FIRE">
      <formula>NOT(ISERROR(SEARCH("FIRE",AJ82)))</formula>
    </cfRule>
    <cfRule type="containsText" dxfId="833" priority="884" operator="containsText" text="COSH">
      <formula>NOT(ISERROR(SEARCH("COSH",AJ82)))</formula>
    </cfRule>
  </conditionalFormatting>
  <conditionalFormatting sqref="AJ82">
    <cfRule type="containsText" dxfId="832" priority="879" operator="containsText" text="FAT">
      <formula>NOT(ISERROR(SEARCH("FAT",AJ82)))</formula>
    </cfRule>
    <cfRule type="containsText" dxfId="831" priority="880" operator="containsText" text="FIRE">
      <formula>NOT(ISERROR(SEARCH("FIRE",AJ82)))</formula>
    </cfRule>
    <cfRule type="containsText" dxfId="830" priority="881" operator="containsText" text="COSH">
      <formula>NOT(ISERROR(SEARCH("COSH",AJ82)))</formula>
    </cfRule>
  </conditionalFormatting>
  <conditionalFormatting sqref="AJ82">
    <cfRule type="containsText" dxfId="829" priority="876" operator="containsText" text="FAT">
      <formula>NOT(ISERROR(SEARCH("FAT",AJ82)))</formula>
    </cfRule>
    <cfRule type="containsText" dxfId="828" priority="877" operator="containsText" text="FIRE">
      <formula>NOT(ISERROR(SEARCH("FIRE",AJ82)))</formula>
    </cfRule>
    <cfRule type="containsText" dxfId="827" priority="878" operator="containsText" text="COSH">
      <formula>NOT(ISERROR(SEARCH("COSH",AJ82)))</formula>
    </cfRule>
  </conditionalFormatting>
  <conditionalFormatting sqref="AJ82">
    <cfRule type="containsText" dxfId="826" priority="873" operator="containsText" text="FAT">
      <formula>NOT(ISERROR(SEARCH("FAT",AJ82)))</formula>
    </cfRule>
    <cfRule type="containsText" dxfId="825" priority="874" operator="containsText" text="FIRE">
      <formula>NOT(ISERROR(SEARCH("FIRE",AJ82)))</formula>
    </cfRule>
    <cfRule type="containsText" dxfId="824" priority="875" operator="containsText" text="COSH">
      <formula>NOT(ISERROR(SEARCH("COSH",AJ82)))</formula>
    </cfRule>
  </conditionalFormatting>
  <conditionalFormatting sqref="AJ82">
    <cfRule type="containsText" dxfId="823" priority="870" operator="containsText" text="FAT">
      <formula>NOT(ISERROR(SEARCH("FAT",AJ82)))</formula>
    </cfRule>
    <cfRule type="containsText" dxfId="822" priority="871" operator="containsText" text="FIRE">
      <formula>NOT(ISERROR(SEARCH("FIRE",AJ82)))</formula>
    </cfRule>
    <cfRule type="containsText" dxfId="821" priority="872" operator="containsText" text="COSH">
      <formula>NOT(ISERROR(SEARCH("COSH",AJ82)))</formula>
    </cfRule>
  </conditionalFormatting>
  <conditionalFormatting sqref="AJ82">
    <cfRule type="containsText" dxfId="820" priority="867" operator="containsText" text="FAT">
      <formula>NOT(ISERROR(SEARCH("FAT",AJ82)))</formula>
    </cfRule>
    <cfRule type="containsText" dxfId="819" priority="868" operator="containsText" text="FIRE">
      <formula>NOT(ISERROR(SEARCH("FIRE",AJ82)))</formula>
    </cfRule>
    <cfRule type="containsText" dxfId="818" priority="869" operator="containsText" text="COSH">
      <formula>NOT(ISERROR(SEARCH("COSH",AJ82)))</formula>
    </cfRule>
  </conditionalFormatting>
  <conditionalFormatting sqref="AJ82">
    <cfRule type="containsText" dxfId="817" priority="864" operator="containsText" text="FAT">
      <formula>NOT(ISERROR(SEARCH("FAT",AJ82)))</formula>
    </cfRule>
    <cfRule type="containsText" dxfId="816" priority="865" operator="containsText" text="FIRE">
      <formula>NOT(ISERROR(SEARCH("FIRE",AJ82)))</formula>
    </cfRule>
    <cfRule type="containsText" dxfId="815" priority="866" operator="containsText" text="COSH">
      <formula>NOT(ISERROR(SEARCH("COSH",AJ82)))</formula>
    </cfRule>
  </conditionalFormatting>
  <conditionalFormatting sqref="AJ82">
    <cfRule type="containsText" dxfId="814" priority="861" operator="containsText" text="FAT">
      <formula>NOT(ISERROR(SEARCH("FAT",AJ82)))</formula>
    </cfRule>
    <cfRule type="containsText" dxfId="813" priority="862" operator="containsText" text="FIRE">
      <formula>NOT(ISERROR(SEARCH("FIRE",AJ82)))</formula>
    </cfRule>
    <cfRule type="containsText" dxfId="812" priority="863" operator="containsText" text="COSH">
      <formula>NOT(ISERROR(SEARCH("COSH",AJ82)))</formula>
    </cfRule>
  </conditionalFormatting>
  <conditionalFormatting sqref="AJ86">
    <cfRule type="containsText" dxfId="811" priority="858" operator="containsText" text="FAT">
      <formula>NOT(ISERROR(SEARCH("FAT",AJ86)))</formula>
    </cfRule>
    <cfRule type="containsText" dxfId="810" priority="859" operator="containsText" text="FIRE">
      <formula>NOT(ISERROR(SEARCH("FIRE",AJ86)))</formula>
    </cfRule>
    <cfRule type="containsText" dxfId="809" priority="860" operator="containsText" text="COSH">
      <formula>NOT(ISERROR(SEARCH("COSH",AJ86)))</formula>
    </cfRule>
  </conditionalFormatting>
  <conditionalFormatting sqref="AJ86">
    <cfRule type="containsText" dxfId="808" priority="855" operator="containsText" text="FAT">
      <formula>NOT(ISERROR(SEARCH("FAT",AJ86)))</formula>
    </cfRule>
    <cfRule type="containsText" dxfId="807" priority="856" operator="containsText" text="FIRE">
      <formula>NOT(ISERROR(SEARCH("FIRE",AJ86)))</formula>
    </cfRule>
    <cfRule type="containsText" dxfId="806" priority="857" operator="containsText" text="COSH">
      <formula>NOT(ISERROR(SEARCH("COSH",AJ86)))</formula>
    </cfRule>
  </conditionalFormatting>
  <conditionalFormatting sqref="AJ86">
    <cfRule type="containsText" dxfId="805" priority="852" operator="containsText" text="FAT">
      <formula>NOT(ISERROR(SEARCH("FAT",AJ86)))</formula>
    </cfRule>
    <cfRule type="containsText" dxfId="804" priority="853" operator="containsText" text="FIRE">
      <formula>NOT(ISERROR(SEARCH("FIRE",AJ86)))</formula>
    </cfRule>
    <cfRule type="containsText" dxfId="803" priority="854" operator="containsText" text="COSH">
      <formula>NOT(ISERROR(SEARCH("COSH",AJ86)))</formula>
    </cfRule>
  </conditionalFormatting>
  <conditionalFormatting sqref="AJ86">
    <cfRule type="containsText" dxfId="802" priority="849" operator="containsText" text="FAT">
      <formula>NOT(ISERROR(SEARCH("FAT",AJ86)))</formula>
    </cfRule>
    <cfRule type="containsText" dxfId="801" priority="850" operator="containsText" text="FIRE">
      <formula>NOT(ISERROR(SEARCH("FIRE",AJ86)))</formula>
    </cfRule>
    <cfRule type="containsText" dxfId="800" priority="851" operator="containsText" text="COSH">
      <formula>NOT(ISERROR(SEARCH("COSH",AJ86)))</formula>
    </cfRule>
  </conditionalFormatting>
  <conditionalFormatting sqref="AJ86">
    <cfRule type="containsText" dxfId="799" priority="846" operator="containsText" text="FAT">
      <formula>NOT(ISERROR(SEARCH("FAT",AJ86)))</formula>
    </cfRule>
    <cfRule type="containsText" dxfId="798" priority="847" operator="containsText" text="FIRE">
      <formula>NOT(ISERROR(SEARCH("FIRE",AJ86)))</formula>
    </cfRule>
    <cfRule type="containsText" dxfId="797" priority="848" operator="containsText" text="COSH">
      <formula>NOT(ISERROR(SEARCH("COSH",AJ86)))</formula>
    </cfRule>
  </conditionalFormatting>
  <conditionalFormatting sqref="AJ86">
    <cfRule type="containsText" dxfId="796" priority="843" operator="containsText" text="FAT">
      <formula>NOT(ISERROR(SEARCH("FAT",AJ86)))</formula>
    </cfRule>
    <cfRule type="containsText" dxfId="795" priority="844" operator="containsText" text="FIRE">
      <formula>NOT(ISERROR(SEARCH("FIRE",AJ86)))</formula>
    </cfRule>
    <cfRule type="containsText" dxfId="794" priority="845" operator="containsText" text="COSH">
      <formula>NOT(ISERROR(SEARCH("COSH",AJ86)))</formula>
    </cfRule>
  </conditionalFormatting>
  <conditionalFormatting sqref="AJ86">
    <cfRule type="containsText" dxfId="793" priority="840" operator="containsText" text="FAT">
      <formula>NOT(ISERROR(SEARCH("FAT",AJ86)))</formula>
    </cfRule>
    <cfRule type="containsText" dxfId="792" priority="841" operator="containsText" text="FIRE">
      <formula>NOT(ISERROR(SEARCH("FIRE",AJ86)))</formula>
    </cfRule>
    <cfRule type="containsText" dxfId="791" priority="842" operator="containsText" text="COSH">
      <formula>NOT(ISERROR(SEARCH("COSH",AJ86)))</formula>
    </cfRule>
  </conditionalFormatting>
  <conditionalFormatting sqref="AJ86">
    <cfRule type="containsText" dxfId="790" priority="837" operator="containsText" text="FAT">
      <formula>NOT(ISERROR(SEARCH("FAT",AJ86)))</formula>
    </cfRule>
    <cfRule type="containsText" dxfId="789" priority="838" operator="containsText" text="FIRE">
      <formula>NOT(ISERROR(SEARCH("FIRE",AJ86)))</formula>
    </cfRule>
    <cfRule type="containsText" dxfId="788" priority="839" operator="containsText" text="COSH">
      <formula>NOT(ISERROR(SEARCH("COSH",AJ86)))</formula>
    </cfRule>
  </conditionalFormatting>
  <conditionalFormatting sqref="AJ86">
    <cfRule type="containsText" dxfId="787" priority="834" operator="containsText" text="FAT">
      <formula>NOT(ISERROR(SEARCH("FAT",AJ86)))</formula>
    </cfRule>
    <cfRule type="containsText" dxfId="786" priority="835" operator="containsText" text="FIRE">
      <formula>NOT(ISERROR(SEARCH("FIRE",AJ86)))</formula>
    </cfRule>
    <cfRule type="containsText" dxfId="785" priority="836" operator="containsText" text="COSH">
      <formula>NOT(ISERROR(SEARCH("COSH",AJ86)))</formula>
    </cfRule>
  </conditionalFormatting>
  <conditionalFormatting sqref="AJ86">
    <cfRule type="containsText" dxfId="784" priority="831" operator="containsText" text="FAT">
      <formula>NOT(ISERROR(SEARCH("FAT",AJ86)))</formula>
    </cfRule>
    <cfRule type="containsText" dxfId="783" priority="832" operator="containsText" text="FIRE">
      <formula>NOT(ISERROR(SEARCH("FIRE",AJ86)))</formula>
    </cfRule>
    <cfRule type="containsText" dxfId="782" priority="833" operator="containsText" text="COSH">
      <formula>NOT(ISERROR(SEARCH("COSH",AJ86)))</formula>
    </cfRule>
  </conditionalFormatting>
  <conditionalFormatting sqref="AJ86">
    <cfRule type="containsText" dxfId="781" priority="828" operator="containsText" text="FAT">
      <formula>NOT(ISERROR(SEARCH("FAT",AJ86)))</formula>
    </cfRule>
    <cfRule type="containsText" dxfId="780" priority="829" operator="containsText" text="FIRE">
      <formula>NOT(ISERROR(SEARCH("FIRE",AJ86)))</formula>
    </cfRule>
    <cfRule type="containsText" dxfId="779" priority="830" operator="containsText" text="COSH">
      <formula>NOT(ISERROR(SEARCH("COSH",AJ86)))</formula>
    </cfRule>
  </conditionalFormatting>
  <conditionalFormatting sqref="AJ83">
    <cfRule type="containsText" dxfId="778" priority="825" operator="containsText" text="FAT">
      <formula>NOT(ISERROR(SEARCH("FAT",AJ83)))</formula>
    </cfRule>
    <cfRule type="containsText" dxfId="777" priority="826" operator="containsText" text="FIRE">
      <formula>NOT(ISERROR(SEARCH("FIRE",AJ83)))</formula>
    </cfRule>
    <cfRule type="containsText" dxfId="776" priority="827" operator="containsText" text="COSH">
      <formula>NOT(ISERROR(SEARCH("COSH",AJ83)))</formula>
    </cfRule>
  </conditionalFormatting>
  <conditionalFormatting sqref="AJ85">
    <cfRule type="containsText" dxfId="775" priority="822" operator="containsText" text="FAT">
      <formula>NOT(ISERROR(SEARCH("FAT",AJ85)))</formula>
    </cfRule>
    <cfRule type="containsText" dxfId="774" priority="823" operator="containsText" text="FIRE">
      <formula>NOT(ISERROR(SEARCH("FIRE",AJ85)))</formula>
    </cfRule>
    <cfRule type="containsText" dxfId="773" priority="824" operator="containsText" text="COSH">
      <formula>NOT(ISERROR(SEARCH("COSH",AJ85)))</formula>
    </cfRule>
  </conditionalFormatting>
  <conditionalFormatting sqref="AJ68">
    <cfRule type="containsText" dxfId="772" priority="819" operator="containsText" text="FAT">
      <formula>NOT(ISERROR(SEARCH("FAT",AJ68)))</formula>
    </cfRule>
    <cfRule type="containsText" dxfId="771" priority="820" operator="containsText" text="FIRE">
      <formula>NOT(ISERROR(SEARCH("FIRE",AJ68)))</formula>
    </cfRule>
    <cfRule type="containsText" dxfId="770" priority="821" operator="containsText" text="COSH">
      <formula>NOT(ISERROR(SEARCH("COSH",AJ68)))</formula>
    </cfRule>
  </conditionalFormatting>
  <conditionalFormatting sqref="AJ73:AJ75">
    <cfRule type="containsText" dxfId="769" priority="816" operator="containsText" text="FAT">
      <formula>NOT(ISERROR(SEARCH("FAT",AJ73)))</formula>
    </cfRule>
    <cfRule type="containsText" dxfId="768" priority="817" operator="containsText" text="FIRE">
      <formula>NOT(ISERROR(SEARCH("FIRE",AJ73)))</formula>
    </cfRule>
    <cfRule type="containsText" dxfId="767" priority="818" operator="containsText" text="COSH">
      <formula>NOT(ISERROR(SEARCH("COSH",AJ73)))</formula>
    </cfRule>
  </conditionalFormatting>
  <conditionalFormatting sqref="AJ73:AJ75">
    <cfRule type="containsText" dxfId="766" priority="813" operator="containsText" text="FAT">
      <formula>NOT(ISERROR(SEARCH("FAT",AJ73)))</formula>
    </cfRule>
    <cfRule type="containsText" dxfId="765" priority="814" operator="containsText" text="FIRE">
      <formula>NOT(ISERROR(SEARCH("FIRE",AJ73)))</formula>
    </cfRule>
    <cfRule type="containsText" dxfId="764" priority="815" operator="containsText" text="COSH">
      <formula>NOT(ISERROR(SEARCH("COSH",AJ73)))</formula>
    </cfRule>
  </conditionalFormatting>
  <conditionalFormatting sqref="AJ85">
    <cfRule type="containsText" dxfId="763" priority="810" operator="containsText" text="FAT">
      <formula>NOT(ISERROR(SEARCH("FAT",AJ85)))</formula>
    </cfRule>
    <cfRule type="containsText" dxfId="762" priority="811" operator="containsText" text="FIRE">
      <formula>NOT(ISERROR(SEARCH("FIRE",AJ85)))</formula>
    </cfRule>
    <cfRule type="containsText" dxfId="761" priority="812" operator="containsText" text="COSH">
      <formula>NOT(ISERROR(SEARCH("COSH",AJ85)))</formula>
    </cfRule>
  </conditionalFormatting>
  <conditionalFormatting sqref="AJ85">
    <cfRule type="containsText" dxfId="760" priority="807" operator="containsText" text="FAT">
      <formula>NOT(ISERROR(SEARCH("FAT",AJ85)))</formula>
    </cfRule>
    <cfRule type="containsText" dxfId="759" priority="808" operator="containsText" text="FIRE">
      <formula>NOT(ISERROR(SEARCH("FIRE",AJ85)))</formula>
    </cfRule>
    <cfRule type="containsText" dxfId="758" priority="809" operator="containsText" text="COSH">
      <formula>NOT(ISERROR(SEARCH("COSH",AJ85)))</formula>
    </cfRule>
  </conditionalFormatting>
  <conditionalFormatting sqref="AJ70">
    <cfRule type="containsText" dxfId="757" priority="804" operator="containsText" text="FAT">
      <formula>NOT(ISERROR(SEARCH("FAT",AJ70)))</formula>
    </cfRule>
    <cfRule type="containsText" dxfId="756" priority="805" operator="containsText" text="FIRE">
      <formula>NOT(ISERROR(SEARCH("FIRE",AJ70)))</formula>
    </cfRule>
    <cfRule type="containsText" dxfId="755" priority="806" operator="containsText" text="COSH">
      <formula>NOT(ISERROR(SEARCH("COSH",AJ70)))</formula>
    </cfRule>
  </conditionalFormatting>
  <conditionalFormatting sqref="AJ70">
    <cfRule type="cellIs" dxfId="754" priority="803" operator="between">
      <formula>1</formula>
      <formula>3</formula>
    </cfRule>
  </conditionalFormatting>
  <conditionalFormatting sqref="AO59:AQ59">
    <cfRule type="containsText" dxfId="753" priority="800" operator="containsText" text="FAT">
      <formula>NOT(ISERROR(SEARCH("FAT",AO59)))</formula>
    </cfRule>
    <cfRule type="containsText" dxfId="752" priority="801" operator="containsText" text="FIRE">
      <formula>NOT(ISERROR(SEARCH("FIRE",AO59)))</formula>
    </cfRule>
    <cfRule type="containsText" dxfId="751" priority="802" operator="containsText" text="COSH">
      <formula>NOT(ISERROR(SEARCH("COSH",AO59)))</formula>
    </cfRule>
  </conditionalFormatting>
  <conditionalFormatting sqref="AI59:AJ59">
    <cfRule type="containsText" dxfId="750" priority="794" operator="containsText" text="FAT">
      <formula>NOT(ISERROR(SEARCH("FAT",AI59)))</formula>
    </cfRule>
    <cfRule type="containsText" dxfId="749" priority="795" operator="containsText" text="FIRE">
      <formula>NOT(ISERROR(SEARCH("FIRE",AI59)))</formula>
    </cfRule>
    <cfRule type="containsText" dxfId="748" priority="796" operator="containsText" text="COSH">
      <formula>NOT(ISERROR(SEARCH("COSH",AI59)))</formula>
    </cfRule>
  </conditionalFormatting>
  <conditionalFormatting sqref="F59">
    <cfRule type="containsText" dxfId="747" priority="797" operator="containsText" text="FAT">
      <formula>NOT(ISERROR(SEARCH("FAT",#REF!)))</formula>
    </cfRule>
    <cfRule type="containsText" dxfId="746" priority="798" operator="containsText" text="FIRE">
      <formula>NOT(ISERROR(SEARCH("FIRE",#REF!)))</formula>
    </cfRule>
    <cfRule type="containsText" dxfId="745" priority="799" operator="containsText" text="COSH">
      <formula>NOT(ISERROR(SEARCH("COSH",#REF!)))</formula>
    </cfRule>
  </conditionalFormatting>
  <conditionalFormatting sqref="AG59">
    <cfRule type="containsText" dxfId="744" priority="791" operator="containsText" text="FAT">
      <formula>NOT(ISERROR(SEARCH("FAT",AG59)))</formula>
    </cfRule>
    <cfRule type="containsText" dxfId="743" priority="792" operator="containsText" text="FIRE">
      <formula>NOT(ISERROR(SEARCH("FIRE",AG59)))</formula>
    </cfRule>
    <cfRule type="containsText" dxfId="742" priority="793" operator="containsText" text="COSH">
      <formula>NOT(ISERROR(SEARCH("COSH",AG59)))</formula>
    </cfRule>
  </conditionalFormatting>
  <conditionalFormatting sqref="AA59:AE59">
    <cfRule type="containsText" dxfId="741" priority="788" operator="containsText" text="FAT">
      <formula>NOT(ISERROR(SEARCH("FAT",AA59)))</formula>
    </cfRule>
    <cfRule type="containsText" dxfId="740" priority="789" operator="containsText" text="FIRE">
      <formula>NOT(ISERROR(SEARCH("FIRE",AA59)))</formula>
    </cfRule>
    <cfRule type="containsText" dxfId="739" priority="790" operator="containsText" text="COSH">
      <formula>NOT(ISERROR(SEARCH("COSH",AA59)))</formula>
    </cfRule>
  </conditionalFormatting>
  <conditionalFormatting sqref="AH59">
    <cfRule type="containsText" dxfId="738" priority="785" operator="containsText" text="FAT">
      <formula>NOT(ISERROR(SEARCH("FAT",AH59)))</formula>
    </cfRule>
    <cfRule type="containsText" dxfId="737" priority="786" operator="containsText" text="FIRE">
      <formula>NOT(ISERROR(SEARCH("FIRE",AH59)))</formula>
    </cfRule>
    <cfRule type="containsText" dxfId="736" priority="787" operator="containsText" text="COSH">
      <formula>NOT(ISERROR(SEARCH("COSH",AH59)))</formula>
    </cfRule>
  </conditionalFormatting>
  <conditionalFormatting sqref="AK59">
    <cfRule type="containsText" dxfId="735" priority="782" operator="containsText" text="FAT">
      <formula>NOT(ISERROR(SEARCH("FAT",AK59)))</formula>
    </cfRule>
    <cfRule type="containsText" dxfId="734" priority="783" operator="containsText" text="FIRE">
      <formula>NOT(ISERROR(SEARCH("FIRE",AK59)))</formula>
    </cfRule>
    <cfRule type="containsText" dxfId="733" priority="784" operator="containsText" text="COSH">
      <formula>NOT(ISERROR(SEARCH("COSH",AK59)))</formula>
    </cfRule>
  </conditionalFormatting>
  <conditionalFormatting sqref="AF59">
    <cfRule type="containsText" dxfId="732" priority="779" operator="containsText" text="FAT">
      <formula>NOT(ISERROR(SEARCH("FAT",AF59)))</formula>
    </cfRule>
    <cfRule type="containsText" dxfId="731" priority="780" operator="containsText" text="FIRE">
      <formula>NOT(ISERROR(SEARCH("FIRE",AF59)))</formula>
    </cfRule>
    <cfRule type="containsText" dxfId="730" priority="781" operator="containsText" text="COSH">
      <formula>NOT(ISERROR(SEARCH("COSH",AF59)))</formula>
    </cfRule>
  </conditionalFormatting>
  <conditionalFormatting sqref="E59">
    <cfRule type="duplicateValues" dxfId="729" priority="776"/>
  </conditionalFormatting>
  <conditionalFormatting sqref="E59">
    <cfRule type="duplicateValues" dxfId="728" priority="777"/>
  </conditionalFormatting>
  <conditionalFormatting sqref="AK59">
    <cfRule type="containsText" dxfId="727" priority="773" operator="containsText" text="FAT">
      <formula>NOT(ISERROR(SEARCH("FAT",AK59)))</formula>
    </cfRule>
    <cfRule type="containsText" dxfId="726" priority="774" operator="containsText" text="FIRE">
      <formula>NOT(ISERROR(SEARCH("FIRE",AK59)))</formula>
    </cfRule>
    <cfRule type="containsText" dxfId="725" priority="775" operator="containsText" text="COSH">
      <formula>NOT(ISERROR(SEARCH("COSH",AK59)))</formula>
    </cfRule>
  </conditionalFormatting>
  <conditionalFormatting sqref="AK59">
    <cfRule type="containsText" dxfId="724" priority="770" operator="containsText" text="FAT">
      <formula>NOT(ISERROR(SEARCH("FAT",AK59)))</formula>
    </cfRule>
    <cfRule type="containsText" dxfId="723" priority="771" operator="containsText" text="FIRE">
      <formula>NOT(ISERROR(SEARCH("FIRE",AK59)))</formula>
    </cfRule>
    <cfRule type="containsText" dxfId="722" priority="772" operator="containsText" text="COSH">
      <formula>NOT(ISERROR(SEARCH("COSH",AK59)))</formula>
    </cfRule>
  </conditionalFormatting>
  <conditionalFormatting sqref="AK59">
    <cfRule type="containsText" dxfId="721" priority="767" operator="containsText" text="FAT">
      <formula>NOT(ISERROR(SEARCH("FAT",AK59)))</formula>
    </cfRule>
    <cfRule type="containsText" dxfId="720" priority="768" operator="containsText" text="FIRE">
      <formula>NOT(ISERROR(SEARCH("FIRE",AK59)))</formula>
    </cfRule>
    <cfRule type="containsText" dxfId="719" priority="769" operator="containsText" text="COSH">
      <formula>NOT(ISERROR(SEARCH("COSH",AK59)))</formula>
    </cfRule>
  </conditionalFormatting>
  <conditionalFormatting sqref="AA59:AE59">
    <cfRule type="containsText" dxfId="718" priority="764" operator="containsText" text="FAT">
      <formula>NOT(ISERROR(SEARCH("FAT",AA59)))</formula>
    </cfRule>
    <cfRule type="containsText" dxfId="717" priority="765" operator="containsText" text="FIRE">
      <formula>NOT(ISERROR(SEARCH("FIRE",AA59)))</formula>
    </cfRule>
    <cfRule type="containsText" dxfId="716" priority="766" operator="containsText" text="COSH">
      <formula>NOT(ISERROR(SEARCH("COSH",AA59)))</formula>
    </cfRule>
  </conditionalFormatting>
  <conditionalFormatting sqref="AA59:AE59">
    <cfRule type="containsText" dxfId="715" priority="761" operator="containsText" text="FAT">
      <formula>NOT(ISERROR(SEARCH("FAT",AA59)))</formula>
    </cfRule>
    <cfRule type="containsText" dxfId="714" priority="762" operator="containsText" text="FIRE">
      <formula>NOT(ISERROR(SEARCH("FIRE",AA59)))</formula>
    </cfRule>
    <cfRule type="containsText" dxfId="713" priority="763" operator="containsText" text="COSH">
      <formula>NOT(ISERROR(SEARCH("COSH",AA59)))</formula>
    </cfRule>
  </conditionalFormatting>
  <conditionalFormatting sqref="AA59:AE59">
    <cfRule type="containsText" dxfId="712" priority="758" operator="containsText" text="FAT">
      <formula>NOT(ISERROR(SEARCH("FAT",AA59)))</formula>
    </cfRule>
    <cfRule type="containsText" dxfId="711" priority="759" operator="containsText" text="FIRE">
      <formula>NOT(ISERROR(SEARCH("FIRE",AA59)))</formula>
    </cfRule>
    <cfRule type="containsText" dxfId="710" priority="760" operator="containsText" text="COSH">
      <formula>NOT(ISERROR(SEARCH("COSH",AA59)))</formula>
    </cfRule>
  </conditionalFormatting>
  <conditionalFormatting sqref="AA59:AE59">
    <cfRule type="containsText" dxfId="709" priority="755" operator="containsText" text="FAT">
      <formula>NOT(ISERROR(SEARCH("FAT",AA59)))</formula>
    </cfRule>
    <cfRule type="containsText" dxfId="708" priority="756" operator="containsText" text="FIRE">
      <formula>NOT(ISERROR(SEARCH("FIRE",AA59)))</formula>
    </cfRule>
    <cfRule type="containsText" dxfId="707" priority="757" operator="containsText" text="COSH">
      <formula>NOT(ISERROR(SEARCH("COSH",AA59)))</formula>
    </cfRule>
  </conditionalFormatting>
  <conditionalFormatting sqref="AA59:AE59">
    <cfRule type="containsText" dxfId="706" priority="752" operator="containsText" text="FAT">
      <formula>NOT(ISERROR(SEARCH("FAT",AA59)))</formula>
    </cfRule>
    <cfRule type="containsText" dxfId="705" priority="753" operator="containsText" text="FIRE">
      <formula>NOT(ISERROR(SEARCH("FIRE",AA59)))</formula>
    </cfRule>
    <cfRule type="containsText" dxfId="704" priority="754" operator="containsText" text="COSH">
      <formula>NOT(ISERROR(SEARCH("COSH",AA59)))</formula>
    </cfRule>
  </conditionalFormatting>
  <conditionalFormatting sqref="AA59:AK59">
    <cfRule type="cellIs" dxfId="703" priority="778" operator="between">
      <formula>1</formula>
      <formula>3</formula>
    </cfRule>
  </conditionalFormatting>
  <conditionalFormatting sqref="AA59:AJ59">
    <cfRule type="cellIs" dxfId="702" priority="751" operator="equal">
      <formula>0</formula>
    </cfRule>
  </conditionalFormatting>
  <conditionalFormatting sqref="M59 K59">
    <cfRule type="cellIs" dxfId="701" priority="747" operator="equal">
      <formula>"EL"</formula>
    </cfRule>
    <cfRule type="cellIs" dxfId="700" priority="748" operator="equal">
      <formula>"SL"</formula>
    </cfRule>
  </conditionalFormatting>
  <conditionalFormatting sqref="M59 K59">
    <cfRule type="containsText" dxfId="699" priority="732" operator="containsText" text="EL">
      <formula>NOT(ISERROR(SEARCH("EL",K59)))</formula>
    </cfRule>
    <cfRule type="containsText" dxfId="698" priority="733" operator="containsText" text="Q">
      <formula>NOT(ISERROR(SEARCH("Q",K59)))</formula>
    </cfRule>
  </conditionalFormatting>
  <conditionalFormatting sqref="M59 K59">
    <cfRule type="containsText" dxfId="697" priority="731" operator="containsText" text="1ET">
      <formula>NOT(ISERROR(SEARCH("1ET",K59)))</formula>
    </cfRule>
  </conditionalFormatting>
  <conditionalFormatting sqref="M59 K59">
    <cfRule type="containsText" dxfId="696" priority="729" operator="containsText" text="3ET">
      <formula>NOT(ISERROR(SEARCH("3ET",K59)))</formula>
    </cfRule>
    <cfRule type="containsText" dxfId="695" priority="730" operator="containsText" text="1OT">
      <formula>NOT(ISERROR(SEARCH("1OT",K59)))</formula>
    </cfRule>
  </conditionalFormatting>
  <conditionalFormatting sqref="N59">
    <cfRule type="cellIs" dxfId="694" priority="725" operator="equal">
      <formula>"EL"</formula>
    </cfRule>
    <cfRule type="cellIs" dxfId="693" priority="726" operator="equal">
      <formula>"SL"</formula>
    </cfRule>
  </conditionalFormatting>
  <conditionalFormatting sqref="N59">
    <cfRule type="containsText" dxfId="692" priority="710" operator="containsText" text="EL">
      <formula>NOT(ISERROR(SEARCH("EL",N59)))</formula>
    </cfRule>
    <cfRule type="containsText" dxfId="691" priority="711" operator="containsText" text="Q">
      <formula>NOT(ISERROR(SEARCH("Q",N59)))</formula>
    </cfRule>
  </conditionalFormatting>
  <conditionalFormatting sqref="N59">
    <cfRule type="containsText" dxfId="690" priority="709" operator="containsText" text="1ET">
      <formula>NOT(ISERROR(SEARCH("1ET",N59)))</formula>
    </cfRule>
  </conditionalFormatting>
  <conditionalFormatting sqref="N59">
    <cfRule type="containsText" dxfId="689" priority="707" operator="containsText" text="3ET">
      <formula>NOT(ISERROR(SEARCH("3ET",N59)))</formula>
    </cfRule>
    <cfRule type="containsText" dxfId="688" priority="708" operator="containsText" text="1OT">
      <formula>NOT(ISERROR(SEARCH("1OT",N59)))</formula>
    </cfRule>
  </conditionalFormatting>
  <conditionalFormatting sqref="O59:P59 T59:Y59 R59">
    <cfRule type="cellIs" dxfId="687" priority="703" operator="equal">
      <formula>"EL"</formula>
    </cfRule>
    <cfRule type="cellIs" dxfId="686" priority="704" operator="equal">
      <formula>"SL"</formula>
    </cfRule>
  </conditionalFormatting>
  <conditionalFormatting sqref="O59:P59 T59:Y59 R59">
    <cfRule type="containsText" dxfId="685" priority="688" operator="containsText" text="EL">
      <formula>NOT(ISERROR(SEARCH("EL",O59)))</formula>
    </cfRule>
    <cfRule type="containsText" dxfId="684" priority="689" operator="containsText" text="Q">
      <formula>NOT(ISERROR(SEARCH("Q",O59)))</formula>
    </cfRule>
  </conditionalFormatting>
  <conditionalFormatting sqref="O59:P59 T59:Y59 R59">
    <cfRule type="containsText" dxfId="683" priority="687" operator="containsText" text="1ET">
      <formula>NOT(ISERROR(SEARCH("1ET",O59)))</formula>
    </cfRule>
  </conditionalFormatting>
  <conditionalFormatting sqref="O59:P59 T59:Y59 R59">
    <cfRule type="containsText" dxfId="682" priority="685" operator="containsText" text="3ET">
      <formula>NOT(ISERROR(SEARCH("3ET",O59)))</formula>
    </cfRule>
    <cfRule type="containsText" dxfId="681" priority="686" operator="containsText" text="1OT">
      <formula>NOT(ISERROR(SEARCH("1OT",O59)))</formula>
    </cfRule>
  </conditionalFormatting>
  <conditionalFormatting sqref="L59">
    <cfRule type="containsText" dxfId="680" priority="679" operator="containsText" text="FAT">
      <formula>NOT(ISERROR(SEARCH("FAT",L59)))</formula>
    </cfRule>
    <cfRule type="containsText" dxfId="679" priority="680" operator="containsText" text="FIRE">
      <formula>NOT(ISERROR(SEARCH("FIRE",L59)))</formula>
    </cfRule>
    <cfRule type="containsText" dxfId="678" priority="681" operator="containsText" text="COSH">
      <formula>NOT(ISERROR(SEARCH("COSH",L59)))</formula>
    </cfRule>
  </conditionalFormatting>
  <conditionalFormatting sqref="L59">
    <cfRule type="containsText" dxfId="677" priority="682" operator="containsText" text="FAT">
      <formula>NOT(ISERROR(SEARCH("FAT",L59)))</formula>
    </cfRule>
    <cfRule type="containsText" dxfId="676" priority="683" operator="containsText" text="FIRE">
      <formula>NOT(ISERROR(SEARCH("FIRE",L59)))</formula>
    </cfRule>
    <cfRule type="containsText" dxfId="675" priority="684" operator="containsText" text="COSH">
      <formula>NOT(ISERROR(SEARCH("COSH",L59)))</formula>
    </cfRule>
  </conditionalFormatting>
  <conditionalFormatting sqref="L59">
    <cfRule type="cellIs" dxfId="674" priority="678" operator="between">
      <formula>1</formula>
      <formula>3</formula>
    </cfRule>
  </conditionalFormatting>
  <conditionalFormatting sqref="L59">
    <cfRule type="containsText" dxfId="673" priority="675" operator="containsText" text="FAT">
      <formula>NOT(ISERROR(SEARCH("FAT",L59)))</formula>
    </cfRule>
    <cfRule type="containsText" dxfId="672" priority="676" operator="containsText" text="FIRE">
      <formula>NOT(ISERROR(SEARCH("FIRE",L59)))</formula>
    </cfRule>
    <cfRule type="containsText" dxfId="671" priority="677" operator="containsText" text="COSH">
      <formula>NOT(ISERROR(SEARCH("COSH",L59)))</formula>
    </cfRule>
  </conditionalFormatting>
  <conditionalFormatting sqref="L59">
    <cfRule type="cellIs" dxfId="670" priority="674" operator="equal">
      <formula>0</formula>
    </cfRule>
  </conditionalFormatting>
  <conditionalFormatting sqref="L59">
    <cfRule type="containsText" dxfId="669" priority="671" operator="containsText" text="FAT">
      <formula>NOT(ISERROR(SEARCH("FAT",L59)))</formula>
    </cfRule>
    <cfRule type="containsText" dxfId="668" priority="672" operator="containsText" text="FIRE">
      <formula>NOT(ISERROR(SEARCH("FIRE",L59)))</formula>
    </cfRule>
    <cfRule type="containsText" dxfId="667" priority="673" operator="containsText" text="COSH">
      <formula>NOT(ISERROR(SEARCH("COSH",L59)))</formula>
    </cfRule>
  </conditionalFormatting>
  <conditionalFormatting sqref="L59">
    <cfRule type="containsText" dxfId="666" priority="668" operator="containsText" text="FAT">
      <formula>NOT(ISERROR(SEARCH("FAT",L59)))</formula>
    </cfRule>
    <cfRule type="containsText" dxfId="665" priority="669" operator="containsText" text="FIRE">
      <formula>NOT(ISERROR(SEARCH("FIRE",L59)))</formula>
    </cfRule>
    <cfRule type="containsText" dxfId="664" priority="670" operator="containsText" text="COSH">
      <formula>NOT(ISERROR(SEARCH("COSH",L59)))</formula>
    </cfRule>
  </conditionalFormatting>
  <conditionalFormatting sqref="S59">
    <cfRule type="containsText" dxfId="663" priority="662" operator="containsText" text="FAT">
      <formula>NOT(ISERROR(SEARCH("FAT",S59)))</formula>
    </cfRule>
    <cfRule type="containsText" dxfId="662" priority="663" operator="containsText" text="FIRE">
      <formula>NOT(ISERROR(SEARCH("FIRE",S59)))</formula>
    </cfRule>
    <cfRule type="containsText" dxfId="661" priority="664" operator="containsText" text="COSH">
      <formula>NOT(ISERROR(SEARCH("COSH",S59)))</formula>
    </cfRule>
  </conditionalFormatting>
  <conditionalFormatting sqref="S59">
    <cfRule type="containsText" dxfId="660" priority="665" operator="containsText" text="FAT">
      <formula>NOT(ISERROR(SEARCH("FAT",S59)))</formula>
    </cfRule>
    <cfRule type="containsText" dxfId="659" priority="666" operator="containsText" text="FIRE">
      <formula>NOT(ISERROR(SEARCH("FIRE",S59)))</formula>
    </cfRule>
    <cfRule type="containsText" dxfId="658" priority="667" operator="containsText" text="COSH">
      <formula>NOT(ISERROR(SEARCH("COSH",S59)))</formula>
    </cfRule>
  </conditionalFormatting>
  <conditionalFormatting sqref="S59">
    <cfRule type="cellIs" dxfId="657" priority="661" operator="between">
      <formula>1</formula>
      <formula>3</formula>
    </cfRule>
  </conditionalFormatting>
  <conditionalFormatting sqref="S59">
    <cfRule type="containsText" dxfId="656" priority="658" operator="containsText" text="FAT">
      <formula>NOT(ISERROR(SEARCH("FAT",S59)))</formula>
    </cfRule>
    <cfRule type="containsText" dxfId="655" priority="659" operator="containsText" text="FIRE">
      <formula>NOT(ISERROR(SEARCH("FIRE",S59)))</formula>
    </cfRule>
    <cfRule type="containsText" dxfId="654" priority="660" operator="containsText" text="COSH">
      <formula>NOT(ISERROR(SEARCH("COSH",S59)))</formula>
    </cfRule>
  </conditionalFormatting>
  <conditionalFormatting sqref="S59">
    <cfRule type="cellIs" dxfId="653" priority="657" operator="equal">
      <formula>0</formula>
    </cfRule>
  </conditionalFormatting>
  <conditionalFormatting sqref="S59">
    <cfRule type="containsText" dxfId="652" priority="654" operator="containsText" text="FAT">
      <formula>NOT(ISERROR(SEARCH("FAT",S59)))</formula>
    </cfRule>
    <cfRule type="containsText" dxfId="651" priority="655" operator="containsText" text="FIRE">
      <formula>NOT(ISERROR(SEARCH("FIRE",S59)))</formula>
    </cfRule>
    <cfRule type="containsText" dxfId="650" priority="656" operator="containsText" text="COSH">
      <formula>NOT(ISERROR(SEARCH("COSH",S59)))</formula>
    </cfRule>
  </conditionalFormatting>
  <conditionalFormatting sqref="S59">
    <cfRule type="containsText" dxfId="649" priority="651" operator="containsText" text="FAT">
      <formula>NOT(ISERROR(SEARCH("FAT",S59)))</formula>
    </cfRule>
    <cfRule type="containsText" dxfId="648" priority="652" operator="containsText" text="FIRE">
      <formula>NOT(ISERROR(SEARCH("FIRE",S59)))</formula>
    </cfRule>
    <cfRule type="containsText" dxfId="647" priority="653" operator="containsText" text="COSH">
      <formula>NOT(ISERROR(SEARCH("COSH",S59)))</formula>
    </cfRule>
  </conditionalFormatting>
  <conditionalFormatting sqref="Z59">
    <cfRule type="containsText" dxfId="646" priority="645" operator="containsText" text="FAT">
      <formula>NOT(ISERROR(SEARCH("FAT",Z59)))</formula>
    </cfRule>
    <cfRule type="containsText" dxfId="645" priority="646" operator="containsText" text="FIRE">
      <formula>NOT(ISERROR(SEARCH("FIRE",Z59)))</formula>
    </cfRule>
    <cfRule type="containsText" dxfId="644" priority="647" operator="containsText" text="COSH">
      <formula>NOT(ISERROR(SEARCH("COSH",Z59)))</formula>
    </cfRule>
  </conditionalFormatting>
  <conditionalFormatting sqref="Z59">
    <cfRule type="containsText" dxfId="643" priority="648" operator="containsText" text="FAT">
      <formula>NOT(ISERROR(SEARCH("FAT",Z59)))</formula>
    </cfRule>
    <cfRule type="containsText" dxfId="642" priority="649" operator="containsText" text="FIRE">
      <formula>NOT(ISERROR(SEARCH("FIRE",Z59)))</formula>
    </cfRule>
    <cfRule type="containsText" dxfId="641" priority="650" operator="containsText" text="COSH">
      <formula>NOT(ISERROR(SEARCH("COSH",Z59)))</formula>
    </cfRule>
  </conditionalFormatting>
  <conditionalFormatting sqref="Z59">
    <cfRule type="cellIs" dxfId="640" priority="644" operator="between">
      <formula>1</formula>
      <formula>3</formula>
    </cfRule>
  </conditionalFormatting>
  <conditionalFormatting sqref="Z59">
    <cfRule type="containsText" dxfId="639" priority="641" operator="containsText" text="FAT">
      <formula>NOT(ISERROR(SEARCH("FAT",Z59)))</formula>
    </cfRule>
    <cfRule type="containsText" dxfId="638" priority="642" operator="containsText" text="FIRE">
      <formula>NOT(ISERROR(SEARCH("FIRE",Z59)))</formula>
    </cfRule>
    <cfRule type="containsText" dxfId="637" priority="643" operator="containsText" text="COSH">
      <formula>NOT(ISERROR(SEARCH("COSH",Z59)))</formula>
    </cfRule>
  </conditionalFormatting>
  <conditionalFormatting sqref="Z59">
    <cfRule type="cellIs" dxfId="636" priority="640" operator="equal">
      <formula>0</formula>
    </cfRule>
  </conditionalFormatting>
  <conditionalFormatting sqref="Z59">
    <cfRule type="containsText" dxfId="635" priority="637" operator="containsText" text="FAT">
      <formula>NOT(ISERROR(SEARCH("FAT",Z59)))</formula>
    </cfRule>
    <cfRule type="containsText" dxfId="634" priority="638" operator="containsText" text="FIRE">
      <formula>NOT(ISERROR(SEARCH("FIRE",Z59)))</formula>
    </cfRule>
    <cfRule type="containsText" dxfId="633" priority="639" operator="containsText" text="COSH">
      <formula>NOT(ISERROR(SEARCH("COSH",Z59)))</formula>
    </cfRule>
  </conditionalFormatting>
  <conditionalFormatting sqref="Z59">
    <cfRule type="containsText" dxfId="632" priority="634" operator="containsText" text="FAT">
      <formula>NOT(ISERROR(SEARCH("FAT",Z59)))</formula>
    </cfRule>
    <cfRule type="containsText" dxfId="631" priority="635" operator="containsText" text="FIRE">
      <formula>NOT(ISERROR(SEARCH("FIRE",Z59)))</formula>
    </cfRule>
    <cfRule type="containsText" dxfId="630" priority="636" operator="containsText" text="COSH">
      <formula>NOT(ISERROR(SEARCH("COSH",Z59)))</formula>
    </cfRule>
  </conditionalFormatting>
  <conditionalFormatting sqref="G59:I59">
    <cfRule type="containsText" dxfId="629" priority="631" operator="containsText" text="FAT">
      <formula>NOT(ISERROR(SEARCH("FAT",G59)))</formula>
    </cfRule>
    <cfRule type="containsText" dxfId="628" priority="632" operator="containsText" text="FIRE">
      <formula>NOT(ISERROR(SEARCH("FIRE",G59)))</formula>
    </cfRule>
    <cfRule type="containsText" dxfId="627" priority="633" operator="containsText" text="COSH">
      <formula>NOT(ISERROR(SEARCH("COSH",G59)))</formula>
    </cfRule>
  </conditionalFormatting>
  <conditionalFormatting sqref="G59:I59">
    <cfRule type="cellIs" dxfId="626" priority="630" operator="between">
      <formula>1</formula>
      <formula>3</formula>
    </cfRule>
  </conditionalFormatting>
  <conditionalFormatting sqref="G59:I59">
    <cfRule type="containsText" dxfId="625" priority="627" operator="containsText" text="FAT">
      <formula>NOT(ISERROR(SEARCH("FAT",G59)))</formula>
    </cfRule>
    <cfRule type="containsText" dxfId="624" priority="628" operator="containsText" text="FIRE">
      <formula>NOT(ISERROR(SEARCH("FIRE",G59)))</formula>
    </cfRule>
    <cfRule type="containsText" dxfId="623" priority="629" operator="containsText" text="COSH">
      <formula>NOT(ISERROR(SEARCH("COSH",G59)))</formula>
    </cfRule>
  </conditionalFormatting>
  <conditionalFormatting sqref="G59:I59">
    <cfRule type="containsText" dxfId="622" priority="624" operator="containsText" text="FAT">
      <formula>NOT(ISERROR(SEARCH("FAT",G59)))</formula>
    </cfRule>
    <cfRule type="containsText" dxfId="621" priority="625" operator="containsText" text="FIRE">
      <formula>NOT(ISERROR(SEARCH("FIRE",G59)))</formula>
    </cfRule>
    <cfRule type="containsText" dxfId="620" priority="626" operator="containsText" text="COSH">
      <formula>NOT(ISERROR(SEARCH("COSH",G59)))</formula>
    </cfRule>
  </conditionalFormatting>
  <conditionalFormatting sqref="G59:I59">
    <cfRule type="containsText" dxfId="619" priority="621" operator="containsText" text="FAT">
      <formula>NOT(ISERROR(SEARCH("FAT",G59)))</formula>
    </cfRule>
    <cfRule type="containsText" dxfId="618" priority="622" operator="containsText" text="FIRE">
      <formula>NOT(ISERROR(SEARCH("FIRE",G59)))</formula>
    </cfRule>
    <cfRule type="containsText" dxfId="617" priority="623" operator="containsText" text="COSH">
      <formula>NOT(ISERROR(SEARCH("COSH",G59)))</formula>
    </cfRule>
  </conditionalFormatting>
  <conditionalFormatting sqref="G59:I59">
    <cfRule type="containsText" dxfId="616" priority="618" operator="containsText" text="FAT">
      <formula>NOT(ISERROR(SEARCH("FAT",G59)))</formula>
    </cfRule>
    <cfRule type="containsText" dxfId="615" priority="619" operator="containsText" text="FIRE">
      <formula>NOT(ISERROR(SEARCH("FIRE",G59)))</formula>
    </cfRule>
    <cfRule type="containsText" dxfId="614" priority="620" operator="containsText" text="COSH">
      <formula>NOT(ISERROR(SEARCH("COSH",G59)))</formula>
    </cfRule>
  </conditionalFormatting>
  <conditionalFormatting sqref="G59:I59">
    <cfRule type="cellIs" dxfId="613" priority="617" operator="equal">
      <formula>0</formula>
    </cfRule>
  </conditionalFormatting>
  <conditionalFormatting sqref="J59">
    <cfRule type="containsText" dxfId="612" priority="614" operator="containsText" text="FAT">
      <formula>NOT(ISERROR(SEARCH("FAT",J59)))</formula>
    </cfRule>
    <cfRule type="containsText" dxfId="611" priority="615" operator="containsText" text="FIRE">
      <formula>NOT(ISERROR(SEARCH("FIRE",J59)))</formula>
    </cfRule>
    <cfRule type="containsText" dxfId="610" priority="616" operator="containsText" text="COSH">
      <formula>NOT(ISERROR(SEARCH("COSH",J59)))</formula>
    </cfRule>
  </conditionalFormatting>
  <conditionalFormatting sqref="J59">
    <cfRule type="cellIs" dxfId="609" priority="613" operator="between">
      <formula>1</formula>
      <formula>3</formula>
    </cfRule>
  </conditionalFormatting>
  <conditionalFormatting sqref="J59">
    <cfRule type="containsText" dxfId="608" priority="610" operator="containsText" text="FAT">
      <formula>NOT(ISERROR(SEARCH("FAT",J59)))</formula>
    </cfRule>
    <cfRule type="containsText" dxfId="607" priority="611" operator="containsText" text="FIRE">
      <formula>NOT(ISERROR(SEARCH("FIRE",J59)))</formula>
    </cfRule>
    <cfRule type="containsText" dxfId="606" priority="612" operator="containsText" text="COSH">
      <formula>NOT(ISERROR(SEARCH("COSH",J59)))</formula>
    </cfRule>
  </conditionalFormatting>
  <conditionalFormatting sqref="Q59">
    <cfRule type="containsText" dxfId="605" priority="607" operator="containsText" text="FAT">
      <formula>NOT(ISERROR(SEARCH("FAT",Q59)))</formula>
    </cfRule>
    <cfRule type="containsText" dxfId="604" priority="608" operator="containsText" text="FIRE">
      <formula>NOT(ISERROR(SEARCH("FIRE",Q59)))</formula>
    </cfRule>
    <cfRule type="containsText" dxfId="603" priority="609" operator="containsText" text="COSH">
      <formula>NOT(ISERROR(SEARCH("COSH",Q59)))</formula>
    </cfRule>
  </conditionalFormatting>
  <conditionalFormatting sqref="Q59">
    <cfRule type="cellIs" dxfId="602" priority="606" operator="between">
      <formula>1</formula>
      <formula>3</formula>
    </cfRule>
  </conditionalFormatting>
  <conditionalFormatting sqref="Q59">
    <cfRule type="containsText" dxfId="601" priority="603" operator="containsText" text="FAT">
      <formula>NOT(ISERROR(SEARCH("FAT",Q59)))</formula>
    </cfRule>
    <cfRule type="containsText" dxfId="600" priority="604" operator="containsText" text="FIRE">
      <formula>NOT(ISERROR(SEARCH("FIRE",Q59)))</formula>
    </cfRule>
    <cfRule type="containsText" dxfId="599" priority="605" operator="containsText" text="COSH">
      <formula>NOT(ISERROR(SEARCH("COSH",Q59)))</formula>
    </cfRule>
  </conditionalFormatting>
  <conditionalFormatting sqref="AL45:AL46 AL58 AL56 AL53:AL54 AL10 AL66 AL48:AL50 AL38 AL93:AL116">
    <cfRule type="containsText" dxfId="598" priority="600" operator="containsText" text="FAT">
      <formula>NOT(ISERROR(SEARCH("FAT",AL10)))</formula>
    </cfRule>
    <cfRule type="containsText" dxfId="597" priority="601" operator="containsText" text="FIRE">
      <formula>NOT(ISERROR(SEARCH("FIRE",AL10)))</formula>
    </cfRule>
    <cfRule type="containsText" dxfId="596" priority="602" operator="containsText" text="COSH">
      <formula>NOT(ISERROR(SEARCH("COSH",AL10)))</formula>
    </cfRule>
  </conditionalFormatting>
  <conditionalFormatting sqref="AL35">
    <cfRule type="containsText" dxfId="595" priority="597" operator="containsText" text="FAT">
      <formula>NOT(ISERROR(SEARCH("FAT",AL35)))</formula>
    </cfRule>
    <cfRule type="containsText" dxfId="594" priority="598" operator="containsText" text="FIRE">
      <formula>NOT(ISERROR(SEARCH("FIRE",AL35)))</formula>
    </cfRule>
    <cfRule type="containsText" dxfId="593" priority="599" operator="containsText" text="COSH">
      <formula>NOT(ISERROR(SEARCH("COSH",AL35)))</formula>
    </cfRule>
  </conditionalFormatting>
  <conditionalFormatting sqref="AL89:AL90">
    <cfRule type="containsText" dxfId="592" priority="594" operator="containsText" text="FAT">
      <formula>NOT(ISERROR(SEARCH("FAT",AL89)))</formula>
    </cfRule>
    <cfRule type="containsText" dxfId="591" priority="595" operator="containsText" text="FIRE">
      <formula>NOT(ISERROR(SEARCH("FIRE",AL89)))</formula>
    </cfRule>
    <cfRule type="containsText" dxfId="590" priority="596" operator="containsText" text="COSH">
      <formula>NOT(ISERROR(SEARCH("COSH",AL89)))</formula>
    </cfRule>
  </conditionalFormatting>
  <conditionalFormatting sqref="AL62:AL63">
    <cfRule type="containsText" dxfId="589" priority="591" operator="containsText" text="FAT">
      <formula>NOT(ISERROR(SEARCH("FAT",AL62)))</formula>
    </cfRule>
    <cfRule type="containsText" dxfId="588" priority="592" operator="containsText" text="FIRE">
      <formula>NOT(ISERROR(SEARCH("FIRE",AL62)))</formula>
    </cfRule>
    <cfRule type="containsText" dxfId="587" priority="593" operator="containsText" text="COSH">
      <formula>NOT(ISERROR(SEARCH("COSH",AL62)))</formula>
    </cfRule>
  </conditionalFormatting>
  <conditionalFormatting sqref="AL61">
    <cfRule type="containsText" dxfId="586" priority="588" operator="containsText" text="FAT">
      <formula>NOT(ISERROR(SEARCH("FAT",AL61)))</formula>
    </cfRule>
    <cfRule type="containsText" dxfId="585" priority="589" operator="containsText" text="FIRE">
      <formula>NOT(ISERROR(SEARCH("FIRE",AL61)))</formula>
    </cfRule>
    <cfRule type="containsText" dxfId="584" priority="590" operator="containsText" text="COSH">
      <formula>NOT(ISERROR(SEARCH("COSH",AL61)))</formula>
    </cfRule>
  </conditionalFormatting>
  <conditionalFormatting sqref="AL66">
    <cfRule type="containsText" dxfId="583" priority="585" operator="containsText" text="FAT">
      <formula>NOT(ISERROR(SEARCH("FAT",AL66)))</formula>
    </cfRule>
    <cfRule type="containsText" dxfId="582" priority="586" operator="containsText" text="FIRE">
      <formula>NOT(ISERROR(SEARCH("FIRE",AL66)))</formula>
    </cfRule>
    <cfRule type="containsText" dxfId="581" priority="587" operator="containsText" text="COSH">
      <formula>NOT(ISERROR(SEARCH("COSH",AL66)))</formula>
    </cfRule>
  </conditionalFormatting>
  <conditionalFormatting sqref="AL66">
    <cfRule type="containsText" dxfId="580" priority="582" operator="containsText" text="FAT">
      <formula>NOT(ISERROR(SEARCH("FAT",AL66)))</formula>
    </cfRule>
    <cfRule type="containsText" dxfId="579" priority="583" operator="containsText" text="FIRE">
      <formula>NOT(ISERROR(SEARCH("FIRE",AL66)))</formula>
    </cfRule>
    <cfRule type="containsText" dxfId="578" priority="584" operator="containsText" text="COSH">
      <formula>NOT(ISERROR(SEARCH("COSH",AL66)))</formula>
    </cfRule>
  </conditionalFormatting>
  <conditionalFormatting sqref="AL52">
    <cfRule type="containsText" dxfId="577" priority="579" operator="containsText" text="FAT">
      <formula>NOT(ISERROR(SEARCH("FAT",AL52)))</formula>
    </cfRule>
    <cfRule type="containsText" dxfId="576" priority="580" operator="containsText" text="FIRE">
      <formula>NOT(ISERROR(SEARCH("FIRE",AL52)))</formula>
    </cfRule>
    <cfRule type="containsText" dxfId="575" priority="581" operator="containsText" text="COSH">
      <formula>NOT(ISERROR(SEARCH("COSH",AL52)))</formula>
    </cfRule>
  </conditionalFormatting>
  <conditionalFormatting sqref="AL60">
    <cfRule type="containsText" dxfId="574" priority="576" operator="containsText" text="FAT">
      <formula>NOT(ISERROR(SEARCH("FAT",AL60)))</formula>
    </cfRule>
    <cfRule type="containsText" dxfId="573" priority="577" operator="containsText" text="FIRE">
      <formula>NOT(ISERROR(SEARCH("FIRE",AL60)))</formula>
    </cfRule>
    <cfRule type="containsText" dxfId="572" priority="578" operator="containsText" text="COSH">
      <formula>NOT(ISERROR(SEARCH("COSH",AL60)))</formula>
    </cfRule>
  </conditionalFormatting>
  <conditionalFormatting sqref="AL47">
    <cfRule type="containsText" dxfId="571" priority="573" operator="containsText" text="FAT">
      <formula>NOT(ISERROR(SEARCH("FAT",AL47)))</formula>
    </cfRule>
    <cfRule type="containsText" dxfId="570" priority="574" operator="containsText" text="FIRE">
      <formula>NOT(ISERROR(SEARCH("FIRE",AL47)))</formula>
    </cfRule>
    <cfRule type="containsText" dxfId="569" priority="575" operator="containsText" text="COSH">
      <formula>NOT(ISERROR(SEARCH("COSH",AL47)))</formula>
    </cfRule>
  </conditionalFormatting>
  <conditionalFormatting sqref="AL55">
    <cfRule type="containsText" dxfId="568" priority="570" operator="containsText" text="FAT">
      <formula>NOT(ISERROR(SEARCH("FAT",AL55)))</formula>
    </cfRule>
    <cfRule type="containsText" dxfId="567" priority="571" operator="containsText" text="FIRE">
      <formula>NOT(ISERROR(SEARCH("FIRE",AL55)))</formula>
    </cfRule>
    <cfRule type="containsText" dxfId="566" priority="572" operator="containsText" text="COSH">
      <formula>NOT(ISERROR(SEARCH("COSH",AL55)))</formula>
    </cfRule>
  </conditionalFormatting>
  <conditionalFormatting sqref="AL57">
    <cfRule type="containsText" dxfId="565" priority="567" operator="containsText" text="FAT">
      <formula>NOT(ISERROR(SEARCH("FAT",AL57)))</formula>
    </cfRule>
    <cfRule type="containsText" dxfId="564" priority="568" operator="containsText" text="FIRE">
      <formula>NOT(ISERROR(SEARCH("FIRE",AL57)))</formula>
    </cfRule>
    <cfRule type="containsText" dxfId="563" priority="569" operator="containsText" text="COSH">
      <formula>NOT(ISERROR(SEARCH("COSH",AL57)))</formula>
    </cfRule>
  </conditionalFormatting>
  <conditionalFormatting sqref="AL41">
    <cfRule type="containsText" dxfId="562" priority="564" operator="containsText" text="FAT">
      <formula>NOT(ISERROR(SEARCH("FAT",AL41)))</formula>
    </cfRule>
    <cfRule type="containsText" dxfId="561" priority="565" operator="containsText" text="FIRE">
      <formula>NOT(ISERROR(SEARCH("FIRE",AL41)))</formula>
    </cfRule>
    <cfRule type="containsText" dxfId="560" priority="566" operator="containsText" text="COSH">
      <formula>NOT(ISERROR(SEARCH("COSH",AL41)))</formula>
    </cfRule>
  </conditionalFormatting>
  <conditionalFormatting sqref="AL42:AL44">
    <cfRule type="containsText" dxfId="559" priority="561" operator="containsText" text="FAT">
      <formula>NOT(ISERROR(SEARCH("FAT",AL42)))</formula>
    </cfRule>
    <cfRule type="containsText" dxfId="558" priority="562" operator="containsText" text="FIRE">
      <formula>NOT(ISERROR(SEARCH("FIRE",AL42)))</formula>
    </cfRule>
    <cfRule type="containsText" dxfId="557" priority="563" operator="containsText" text="COSH">
      <formula>NOT(ISERROR(SEARCH("COSH",AL42)))</formula>
    </cfRule>
  </conditionalFormatting>
  <conditionalFormatting sqref="AL105:AL106 AL108:AL111 AL113:AL116">
    <cfRule type="containsText" dxfId="556" priority="558" operator="containsText" text="FAT">
      <formula>NOT(ISERROR(SEARCH("FAT",AL105)))</formula>
    </cfRule>
    <cfRule type="containsText" dxfId="555" priority="559" operator="containsText" text="FIRE">
      <formula>NOT(ISERROR(SEARCH("FIRE",AL105)))</formula>
    </cfRule>
    <cfRule type="containsText" dxfId="554" priority="560" operator="containsText" text="COSH">
      <formula>NOT(ISERROR(SEARCH("COSH",AL105)))</formula>
    </cfRule>
  </conditionalFormatting>
  <conditionalFormatting sqref="AL112">
    <cfRule type="containsText" dxfId="553" priority="555" operator="containsText" text="FAT">
      <formula>NOT(ISERROR(SEARCH("FAT",AL112)))</formula>
    </cfRule>
    <cfRule type="containsText" dxfId="552" priority="556" operator="containsText" text="FIRE">
      <formula>NOT(ISERROR(SEARCH("FIRE",AL112)))</formula>
    </cfRule>
    <cfRule type="containsText" dxfId="551" priority="557" operator="containsText" text="COSH">
      <formula>NOT(ISERROR(SEARCH("COSH",AL112)))</formula>
    </cfRule>
  </conditionalFormatting>
  <conditionalFormatting sqref="AL104">
    <cfRule type="containsText" dxfId="550" priority="552" operator="containsText" text="FAT">
      <formula>NOT(ISERROR(SEARCH("FAT",AL104)))</formula>
    </cfRule>
    <cfRule type="containsText" dxfId="549" priority="553" operator="containsText" text="FIRE">
      <formula>NOT(ISERROR(SEARCH("FIRE",AL104)))</formula>
    </cfRule>
    <cfRule type="containsText" dxfId="548" priority="554" operator="containsText" text="COSH">
      <formula>NOT(ISERROR(SEARCH("COSH",AL104)))</formula>
    </cfRule>
  </conditionalFormatting>
  <conditionalFormatting sqref="AL102">
    <cfRule type="containsText" dxfId="547" priority="549" operator="containsText" text="FAT">
      <formula>NOT(ISERROR(SEARCH("FAT",AL102)))</formula>
    </cfRule>
    <cfRule type="containsText" dxfId="546" priority="550" operator="containsText" text="FIRE">
      <formula>NOT(ISERROR(SEARCH("FIRE",AL102)))</formula>
    </cfRule>
    <cfRule type="containsText" dxfId="545" priority="551" operator="containsText" text="COSH">
      <formula>NOT(ISERROR(SEARCH("COSH",AL102)))</formula>
    </cfRule>
  </conditionalFormatting>
  <conditionalFormatting sqref="AL107">
    <cfRule type="containsText" dxfId="544" priority="546" operator="containsText" text="FAT">
      <formula>NOT(ISERROR(SEARCH("FAT",AL107)))</formula>
    </cfRule>
    <cfRule type="containsText" dxfId="543" priority="547" operator="containsText" text="FIRE">
      <formula>NOT(ISERROR(SEARCH("FIRE",AL107)))</formula>
    </cfRule>
    <cfRule type="containsText" dxfId="542" priority="548" operator="containsText" text="COSH">
      <formula>NOT(ISERROR(SEARCH("COSH",AL107)))</formula>
    </cfRule>
  </conditionalFormatting>
  <conditionalFormatting sqref="AL103">
    <cfRule type="containsText" dxfId="541" priority="543" operator="containsText" text="FAT">
      <formula>NOT(ISERROR(SEARCH("FAT",AL103)))</formula>
    </cfRule>
    <cfRule type="containsText" dxfId="540" priority="544" operator="containsText" text="FIRE">
      <formula>NOT(ISERROR(SEARCH("FIRE",AL103)))</formula>
    </cfRule>
    <cfRule type="containsText" dxfId="539" priority="545" operator="containsText" text="COSH">
      <formula>NOT(ISERROR(SEARCH("COSH",AL103)))</formula>
    </cfRule>
  </conditionalFormatting>
  <conditionalFormatting sqref="AL39:AL40">
    <cfRule type="containsText" dxfId="538" priority="540" operator="containsText" text="FAT">
      <formula>NOT(ISERROR(SEARCH("FAT",AL39)))</formula>
    </cfRule>
    <cfRule type="containsText" dxfId="537" priority="541" operator="containsText" text="FIRE">
      <formula>NOT(ISERROR(SEARCH("FIRE",AL39)))</formula>
    </cfRule>
    <cfRule type="containsText" dxfId="536" priority="542" operator="containsText" text="COSH">
      <formula>NOT(ISERROR(SEARCH("COSH",AL39)))</formula>
    </cfRule>
  </conditionalFormatting>
  <conditionalFormatting sqref="AL51">
    <cfRule type="containsText" dxfId="535" priority="537" operator="containsText" text="FAT">
      <formula>NOT(ISERROR(SEARCH("FAT",AL51)))</formula>
    </cfRule>
    <cfRule type="containsText" dxfId="534" priority="538" operator="containsText" text="FIRE">
      <formula>NOT(ISERROR(SEARCH("FIRE",AL51)))</formula>
    </cfRule>
    <cfRule type="containsText" dxfId="533" priority="539" operator="containsText" text="COSH">
      <formula>NOT(ISERROR(SEARCH("COSH",AL51)))</formula>
    </cfRule>
  </conditionalFormatting>
  <conditionalFormatting sqref="AL6">
    <cfRule type="containsText" dxfId="532" priority="534" operator="containsText" text="FAT">
      <formula>NOT(ISERROR(SEARCH("FAT",AL6)))</formula>
    </cfRule>
    <cfRule type="containsText" dxfId="531" priority="535" operator="containsText" text="FIRE">
      <formula>NOT(ISERROR(SEARCH("FIRE",AL6)))</formula>
    </cfRule>
    <cfRule type="containsText" dxfId="530" priority="536" operator="containsText" text="COSH">
      <formula>NOT(ISERROR(SEARCH("COSH",AL6)))</formula>
    </cfRule>
  </conditionalFormatting>
  <conditionalFormatting sqref="AL5">
    <cfRule type="containsText" dxfId="529" priority="531" operator="containsText" text="FAT">
      <formula>NOT(ISERROR(SEARCH("FAT",AL5)))</formula>
    </cfRule>
    <cfRule type="containsText" dxfId="528" priority="532" operator="containsText" text="FIRE">
      <formula>NOT(ISERROR(SEARCH("FIRE",AL5)))</formula>
    </cfRule>
    <cfRule type="containsText" dxfId="527" priority="533" operator="containsText" text="COSH">
      <formula>NOT(ISERROR(SEARCH("COSH",AL5)))</formula>
    </cfRule>
  </conditionalFormatting>
  <conditionalFormatting sqref="AL39:AL54 AL56 AL94:AL116">
    <cfRule type="cellIs" dxfId="526" priority="529" operator="between">
      <formula>1</formula>
      <formula>3</formula>
    </cfRule>
  </conditionalFormatting>
  <conditionalFormatting sqref="AL55 AL57:AL58 AL60">
    <cfRule type="cellIs" dxfId="525" priority="530" operator="between">
      <formula>1</formula>
      <formula>3</formula>
    </cfRule>
  </conditionalFormatting>
  <conditionalFormatting sqref="AL9">
    <cfRule type="containsText" dxfId="524" priority="526" operator="containsText" text="FAT">
      <formula>NOT(ISERROR(SEARCH("FAT",AL9)))</formula>
    </cfRule>
    <cfRule type="containsText" dxfId="523" priority="527" operator="containsText" text="FIRE">
      <formula>NOT(ISERROR(SEARCH("FIRE",AL9)))</formula>
    </cfRule>
    <cfRule type="containsText" dxfId="522" priority="528" operator="containsText" text="COSH">
      <formula>NOT(ISERROR(SEARCH("COSH",AL9)))</formula>
    </cfRule>
  </conditionalFormatting>
  <conditionalFormatting sqref="AL7">
    <cfRule type="containsText" dxfId="521" priority="523" operator="containsText" text="FAT">
      <formula>NOT(ISERROR(SEARCH("FAT",AL7)))</formula>
    </cfRule>
    <cfRule type="containsText" dxfId="520" priority="524" operator="containsText" text="FIRE">
      <formula>NOT(ISERROR(SEARCH("FIRE",AL7)))</formula>
    </cfRule>
    <cfRule type="containsText" dxfId="519" priority="525" operator="containsText" text="COSH">
      <formula>NOT(ISERROR(SEARCH("COSH",AL7)))</formula>
    </cfRule>
  </conditionalFormatting>
  <conditionalFormatting sqref="AL63">
    <cfRule type="containsText" dxfId="518" priority="520" operator="containsText" text="FAT">
      <formula>NOT(ISERROR(SEARCH("FAT",AL63)))</formula>
    </cfRule>
    <cfRule type="containsText" dxfId="517" priority="521" operator="containsText" text="FIRE">
      <formula>NOT(ISERROR(SEARCH("FIRE",AL63)))</formula>
    </cfRule>
    <cfRule type="containsText" dxfId="516" priority="522" operator="containsText" text="COSH">
      <formula>NOT(ISERROR(SEARCH("COSH",AL63)))</formula>
    </cfRule>
  </conditionalFormatting>
  <conditionalFormatting sqref="AL90">
    <cfRule type="containsText" dxfId="515" priority="517" operator="containsText" text="FAT">
      <formula>NOT(ISERROR(SEARCH("FAT",AL90)))</formula>
    </cfRule>
    <cfRule type="containsText" dxfId="514" priority="518" operator="containsText" text="FIRE">
      <formula>NOT(ISERROR(SEARCH("FIRE",AL90)))</formula>
    </cfRule>
    <cfRule type="containsText" dxfId="513" priority="519" operator="containsText" text="COSH">
      <formula>NOT(ISERROR(SEARCH("COSH",AL90)))</formula>
    </cfRule>
  </conditionalFormatting>
  <conditionalFormatting sqref="AL90">
    <cfRule type="containsText" dxfId="512" priority="514" operator="containsText" text="FAT">
      <formula>NOT(ISERROR(SEARCH("FAT",AL90)))</formula>
    </cfRule>
    <cfRule type="containsText" dxfId="511" priority="515" operator="containsText" text="FIRE">
      <formula>NOT(ISERROR(SEARCH("FIRE",AL90)))</formula>
    </cfRule>
    <cfRule type="containsText" dxfId="510" priority="516" operator="containsText" text="COSH">
      <formula>NOT(ISERROR(SEARCH("COSH",AL90)))</formula>
    </cfRule>
  </conditionalFormatting>
  <conditionalFormatting sqref="AL93">
    <cfRule type="containsText" dxfId="509" priority="511" operator="containsText" text="FAT">
      <formula>NOT(ISERROR(SEARCH("FAT",AL93)))</formula>
    </cfRule>
    <cfRule type="containsText" dxfId="508" priority="512" operator="containsText" text="FIRE">
      <formula>NOT(ISERROR(SEARCH("FIRE",AL93)))</formula>
    </cfRule>
    <cfRule type="containsText" dxfId="507" priority="513" operator="containsText" text="COSH">
      <formula>NOT(ISERROR(SEARCH("COSH",AL93)))</formula>
    </cfRule>
  </conditionalFormatting>
  <conditionalFormatting sqref="AL8">
    <cfRule type="containsText" dxfId="506" priority="508" operator="containsText" text="FAT">
      <formula>NOT(ISERROR(SEARCH("FAT",AL8)))</formula>
    </cfRule>
    <cfRule type="containsText" dxfId="505" priority="509" operator="containsText" text="FIRE">
      <formula>NOT(ISERROR(SEARCH("FIRE",AL8)))</formula>
    </cfRule>
    <cfRule type="containsText" dxfId="504" priority="510" operator="containsText" text="COSH">
      <formula>NOT(ISERROR(SEARCH("COSH",AL8)))</formula>
    </cfRule>
  </conditionalFormatting>
  <conditionalFormatting sqref="AL8">
    <cfRule type="containsText" dxfId="503" priority="505" operator="containsText" text="FAT">
      <formula>NOT(ISERROR(SEARCH("FAT",AL8)))</formula>
    </cfRule>
    <cfRule type="containsText" dxfId="502" priority="506" operator="containsText" text="FIRE">
      <formula>NOT(ISERROR(SEARCH("FIRE",AL8)))</formula>
    </cfRule>
    <cfRule type="containsText" dxfId="501" priority="507" operator="containsText" text="COSH">
      <formula>NOT(ISERROR(SEARCH("COSH",AL8)))</formula>
    </cfRule>
  </conditionalFormatting>
  <conditionalFormatting sqref="AL8">
    <cfRule type="containsText" dxfId="500" priority="502" operator="containsText" text="FAT">
      <formula>NOT(ISERROR(SEARCH("FAT",AL8)))</formula>
    </cfRule>
    <cfRule type="containsText" dxfId="499" priority="503" operator="containsText" text="FIRE">
      <formula>NOT(ISERROR(SEARCH("FIRE",AL8)))</formula>
    </cfRule>
    <cfRule type="containsText" dxfId="498" priority="504" operator="containsText" text="COSH">
      <formula>NOT(ISERROR(SEARCH("COSH",AL8)))</formula>
    </cfRule>
  </conditionalFormatting>
  <conditionalFormatting sqref="AL64">
    <cfRule type="containsText" dxfId="497" priority="499" operator="containsText" text="FAT">
      <formula>NOT(ISERROR(SEARCH("FAT",AL64)))</formula>
    </cfRule>
    <cfRule type="containsText" dxfId="496" priority="500" operator="containsText" text="FIRE">
      <formula>NOT(ISERROR(SEARCH("FIRE",AL64)))</formula>
    </cfRule>
    <cfRule type="containsText" dxfId="495" priority="501" operator="containsText" text="COSH">
      <formula>NOT(ISERROR(SEARCH("COSH",AL64)))</formula>
    </cfRule>
  </conditionalFormatting>
  <conditionalFormatting sqref="AL64">
    <cfRule type="containsText" dxfId="494" priority="496" operator="containsText" text="FAT">
      <formula>NOT(ISERROR(SEARCH("FAT",AL64)))</formula>
    </cfRule>
    <cfRule type="containsText" dxfId="493" priority="497" operator="containsText" text="FIRE">
      <formula>NOT(ISERROR(SEARCH("FIRE",AL64)))</formula>
    </cfRule>
    <cfRule type="containsText" dxfId="492" priority="498" operator="containsText" text="COSH">
      <formula>NOT(ISERROR(SEARCH("COSH",AL64)))</formula>
    </cfRule>
  </conditionalFormatting>
  <conditionalFormatting sqref="AL91">
    <cfRule type="containsText" dxfId="491" priority="493" operator="containsText" text="FAT">
      <formula>NOT(ISERROR(SEARCH("FAT",AL91)))</formula>
    </cfRule>
    <cfRule type="containsText" dxfId="490" priority="494" operator="containsText" text="FIRE">
      <formula>NOT(ISERROR(SEARCH("FIRE",AL91)))</formula>
    </cfRule>
    <cfRule type="containsText" dxfId="489" priority="495" operator="containsText" text="COSH">
      <formula>NOT(ISERROR(SEARCH("COSH",AL91)))</formula>
    </cfRule>
  </conditionalFormatting>
  <conditionalFormatting sqref="AL91">
    <cfRule type="containsText" dxfId="488" priority="490" operator="containsText" text="FAT">
      <formula>NOT(ISERROR(SEARCH("FAT",AL91)))</formula>
    </cfRule>
    <cfRule type="containsText" dxfId="487" priority="491" operator="containsText" text="FIRE">
      <formula>NOT(ISERROR(SEARCH("FIRE",AL91)))</formula>
    </cfRule>
    <cfRule type="containsText" dxfId="486" priority="492" operator="containsText" text="COSH">
      <formula>NOT(ISERROR(SEARCH("COSH",AL91)))</formula>
    </cfRule>
  </conditionalFormatting>
  <conditionalFormatting sqref="AL93">
    <cfRule type="containsText" dxfId="485" priority="487" operator="containsText" text="FAT">
      <formula>NOT(ISERROR(SEARCH("FAT",AL93)))</formula>
    </cfRule>
    <cfRule type="containsText" dxfId="484" priority="488" operator="containsText" text="FIRE">
      <formula>NOT(ISERROR(SEARCH("FIRE",AL93)))</formula>
    </cfRule>
    <cfRule type="containsText" dxfId="483" priority="489" operator="containsText" text="COSH">
      <formula>NOT(ISERROR(SEARCH("COSH",AL93)))</formula>
    </cfRule>
  </conditionalFormatting>
  <conditionalFormatting sqref="AL37">
    <cfRule type="containsText" dxfId="482" priority="484" operator="containsText" text="FAT">
      <formula>NOT(ISERROR(SEARCH("FAT",AL37)))</formula>
    </cfRule>
    <cfRule type="containsText" dxfId="481" priority="485" operator="containsText" text="FIRE">
      <formula>NOT(ISERROR(SEARCH("FIRE",AL37)))</formula>
    </cfRule>
    <cfRule type="containsText" dxfId="480" priority="486" operator="containsText" text="COSH">
      <formula>NOT(ISERROR(SEARCH("COSH",AL37)))</formula>
    </cfRule>
  </conditionalFormatting>
  <conditionalFormatting sqref="AL65">
    <cfRule type="containsText" dxfId="479" priority="481" operator="containsText" text="FAT">
      <formula>NOT(ISERROR(SEARCH("FAT",AL65)))</formula>
    </cfRule>
    <cfRule type="containsText" dxfId="478" priority="482" operator="containsText" text="FIRE">
      <formula>NOT(ISERROR(SEARCH("FIRE",AL65)))</formula>
    </cfRule>
    <cfRule type="containsText" dxfId="477" priority="483" operator="containsText" text="COSH">
      <formula>NOT(ISERROR(SEARCH("COSH",AL65)))</formula>
    </cfRule>
  </conditionalFormatting>
  <conditionalFormatting sqref="AL92">
    <cfRule type="containsText" dxfId="476" priority="478" operator="containsText" text="FAT">
      <formula>NOT(ISERROR(SEARCH("FAT",AL92)))</formula>
    </cfRule>
    <cfRule type="containsText" dxfId="475" priority="479" operator="containsText" text="FIRE">
      <formula>NOT(ISERROR(SEARCH("FIRE",AL92)))</formula>
    </cfRule>
    <cfRule type="containsText" dxfId="474" priority="480" operator="containsText" text="COSH">
      <formula>NOT(ISERROR(SEARCH("COSH",AL92)))</formula>
    </cfRule>
  </conditionalFormatting>
  <conditionalFormatting sqref="AL93">
    <cfRule type="containsText" dxfId="473" priority="475" operator="containsText" text="FAT">
      <formula>NOT(ISERROR(SEARCH("FAT",AL93)))</formula>
    </cfRule>
    <cfRule type="containsText" dxfId="472" priority="476" operator="containsText" text="FIRE">
      <formula>NOT(ISERROR(SEARCH("FIRE",AL93)))</formula>
    </cfRule>
    <cfRule type="containsText" dxfId="471" priority="477" operator="containsText" text="COSH">
      <formula>NOT(ISERROR(SEARCH("COSH",AL93)))</formula>
    </cfRule>
  </conditionalFormatting>
  <conditionalFormatting sqref="AL39:AL58 AL60">
    <cfRule type="cellIs" dxfId="470" priority="474" operator="equal">
      <formula>0</formula>
    </cfRule>
  </conditionalFormatting>
  <conditionalFormatting sqref="AL35">
    <cfRule type="containsText" dxfId="469" priority="471" operator="containsText" text="FAT">
      <formula>NOT(ISERROR(SEARCH("FAT",AL35)))</formula>
    </cfRule>
    <cfRule type="containsText" dxfId="468" priority="472" operator="containsText" text="FIRE">
      <formula>NOT(ISERROR(SEARCH("FIRE",AL35)))</formula>
    </cfRule>
    <cfRule type="containsText" dxfId="467" priority="473" operator="containsText" text="COSH">
      <formula>NOT(ISERROR(SEARCH("COSH",AL35)))</formula>
    </cfRule>
  </conditionalFormatting>
  <conditionalFormatting sqref="AL35">
    <cfRule type="containsText" dxfId="466" priority="468" operator="containsText" text="FAT">
      <formula>NOT(ISERROR(SEARCH("FAT",AL35)))</formula>
    </cfRule>
    <cfRule type="containsText" dxfId="465" priority="469" operator="containsText" text="FIRE">
      <formula>NOT(ISERROR(SEARCH("FIRE",AL35)))</formula>
    </cfRule>
    <cfRule type="containsText" dxfId="464" priority="470" operator="containsText" text="COSH">
      <formula>NOT(ISERROR(SEARCH("COSH",AL35)))</formula>
    </cfRule>
  </conditionalFormatting>
  <conditionalFormatting sqref="AL36">
    <cfRule type="containsText" dxfId="463" priority="465" operator="containsText" text="FAT">
      <formula>NOT(ISERROR(SEARCH("FAT",AL36)))</formula>
    </cfRule>
    <cfRule type="containsText" dxfId="462" priority="466" operator="containsText" text="FIRE">
      <formula>NOT(ISERROR(SEARCH("FIRE",AL36)))</formula>
    </cfRule>
    <cfRule type="containsText" dxfId="461" priority="467" operator="containsText" text="COSH">
      <formula>NOT(ISERROR(SEARCH("COSH",AL36)))</formula>
    </cfRule>
  </conditionalFormatting>
  <conditionalFormatting sqref="AL41">
    <cfRule type="containsText" dxfId="460" priority="462" operator="containsText" text="FAT">
      <formula>NOT(ISERROR(SEARCH("FAT",AL41)))</formula>
    </cfRule>
    <cfRule type="containsText" dxfId="459" priority="463" operator="containsText" text="FIRE">
      <formula>NOT(ISERROR(SEARCH("FIRE",AL41)))</formula>
    </cfRule>
    <cfRule type="containsText" dxfId="458" priority="464" operator="containsText" text="COSH">
      <formula>NOT(ISERROR(SEARCH("COSH",AL41)))</formula>
    </cfRule>
  </conditionalFormatting>
  <conditionalFormatting sqref="AL41">
    <cfRule type="containsText" dxfId="457" priority="459" operator="containsText" text="FAT">
      <formula>NOT(ISERROR(SEARCH("FAT",AL41)))</formula>
    </cfRule>
    <cfRule type="containsText" dxfId="456" priority="460" operator="containsText" text="FIRE">
      <formula>NOT(ISERROR(SEARCH("FIRE",AL41)))</formula>
    </cfRule>
    <cfRule type="containsText" dxfId="455" priority="461" operator="containsText" text="COSH">
      <formula>NOT(ISERROR(SEARCH("COSH",AL41)))</formula>
    </cfRule>
  </conditionalFormatting>
  <conditionalFormatting sqref="AL16:AL17 AL29 AL27 AL24:AL25 AL19:AL21 AL31:AL33">
    <cfRule type="containsText" dxfId="454" priority="456" operator="containsText" text="FAT">
      <formula>NOT(ISERROR(SEARCH("FAT",AL16)))</formula>
    </cfRule>
    <cfRule type="containsText" dxfId="453" priority="457" operator="containsText" text="FIRE">
      <formula>NOT(ISERROR(SEARCH("FIRE",AL16)))</formula>
    </cfRule>
    <cfRule type="containsText" dxfId="452" priority="458" operator="containsText" text="COSH">
      <formula>NOT(ISERROR(SEARCH("COSH",AL16)))</formula>
    </cfRule>
  </conditionalFormatting>
  <conditionalFormatting sqref="AL23">
    <cfRule type="containsText" dxfId="451" priority="453" operator="containsText" text="FAT">
      <formula>NOT(ISERROR(SEARCH("FAT",AL23)))</formula>
    </cfRule>
    <cfRule type="containsText" dxfId="450" priority="454" operator="containsText" text="FIRE">
      <formula>NOT(ISERROR(SEARCH("FIRE",AL23)))</formula>
    </cfRule>
    <cfRule type="containsText" dxfId="449" priority="455" operator="containsText" text="COSH">
      <formula>NOT(ISERROR(SEARCH("COSH",AL23)))</formula>
    </cfRule>
  </conditionalFormatting>
  <conditionalFormatting sqref="AL30">
    <cfRule type="containsText" dxfId="448" priority="450" operator="containsText" text="FAT">
      <formula>NOT(ISERROR(SEARCH("FAT",AL30)))</formula>
    </cfRule>
    <cfRule type="containsText" dxfId="447" priority="451" operator="containsText" text="FIRE">
      <formula>NOT(ISERROR(SEARCH("FIRE",AL30)))</formula>
    </cfRule>
    <cfRule type="containsText" dxfId="446" priority="452" operator="containsText" text="COSH">
      <formula>NOT(ISERROR(SEARCH("COSH",AL30)))</formula>
    </cfRule>
  </conditionalFormatting>
  <conditionalFormatting sqref="AL18">
    <cfRule type="containsText" dxfId="445" priority="447" operator="containsText" text="FAT">
      <formula>NOT(ISERROR(SEARCH("FAT",AL18)))</formula>
    </cfRule>
    <cfRule type="containsText" dxfId="444" priority="448" operator="containsText" text="FIRE">
      <formula>NOT(ISERROR(SEARCH("FIRE",AL18)))</formula>
    </cfRule>
    <cfRule type="containsText" dxfId="443" priority="449" operator="containsText" text="COSH">
      <formula>NOT(ISERROR(SEARCH("COSH",AL18)))</formula>
    </cfRule>
  </conditionalFormatting>
  <conditionalFormatting sqref="AL26">
    <cfRule type="containsText" dxfId="442" priority="444" operator="containsText" text="FAT">
      <formula>NOT(ISERROR(SEARCH("FAT",AL26)))</formula>
    </cfRule>
    <cfRule type="containsText" dxfId="441" priority="445" operator="containsText" text="FIRE">
      <formula>NOT(ISERROR(SEARCH("FIRE",AL26)))</formula>
    </cfRule>
    <cfRule type="containsText" dxfId="440" priority="446" operator="containsText" text="COSH">
      <formula>NOT(ISERROR(SEARCH("COSH",AL26)))</formula>
    </cfRule>
  </conditionalFormatting>
  <conditionalFormatting sqref="AL28">
    <cfRule type="containsText" dxfId="439" priority="441" operator="containsText" text="FAT">
      <formula>NOT(ISERROR(SEARCH("FAT",AL28)))</formula>
    </cfRule>
    <cfRule type="containsText" dxfId="438" priority="442" operator="containsText" text="FIRE">
      <formula>NOT(ISERROR(SEARCH("FIRE",AL28)))</formula>
    </cfRule>
    <cfRule type="containsText" dxfId="437" priority="443" operator="containsText" text="COSH">
      <formula>NOT(ISERROR(SEARCH("COSH",AL28)))</formula>
    </cfRule>
  </conditionalFormatting>
  <conditionalFormatting sqref="AL13">
    <cfRule type="containsText" dxfId="436" priority="438" operator="containsText" text="FAT">
      <formula>NOT(ISERROR(SEARCH("FAT",AL13)))</formula>
    </cfRule>
    <cfRule type="containsText" dxfId="435" priority="439" operator="containsText" text="FIRE">
      <formula>NOT(ISERROR(SEARCH("FIRE",AL13)))</formula>
    </cfRule>
    <cfRule type="containsText" dxfId="434" priority="440" operator="containsText" text="COSH">
      <formula>NOT(ISERROR(SEARCH("COSH",AL13)))</formula>
    </cfRule>
  </conditionalFormatting>
  <conditionalFormatting sqref="AL14:AL15">
    <cfRule type="containsText" dxfId="433" priority="435" operator="containsText" text="FAT">
      <formula>NOT(ISERROR(SEARCH("FAT",AL14)))</formula>
    </cfRule>
    <cfRule type="containsText" dxfId="432" priority="436" operator="containsText" text="FIRE">
      <formula>NOT(ISERROR(SEARCH("FIRE",AL14)))</formula>
    </cfRule>
    <cfRule type="containsText" dxfId="431" priority="437" operator="containsText" text="COSH">
      <formula>NOT(ISERROR(SEARCH("COSH",AL14)))</formula>
    </cfRule>
  </conditionalFormatting>
  <conditionalFormatting sqref="AL11:AL12">
    <cfRule type="containsText" dxfId="430" priority="432" operator="containsText" text="FAT">
      <formula>NOT(ISERROR(SEARCH("FAT",AL11)))</formula>
    </cfRule>
    <cfRule type="containsText" dxfId="429" priority="433" operator="containsText" text="FIRE">
      <formula>NOT(ISERROR(SEARCH("FIRE",AL11)))</formula>
    </cfRule>
    <cfRule type="containsText" dxfId="428" priority="434" operator="containsText" text="COSH">
      <formula>NOT(ISERROR(SEARCH("COSH",AL11)))</formula>
    </cfRule>
  </conditionalFormatting>
  <conditionalFormatting sqref="AL22">
    <cfRule type="containsText" dxfId="427" priority="429" operator="containsText" text="FAT">
      <formula>NOT(ISERROR(SEARCH("FAT",AL22)))</formula>
    </cfRule>
    <cfRule type="containsText" dxfId="426" priority="430" operator="containsText" text="FIRE">
      <formula>NOT(ISERROR(SEARCH("FIRE",AL22)))</formula>
    </cfRule>
    <cfRule type="containsText" dxfId="425" priority="431" operator="containsText" text="COSH">
      <formula>NOT(ISERROR(SEARCH("COSH",AL22)))</formula>
    </cfRule>
  </conditionalFormatting>
  <conditionalFormatting sqref="AL11:AL33">
    <cfRule type="cellIs" dxfId="424" priority="428" operator="between">
      <formula>1</formula>
      <formula>3</formula>
    </cfRule>
  </conditionalFormatting>
  <conditionalFormatting sqref="AL11:AL33">
    <cfRule type="cellIs" dxfId="423" priority="427" operator="equal">
      <formula>0</formula>
    </cfRule>
  </conditionalFormatting>
  <conditionalFormatting sqref="AL13">
    <cfRule type="containsText" dxfId="422" priority="424" operator="containsText" text="FAT">
      <formula>NOT(ISERROR(SEARCH("FAT",AL13)))</formula>
    </cfRule>
    <cfRule type="containsText" dxfId="421" priority="425" operator="containsText" text="FIRE">
      <formula>NOT(ISERROR(SEARCH("FIRE",AL13)))</formula>
    </cfRule>
    <cfRule type="containsText" dxfId="420" priority="426" operator="containsText" text="COSH">
      <formula>NOT(ISERROR(SEARCH("COSH",AL13)))</formula>
    </cfRule>
  </conditionalFormatting>
  <conditionalFormatting sqref="AL13">
    <cfRule type="containsText" dxfId="419" priority="421" operator="containsText" text="FAT">
      <formula>NOT(ISERROR(SEARCH("FAT",AL13)))</formula>
    </cfRule>
    <cfRule type="containsText" dxfId="418" priority="422" operator="containsText" text="FIRE">
      <formula>NOT(ISERROR(SEARCH("FIRE",AL13)))</formula>
    </cfRule>
    <cfRule type="containsText" dxfId="417" priority="423" operator="containsText" text="COSH">
      <formula>NOT(ISERROR(SEARCH("COSH",AL13)))</formula>
    </cfRule>
  </conditionalFormatting>
  <conditionalFormatting sqref="AL80 AL82 AL86">
    <cfRule type="containsText" dxfId="416" priority="418" operator="containsText" text="FAT">
      <formula>NOT(ISERROR(SEARCH("FAT",AL80)))</formula>
    </cfRule>
    <cfRule type="containsText" dxfId="415" priority="419" operator="containsText" text="FIRE">
      <formula>NOT(ISERROR(SEARCH("FIRE",AL80)))</formula>
    </cfRule>
    <cfRule type="containsText" dxfId="414" priority="420" operator="containsText" text="COSH">
      <formula>NOT(ISERROR(SEARCH("COSH",AL80)))</formula>
    </cfRule>
  </conditionalFormatting>
  <conditionalFormatting sqref="AL82">
    <cfRule type="containsText" dxfId="413" priority="415" operator="containsText" text="FAT">
      <formula>NOT(ISERROR(SEARCH("FAT",AL82)))</formula>
    </cfRule>
    <cfRule type="containsText" dxfId="412" priority="416" operator="containsText" text="FIRE">
      <formula>NOT(ISERROR(SEARCH("FIRE",AL82)))</formula>
    </cfRule>
    <cfRule type="containsText" dxfId="411" priority="417" operator="containsText" text="COSH">
      <formula>NOT(ISERROR(SEARCH("COSH",AL82)))</formula>
    </cfRule>
  </conditionalFormatting>
  <conditionalFormatting sqref="AL69">
    <cfRule type="containsText" dxfId="410" priority="412" operator="containsText" text="FAT">
      <formula>NOT(ISERROR(SEARCH("FAT",AL69)))</formula>
    </cfRule>
    <cfRule type="containsText" dxfId="409" priority="413" operator="containsText" text="FIRE">
      <formula>NOT(ISERROR(SEARCH("FIRE",AL69)))</formula>
    </cfRule>
    <cfRule type="containsText" dxfId="408" priority="414" operator="containsText" text="COSH">
      <formula>NOT(ISERROR(SEARCH("COSH",AL69)))</formula>
    </cfRule>
  </conditionalFormatting>
  <conditionalFormatting sqref="AL67 AL69 AL85 AL87 AL77:AL79 AL82:AL83 AL72:AL75">
    <cfRule type="containsText" dxfId="407" priority="409" operator="containsText" text="FAT">
      <formula>NOT(ISERROR(SEARCH("FAT",AL67)))</formula>
    </cfRule>
    <cfRule type="containsText" dxfId="406" priority="410" operator="containsText" text="FIRE">
      <formula>NOT(ISERROR(SEARCH("FIRE",AL67)))</formula>
    </cfRule>
    <cfRule type="containsText" dxfId="405" priority="411" operator="containsText" text="COSH">
      <formula>NOT(ISERROR(SEARCH("COSH",AL67)))</formula>
    </cfRule>
  </conditionalFormatting>
  <conditionalFormatting sqref="AL68">
    <cfRule type="containsText" dxfId="404" priority="406" operator="containsText" text="FAT">
      <formula>NOT(ISERROR(SEARCH("FAT",AL68)))</formula>
    </cfRule>
    <cfRule type="containsText" dxfId="403" priority="407" operator="containsText" text="FIRE">
      <formula>NOT(ISERROR(SEARCH("FIRE",AL68)))</formula>
    </cfRule>
    <cfRule type="containsText" dxfId="402" priority="408" operator="containsText" text="COSH">
      <formula>NOT(ISERROR(SEARCH("COSH",AL68)))</formula>
    </cfRule>
  </conditionalFormatting>
  <conditionalFormatting sqref="AL81">
    <cfRule type="containsText" dxfId="401" priority="403" operator="containsText" text="FAT">
      <formula>NOT(ISERROR(SEARCH("FAT",AL81)))</formula>
    </cfRule>
    <cfRule type="containsText" dxfId="400" priority="404" operator="containsText" text="FIRE">
      <formula>NOT(ISERROR(SEARCH("FIRE",AL81)))</formula>
    </cfRule>
    <cfRule type="containsText" dxfId="399" priority="405" operator="containsText" text="COSH">
      <formula>NOT(ISERROR(SEARCH("COSH",AL81)))</formula>
    </cfRule>
  </conditionalFormatting>
  <conditionalFormatting sqref="AL76">
    <cfRule type="containsText" dxfId="398" priority="400" operator="containsText" text="FAT">
      <formula>NOT(ISERROR(SEARCH("FAT",AL76)))</formula>
    </cfRule>
    <cfRule type="containsText" dxfId="397" priority="401" operator="containsText" text="FIRE">
      <formula>NOT(ISERROR(SEARCH("FIRE",AL76)))</formula>
    </cfRule>
    <cfRule type="containsText" dxfId="396" priority="402" operator="containsText" text="COSH">
      <formula>NOT(ISERROR(SEARCH("COSH",AL76)))</formula>
    </cfRule>
  </conditionalFormatting>
  <conditionalFormatting sqref="AL84">
    <cfRule type="containsText" dxfId="395" priority="397" operator="containsText" text="FAT">
      <formula>NOT(ISERROR(SEARCH("FAT",AL84)))</formula>
    </cfRule>
    <cfRule type="containsText" dxfId="394" priority="398" operator="containsText" text="FIRE">
      <formula>NOT(ISERROR(SEARCH("FIRE",AL84)))</formula>
    </cfRule>
    <cfRule type="containsText" dxfId="393" priority="399" operator="containsText" text="COSH">
      <formula>NOT(ISERROR(SEARCH("COSH",AL84)))</formula>
    </cfRule>
  </conditionalFormatting>
  <conditionalFormatting sqref="AL86">
    <cfRule type="containsText" dxfId="392" priority="394" operator="containsText" text="FAT">
      <formula>NOT(ISERROR(SEARCH("FAT",AL86)))</formula>
    </cfRule>
    <cfRule type="containsText" dxfId="391" priority="395" operator="containsText" text="FIRE">
      <formula>NOT(ISERROR(SEARCH("FIRE",AL86)))</formula>
    </cfRule>
    <cfRule type="containsText" dxfId="390" priority="396" operator="containsText" text="COSH">
      <formula>NOT(ISERROR(SEARCH("COSH",AL86)))</formula>
    </cfRule>
  </conditionalFormatting>
  <conditionalFormatting sqref="AL71">
    <cfRule type="containsText" dxfId="389" priority="391" operator="containsText" text="FAT">
      <formula>NOT(ISERROR(SEARCH("FAT",AL71)))</formula>
    </cfRule>
    <cfRule type="containsText" dxfId="388" priority="392" operator="containsText" text="FIRE">
      <formula>NOT(ISERROR(SEARCH("FIRE",AL71)))</formula>
    </cfRule>
    <cfRule type="containsText" dxfId="387" priority="393" operator="containsText" text="COSH">
      <formula>NOT(ISERROR(SEARCH("COSH",AL71)))</formula>
    </cfRule>
  </conditionalFormatting>
  <conditionalFormatting sqref="AL80">
    <cfRule type="containsText" dxfId="386" priority="388" operator="containsText" text="FAT">
      <formula>NOT(ISERROR(SEARCH("FAT",AL80)))</formula>
    </cfRule>
    <cfRule type="containsText" dxfId="385" priority="389" operator="containsText" text="FIRE">
      <formula>NOT(ISERROR(SEARCH("FIRE",AL80)))</formula>
    </cfRule>
    <cfRule type="containsText" dxfId="384" priority="390" operator="containsText" text="COSH">
      <formula>NOT(ISERROR(SEARCH("COSH",AL80)))</formula>
    </cfRule>
  </conditionalFormatting>
  <conditionalFormatting sqref="AL80">
    <cfRule type="containsText" dxfId="383" priority="385" operator="containsText" text="FAT">
      <formula>NOT(ISERROR(SEARCH("FAT",AL80)))</formula>
    </cfRule>
    <cfRule type="containsText" dxfId="382" priority="386" operator="containsText" text="FIRE">
      <formula>NOT(ISERROR(SEARCH("FIRE",AL80)))</formula>
    </cfRule>
    <cfRule type="containsText" dxfId="381" priority="387" operator="containsText" text="COSH">
      <formula>NOT(ISERROR(SEARCH("COSH",AL80)))</formula>
    </cfRule>
  </conditionalFormatting>
  <conditionalFormatting sqref="AL69">
    <cfRule type="containsText" dxfId="380" priority="381" operator="containsText" text="FAT">
      <formula>NOT(ISERROR(SEARCH("FAT",AL69)))</formula>
    </cfRule>
    <cfRule type="containsText" dxfId="379" priority="382" operator="containsText" text="FIRE">
      <formula>NOT(ISERROR(SEARCH("FIRE",AL69)))</formula>
    </cfRule>
    <cfRule type="containsText" dxfId="378" priority="383" operator="containsText" text="COSH">
      <formula>NOT(ISERROR(SEARCH("COSH",AL69)))</formula>
    </cfRule>
  </conditionalFormatting>
  <conditionalFormatting sqref="AL69">
    <cfRule type="containsText" dxfId="377" priority="378" operator="containsText" text="FAT">
      <formula>NOT(ISERROR(SEARCH("FAT",AL69)))</formula>
    </cfRule>
    <cfRule type="containsText" dxfId="376" priority="379" operator="containsText" text="FIRE">
      <formula>NOT(ISERROR(SEARCH("FIRE",AL69)))</formula>
    </cfRule>
    <cfRule type="containsText" dxfId="375" priority="380" operator="containsText" text="COSH">
      <formula>NOT(ISERROR(SEARCH("COSH",AL69)))</formula>
    </cfRule>
  </conditionalFormatting>
  <conditionalFormatting sqref="AL69">
    <cfRule type="containsText" dxfId="374" priority="375" operator="containsText" text="FAT">
      <formula>NOT(ISERROR(SEARCH("FAT",AL69)))</formula>
    </cfRule>
    <cfRule type="containsText" dxfId="373" priority="376" operator="containsText" text="FIRE">
      <formula>NOT(ISERROR(SEARCH("FIRE",AL69)))</formula>
    </cfRule>
    <cfRule type="containsText" dxfId="372" priority="377" operator="containsText" text="COSH">
      <formula>NOT(ISERROR(SEARCH("COSH",AL69)))</formula>
    </cfRule>
  </conditionalFormatting>
  <conditionalFormatting sqref="AL69">
    <cfRule type="containsText" dxfId="371" priority="372" operator="containsText" text="FAT">
      <formula>NOT(ISERROR(SEARCH("FAT",AL69)))</formula>
    </cfRule>
    <cfRule type="containsText" dxfId="370" priority="373" operator="containsText" text="FIRE">
      <formula>NOT(ISERROR(SEARCH("FIRE",AL69)))</formula>
    </cfRule>
    <cfRule type="containsText" dxfId="369" priority="374" operator="containsText" text="COSH">
      <formula>NOT(ISERROR(SEARCH("COSH",AL69)))</formula>
    </cfRule>
  </conditionalFormatting>
  <conditionalFormatting sqref="AL69">
    <cfRule type="containsText" dxfId="368" priority="369" operator="containsText" text="FAT">
      <formula>NOT(ISERROR(SEARCH("FAT",AL69)))</formula>
    </cfRule>
    <cfRule type="containsText" dxfId="367" priority="370" operator="containsText" text="FIRE">
      <formula>NOT(ISERROR(SEARCH("FIRE",AL69)))</formula>
    </cfRule>
    <cfRule type="containsText" dxfId="366" priority="371" operator="containsText" text="COSH">
      <formula>NOT(ISERROR(SEARCH("COSH",AL69)))</formula>
    </cfRule>
  </conditionalFormatting>
  <conditionalFormatting sqref="AL69">
    <cfRule type="containsText" dxfId="365" priority="366" operator="containsText" text="FAT">
      <formula>NOT(ISERROR(SEARCH("FAT",AL69)))</formula>
    </cfRule>
    <cfRule type="containsText" dxfId="364" priority="367" operator="containsText" text="FIRE">
      <formula>NOT(ISERROR(SEARCH("FIRE",AL69)))</formula>
    </cfRule>
    <cfRule type="containsText" dxfId="363" priority="368" operator="containsText" text="COSH">
      <formula>NOT(ISERROR(SEARCH("COSH",AL69)))</formula>
    </cfRule>
  </conditionalFormatting>
  <conditionalFormatting sqref="AL69">
    <cfRule type="containsText" dxfId="362" priority="363" operator="containsText" text="FAT">
      <formula>NOT(ISERROR(SEARCH("FAT",AL69)))</formula>
    </cfRule>
    <cfRule type="containsText" dxfId="361" priority="364" operator="containsText" text="FIRE">
      <formula>NOT(ISERROR(SEARCH("FIRE",AL69)))</formula>
    </cfRule>
    <cfRule type="containsText" dxfId="360" priority="365" operator="containsText" text="COSH">
      <formula>NOT(ISERROR(SEARCH("COSH",AL69)))</formula>
    </cfRule>
  </conditionalFormatting>
  <conditionalFormatting sqref="AL69">
    <cfRule type="containsText" dxfId="359" priority="360" operator="containsText" text="FAT">
      <formula>NOT(ISERROR(SEARCH("FAT",AL69)))</formula>
    </cfRule>
    <cfRule type="containsText" dxfId="358" priority="361" operator="containsText" text="FIRE">
      <formula>NOT(ISERROR(SEARCH("FIRE",AL69)))</formula>
    </cfRule>
    <cfRule type="containsText" dxfId="357" priority="362" operator="containsText" text="COSH">
      <formula>NOT(ISERROR(SEARCH("COSH",AL69)))</formula>
    </cfRule>
  </conditionalFormatting>
  <conditionalFormatting sqref="AL69">
    <cfRule type="containsText" dxfId="356" priority="357" operator="containsText" text="FAT">
      <formula>NOT(ISERROR(SEARCH("FAT",AL69)))</formula>
    </cfRule>
    <cfRule type="containsText" dxfId="355" priority="358" operator="containsText" text="FIRE">
      <formula>NOT(ISERROR(SEARCH("FIRE",AL69)))</formula>
    </cfRule>
    <cfRule type="containsText" dxfId="354" priority="359" operator="containsText" text="COSH">
      <formula>NOT(ISERROR(SEARCH("COSH",AL69)))</formula>
    </cfRule>
  </conditionalFormatting>
  <conditionalFormatting sqref="AL69">
    <cfRule type="containsText" dxfId="353" priority="354" operator="containsText" text="FAT">
      <formula>NOT(ISERROR(SEARCH("FAT",AL69)))</formula>
    </cfRule>
    <cfRule type="containsText" dxfId="352" priority="355" operator="containsText" text="FIRE">
      <formula>NOT(ISERROR(SEARCH("FIRE",AL69)))</formula>
    </cfRule>
    <cfRule type="containsText" dxfId="351" priority="356" operator="containsText" text="COSH">
      <formula>NOT(ISERROR(SEARCH("COSH",AL69)))</formula>
    </cfRule>
  </conditionalFormatting>
  <conditionalFormatting sqref="AL80 AL82">
    <cfRule type="containsText" dxfId="350" priority="351" operator="containsText" text="FAT">
      <formula>NOT(ISERROR(SEARCH("FAT",AL80)))</formula>
    </cfRule>
    <cfRule type="containsText" dxfId="349" priority="352" operator="containsText" text="FIRE">
      <formula>NOT(ISERROR(SEARCH("FIRE",AL80)))</formula>
    </cfRule>
    <cfRule type="containsText" dxfId="348" priority="353" operator="containsText" text="COSH">
      <formula>NOT(ISERROR(SEARCH("COSH",AL80)))</formula>
    </cfRule>
  </conditionalFormatting>
  <conditionalFormatting sqref="AL80 AL82">
    <cfRule type="containsText" dxfId="347" priority="348" operator="containsText" text="FAT">
      <formula>NOT(ISERROR(SEARCH("FAT",AL80)))</formula>
    </cfRule>
    <cfRule type="containsText" dxfId="346" priority="349" operator="containsText" text="FIRE">
      <formula>NOT(ISERROR(SEARCH("FIRE",AL80)))</formula>
    </cfRule>
    <cfRule type="containsText" dxfId="345" priority="350" operator="containsText" text="COSH">
      <formula>NOT(ISERROR(SEARCH("COSH",AL80)))</formula>
    </cfRule>
  </conditionalFormatting>
  <conditionalFormatting sqref="AL80 AL82">
    <cfRule type="containsText" dxfId="344" priority="345" operator="containsText" text="FAT">
      <formula>NOT(ISERROR(SEARCH("FAT",AL80)))</formula>
    </cfRule>
    <cfRule type="containsText" dxfId="343" priority="346" operator="containsText" text="FIRE">
      <formula>NOT(ISERROR(SEARCH("FIRE",AL80)))</formula>
    </cfRule>
    <cfRule type="containsText" dxfId="342" priority="347" operator="containsText" text="COSH">
      <formula>NOT(ISERROR(SEARCH("COSH",AL80)))</formula>
    </cfRule>
  </conditionalFormatting>
  <conditionalFormatting sqref="AL80 AL82">
    <cfRule type="containsText" dxfId="341" priority="342" operator="containsText" text="FAT">
      <formula>NOT(ISERROR(SEARCH("FAT",AL80)))</formula>
    </cfRule>
    <cfRule type="containsText" dxfId="340" priority="343" operator="containsText" text="FIRE">
      <formula>NOT(ISERROR(SEARCH("FIRE",AL80)))</formula>
    </cfRule>
    <cfRule type="containsText" dxfId="339" priority="344" operator="containsText" text="COSH">
      <formula>NOT(ISERROR(SEARCH("COSH",AL80)))</formula>
    </cfRule>
  </conditionalFormatting>
  <conditionalFormatting sqref="AL80 AL82">
    <cfRule type="containsText" dxfId="338" priority="339" operator="containsText" text="FAT">
      <formula>NOT(ISERROR(SEARCH("FAT",AL80)))</formula>
    </cfRule>
    <cfRule type="containsText" dxfId="337" priority="340" operator="containsText" text="FIRE">
      <formula>NOT(ISERROR(SEARCH("FIRE",AL80)))</formula>
    </cfRule>
    <cfRule type="containsText" dxfId="336" priority="341" operator="containsText" text="COSH">
      <formula>NOT(ISERROR(SEARCH("COSH",AL80)))</formula>
    </cfRule>
  </conditionalFormatting>
  <conditionalFormatting sqref="AL80 AL82">
    <cfRule type="containsText" dxfId="335" priority="336" operator="containsText" text="FAT">
      <formula>NOT(ISERROR(SEARCH("FAT",AL80)))</formula>
    </cfRule>
    <cfRule type="containsText" dxfId="334" priority="337" operator="containsText" text="FIRE">
      <formula>NOT(ISERROR(SEARCH("FIRE",AL80)))</formula>
    </cfRule>
    <cfRule type="containsText" dxfId="333" priority="338" operator="containsText" text="COSH">
      <formula>NOT(ISERROR(SEARCH("COSH",AL80)))</formula>
    </cfRule>
  </conditionalFormatting>
  <conditionalFormatting sqref="AL80 AL82">
    <cfRule type="containsText" dxfId="332" priority="333" operator="containsText" text="FAT">
      <formula>NOT(ISERROR(SEARCH("FAT",AL80)))</formula>
    </cfRule>
    <cfRule type="containsText" dxfId="331" priority="334" operator="containsText" text="FIRE">
      <formula>NOT(ISERROR(SEARCH("FIRE",AL80)))</formula>
    </cfRule>
    <cfRule type="containsText" dxfId="330" priority="335" operator="containsText" text="COSH">
      <formula>NOT(ISERROR(SEARCH("COSH",AL80)))</formula>
    </cfRule>
  </conditionalFormatting>
  <conditionalFormatting sqref="AL80 AL82">
    <cfRule type="containsText" dxfId="329" priority="330" operator="containsText" text="FAT">
      <formula>NOT(ISERROR(SEARCH("FAT",AL80)))</formula>
    </cfRule>
    <cfRule type="containsText" dxfId="328" priority="331" operator="containsText" text="FIRE">
      <formula>NOT(ISERROR(SEARCH("FIRE",AL80)))</formula>
    </cfRule>
    <cfRule type="containsText" dxfId="327" priority="332" operator="containsText" text="COSH">
      <formula>NOT(ISERROR(SEARCH("COSH",AL80)))</formula>
    </cfRule>
  </conditionalFormatting>
  <conditionalFormatting sqref="AL80 AL82">
    <cfRule type="containsText" dxfId="326" priority="327" operator="containsText" text="FAT">
      <formula>NOT(ISERROR(SEARCH("FAT",AL80)))</formula>
    </cfRule>
    <cfRule type="containsText" dxfId="325" priority="328" operator="containsText" text="FIRE">
      <formula>NOT(ISERROR(SEARCH("FIRE",AL80)))</formula>
    </cfRule>
    <cfRule type="containsText" dxfId="324" priority="329" operator="containsText" text="COSH">
      <formula>NOT(ISERROR(SEARCH("COSH",AL80)))</formula>
    </cfRule>
  </conditionalFormatting>
  <conditionalFormatting sqref="AL80 AL82">
    <cfRule type="containsText" dxfId="323" priority="324" operator="containsText" text="FAT">
      <formula>NOT(ISERROR(SEARCH("FAT",AL80)))</formula>
    </cfRule>
    <cfRule type="containsText" dxfId="322" priority="325" operator="containsText" text="FIRE">
      <formula>NOT(ISERROR(SEARCH("FIRE",AL80)))</formula>
    </cfRule>
    <cfRule type="containsText" dxfId="321" priority="326" operator="containsText" text="COSH">
      <formula>NOT(ISERROR(SEARCH("COSH",AL80)))</formula>
    </cfRule>
  </conditionalFormatting>
  <conditionalFormatting sqref="AL86">
    <cfRule type="containsText" dxfId="320" priority="321" operator="containsText" text="FAT">
      <formula>NOT(ISERROR(SEARCH("FAT",AL86)))</formula>
    </cfRule>
    <cfRule type="containsText" dxfId="319" priority="322" operator="containsText" text="FIRE">
      <formula>NOT(ISERROR(SEARCH("FIRE",AL86)))</formula>
    </cfRule>
    <cfRule type="containsText" dxfId="318" priority="323" operator="containsText" text="COSH">
      <formula>NOT(ISERROR(SEARCH("COSH",AL86)))</formula>
    </cfRule>
  </conditionalFormatting>
  <conditionalFormatting sqref="AL86">
    <cfRule type="containsText" dxfId="317" priority="318" operator="containsText" text="FAT">
      <formula>NOT(ISERROR(SEARCH("FAT",AL86)))</formula>
    </cfRule>
    <cfRule type="containsText" dxfId="316" priority="319" operator="containsText" text="FIRE">
      <formula>NOT(ISERROR(SEARCH("FIRE",AL86)))</formula>
    </cfRule>
    <cfRule type="containsText" dxfId="315" priority="320" operator="containsText" text="COSH">
      <formula>NOT(ISERROR(SEARCH("COSH",AL86)))</formula>
    </cfRule>
  </conditionalFormatting>
  <conditionalFormatting sqref="AL86">
    <cfRule type="containsText" dxfId="314" priority="315" operator="containsText" text="FAT">
      <formula>NOT(ISERROR(SEARCH("FAT",AL86)))</formula>
    </cfRule>
    <cfRule type="containsText" dxfId="313" priority="316" operator="containsText" text="FIRE">
      <formula>NOT(ISERROR(SEARCH("FIRE",AL86)))</formula>
    </cfRule>
    <cfRule type="containsText" dxfId="312" priority="317" operator="containsText" text="COSH">
      <formula>NOT(ISERROR(SEARCH("COSH",AL86)))</formula>
    </cfRule>
  </conditionalFormatting>
  <conditionalFormatting sqref="AL86">
    <cfRule type="containsText" dxfId="311" priority="312" operator="containsText" text="FAT">
      <formula>NOT(ISERROR(SEARCH("FAT",AL86)))</formula>
    </cfRule>
    <cfRule type="containsText" dxfId="310" priority="313" operator="containsText" text="FIRE">
      <formula>NOT(ISERROR(SEARCH("FIRE",AL86)))</formula>
    </cfRule>
    <cfRule type="containsText" dxfId="309" priority="314" operator="containsText" text="COSH">
      <formula>NOT(ISERROR(SEARCH("COSH",AL86)))</formula>
    </cfRule>
  </conditionalFormatting>
  <conditionalFormatting sqref="AL86">
    <cfRule type="containsText" dxfId="308" priority="309" operator="containsText" text="FAT">
      <formula>NOT(ISERROR(SEARCH("FAT",AL86)))</formula>
    </cfRule>
    <cfRule type="containsText" dxfId="307" priority="310" operator="containsText" text="FIRE">
      <formula>NOT(ISERROR(SEARCH("FIRE",AL86)))</formula>
    </cfRule>
    <cfRule type="containsText" dxfId="306" priority="311" operator="containsText" text="COSH">
      <formula>NOT(ISERROR(SEARCH("COSH",AL86)))</formula>
    </cfRule>
  </conditionalFormatting>
  <conditionalFormatting sqref="AL86">
    <cfRule type="containsText" dxfId="305" priority="306" operator="containsText" text="FAT">
      <formula>NOT(ISERROR(SEARCH("FAT",AL86)))</formula>
    </cfRule>
    <cfRule type="containsText" dxfId="304" priority="307" operator="containsText" text="FIRE">
      <formula>NOT(ISERROR(SEARCH("FIRE",AL86)))</formula>
    </cfRule>
    <cfRule type="containsText" dxfId="303" priority="308" operator="containsText" text="COSH">
      <formula>NOT(ISERROR(SEARCH("COSH",AL86)))</formula>
    </cfRule>
  </conditionalFormatting>
  <conditionalFormatting sqref="AL86">
    <cfRule type="containsText" dxfId="302" priority="303" operator="containsText" text="FAT">
      <formula>NOT(ISERROR(SEARCH("FAT",AL86)))</formula>
    </cfRule>
    <cfRule type="containsText" dxfId="301" priority="304" operator="containsText" text="FIRE">
      <formula>NOT(ISERROR(SEARCH("FIRE",AL86)))</formula>
    </cfRule>
    <cfRule type="containsText" dxfId="300" priority="305" operator="containsText" text="COSH">
      <formula>NOT(ISERROR(SEARCH("COSH",AL86)))</formula>
    </cfRule>
  </conditionalFormatting>
  <conditionalFormatting sqref="AL86">
    <cfRule type="containsText" dxfId="299" priority="300" operator="containsText" text="FAT">
      <formula>NOT(ISERROR(SEARCH("FAT",AL86)))</formula>
    </cfRule>
    <cfRule type="containsText" dxfId="298" priority="301" operator="containsText" text="FIRE">
      <formula>NOT(ISERROR(SEARCH("FIRE",AL86)))</formula>
    </cfRule>
    <cfRule type="containsText" dxfId="297" priority="302" operator="containsText" text="COSH">
      <formula>NOT(ISERROR(SEARCH("COSH",AL86)))</formula>
    </cfRule>
  </conditionalFormatting>
  <conditionalFormatting sqref="AL86">
    <cfRule type="containsText" dxfId="296" priority="297" operator="containsText" text="FAT">
      <formula>NOT(ISERROR(SEARCH("FAT",AL86)))</formula>
    </cfRule>
    <cfRule type="containsText" dxfId="295" priority="298" operator="containsText" text="FIRE">
      <formula>NOT(ISERROR(SEARCH("FIRE",AL86)))</formula>
    </cfRule>
    <cfRule type="containsText" dxfId="294" priority="299" operator="containsText" text="COSH">
      <formula>NOT(ISERROR(SEARCH("COSH",AL86)))</formula>
    </cfRule>
  </conditionalFormatting>
  <conditionalFormatting sqref="AL86">
    <cfRule type="containsText" dxfId="293" priority="294" operator="containsText" text="FAT">
      <formula>NOT(ISERROR(SEARCH("FAT",AL86)))</formula>
    </cfRule>
    <cfRule type="containsText" dxfId="292" priority="295" operator="containsText" text="FIRE">
      <formula>NOT(ISERROR(SEARCH("FIRE",AL86)))</formula>
    </cfRule>
    <cfRule type="containsText" dxfId="291" priority="296" operator="containsText" text="COSH">
      <formula>NOT(ISERROR(SEARCH("COSH",AL86)))</formula>
    </cfRule>
  </conditionalFormatting>
  <conditionalFormatting sqref="AL86">
    <cfRule type="containsText" dxfId="290" priority="291" operator="containsText" text="FAT">
      <formula>NOT(ISERROR(SEARCH("FAT",AL86)))</formula>
    </cfRule>
    <cfRule type="containsText" dxfId="289" priority="292" operator="containsText" text="FIRE">
      <formula>NOT(ISERROR(SEARCH("FIRE",AL86)))</formula>
    </cfRule>
    <cfRule type="containsText" dxfId="288" priority="293" operator="containsText" text="COSH">
      <formula>NOT(ISERROR(SEARCH("COSH",AL86)))</formula>
    </cfRule>
  </conditionalFormatting>
  <conditionalFormatting sqref="AL67:AL69 AL71:AL87">
    <cfRule type="cellIs" dxfId="287" priority="384" operator="between">
      <formula>1</formula>
      <formula>3</formula>
    </cfRule>
  </conditionalFormatting>
  <conditionalFormatting sqref="AL87">
    <cfRule type="containsText" dxfId="286" priority="288" operator="containsText" text="FAT">
      <formula>NOT(ISERROR(SEARCH("FAT",AL87)))</formula>
    </cfRule>
    <cfRule type="containsText" dxfId="285" priority="289" operator="containsText" text="FIRE">
      <formula>NOT(ISERROR(SEARCH("FIRE",AL87)))</formula>
    </cfRule>
    <cfRule type="containsText" dxfId="284" priority="290" operator="containsText" text="COSH">
      <formula>NOT(ISERROR(SEARCH("COSH",AL87)))</formula>
    </cfRule>
  </conditionalFormatting>
  <conditionalFormatting sqref="AL73:AL75">
    <cfRule type="containsText" dxfId="283" priority="285" operator="containsText" text="FAT">
      <formula>NOT(ISERROR(SEARCH("FAT",AL73)))</formula>
    </cfRule>
    <cfRule type="containsText" dxfId="282" priority="286" operator="containsText" text="FIRE">
      <formula>NOT(ISERROR(SEARCH("FIRE",AL73)))</formula>
    </cfRule>
    <cfRule type="containsText" dxfId="281" priority="287" operator="containsText" text="COSH">
      <formula>NOT(ISERROR(SEARCH("COSH",AL73)))</formula>
    </cfRule>
  </conditionalFormatting>
  <conditionalFormatting sqref="AL78">
    <cfRule type="containsText" dxfId="280" priority="282" operator="containsText" text="FAT">
      <formula>NOT(ISERROR(SEARCH("FAT",AL78)))</formula>
    </cfRule>
    <cfRule type="containsText" dxfId="279" priority="283" operator="containsText" text="FIRE">
      <formula>NOT(ISERROR(SEARCH("FIRE",AL78)))</formula>
    </cfRule>
    <cfRule type="containsText" dxfId="278" priority="284" operator="containsText" text="COSH">
      <formula>NOT(ISERROR(SEARCH("COSH",AL78)))</formula>
    </cfRule>
  </conditionalFormatting>
  <conditionalFormatting sqref="AL84">
    <cfRule type="containsText" dxfId="277" priority="279" operator="containsText" text="FAT">
      <formula>NOT(ISERROR(SEARCH("FAT",AL84)))</formula>
    </cfRule>
    <cfRule type="containsText" dxfId="276" priority="280" operator="containsText" text="FIRE">
      <formula>NOT(ISERROR(SEARCH("FIRE",AL84)))</formula>
    </cfRule>
    <cfRule type="containsText" dxfId="275" priority="281" operator="containsText" text="COSH">
      <formula>NOT(ISERROR(SEARCH("COSH",AL84)))</formula>
    </cfRule>
  </conditionalFormatting>
  <conditionalFormatting sqref="AL84">
    <cfRule type="containsText" dxfId="274" priority="276" operator="containsText" text="FAT">
      <formula>NOT(ISERROR(SEARCH("FAT",AL84)))</formula>
    </cfRule>
    <cfRule type="containsText" dxfId="273" priority="277" operator="containsText" text="FIRE">
      <formula>NOT(ISERROR(SEARCH("FIRE",AL84)))</formula>
    </cfRule>
    <cfRule type="containsText" dxfId="272" priority="278" operator="containsText" text="COSH">
      <formula>NOT(ISERROR(SEARCH("COSH",AL84)))</formula>
    </cfRule>
  </conditionalFormatting>
  <conditionalFormatting sqref="AL77">
    <cfRule type="containsText" dxfId="271" priority="273" operator="containsText" text="FAT">
      <formula>NOT(ISERROR(SEARCH("FAT",AL77)))</formula>
    </cfRule>
    <cfRule type="containsText" dxfId="270" priority="274" operator="containsText" text="FIRE">
      <formula>NOT(ISERROR(SEARCH("FIRE",AL77)))</formula>
    </cfRule>
    <cfRule type="containsText" dxfId="269" priority="275" operator="containsText" text="COSH">
      <formula>NOT(ISERROR(SEARCH("COSH",AL77)))</formula>
    </cfRule>
  </conditionalFormatting>
  <conditionalFormatting sqref="AL76">
    <cfRule type="containsText" dxfId="268" priority="270" operator="containsText" text="FAT">
      <formula>NOT(ISERROR(SEARCH("FAT",AL76)))</formula>
    </cfRule>
    <cfRule type="containsText" dxfId="267" priority="271" operator="containsText" text="FIRE">
      <formula>NOT(ISERROR(SEARCH("FIRE",AL76)))</formula>
    </cfRule>
    <cfRule type="containsText" dxfId="266" priority="272" operator="containsText" text="COSH">
      <formula>NOT(ISERROR(SEARCH("COSH",AL76)))</formula>
    </cfRule>
  </conditionalFormatting>
  <conditionalFormatting sqref="AL72">
    <cfRule type="containsText" dxfId="265" priority="267" operator="containsText" text="FAT">
      <formula>NOT(ISERROR(SEARCH("FAT",AL72)))</formula>
    </cfRule>
    <cfRule type="containsText" dxfId="264" priority="268" operator="containsText" text="FIRE">
      <formula>NOT(ISERROR(SEARCH("FIRE",AL72)))</formula>
    </cfRule>
    <cfRule type="containsText" dxfId="263" priority="269" operator="containsText" text="COSH">
      <formula>NOT(ISERROR(SEARCH("COSH",AL72)))</formula>
    </cfRule>
  </conditionalFormatting>
  <conditionalFormatting sqref="AL81">
    <cfRule type="containsText" dxfId="262" priority="264" operator="containsText" text="FAT">
      <formula>NOT(ISERROR(SEARCH("FAT",AL81)))</formula>
    </cfRule>
    <cfRule type="containsText" dxfId="261" priority="265" operator="containsText" text="FIRE">
      <formula>NOT(ISERROR(SEARCH("FIRE",AL81)))</formula>
    </cfRule>
    <cfRule type="containsText" dxfId="260" priority="266" operator="containsText" text="COSH">
      <formula>NOT(ISERROR(SEARCH("COSH",AL81)))</formula>
    </cfRule>
  </conditionalFormatting>
  <conditionalFormatting sqref="AL80">
    <cfRule type="containsText" dxfId="259" priority="261" operator="containsText" text="FAT">
      <formula>NOT(ISERROR(SEARCH("FAT",AL80)))</formula>
    </cfRule>
    <cfRule type="containsText" dxfId="258" priority="262" operator="containsText" text="FIRE">
      <formula>NOT(ISERROR(SEARCH("FIRE",AL80)))</formula>
    </cfRule>
    <cfRule type="containsText" dxfId="257" priority="263" operator="containsText" text="COSH">
      <formula>NOT(ISERROR(SEARCH("COSH",AL80)))</formula>
    </cfRule>
  </conditionalFormatting>
  <conditionalFormatting sqref="AL80">
    <cfRule type="containsText" dxfId="256" priority="258" operator="containsText" text="FAT">
      <formula>NOT(ISERROR(SEARCH("FAT",AL80)))</formula>
    </cfRule>
    <cfRule type="containsText" dxfId="255" priority="259" operator="containsText" text="FIRE">
      <formula>NOT(ISERROR(SEARCH("FIRE",AL80)))</formula>
    </cfRule>
    <cfRule type="containsText" dxfId="254" priority="260" operator="containsText" text="COSH">
      <formula>NOT(ISERROR(SEARCH("COSH",AL80)))</formula>
    </cfRule>
  </conditionalFormatting>
  <conditionalFormatting sqref="AL80">
    <cfRule type="containsText" dxfId="253" priority="255" operator="containsText" text="FAT">
      <formula>NOT(ISERROR(SEARCH("FAT",AL80)))</formula>
    </cfRule>
    <cfRule type="containsText" dxfId="252" priority="256" operator="containsText" text="FIRE">
      <formula>NOT(ISERROR(SEARCH("FIRE",AL80)))</formula>
    </cfRule>
    <cfRule type="containsText" dxfId="251" priority="257" operator="containsText" text="COSH">
      <formula>NOT(ISERROR(SEARCH("COSH",AL80)))</formula>
    </cfRule>
  </conditionalFormatting>
  <conditionalFormatting sqref="AL80">
    <cfRule type="containsText" dxfId="250" priority="252" operator="containsText" text="FAT">
      <formula>NOT(ISERROR(SEARCH("FAT",AL80)))</formula>
    </cfRule>
    <cfRule type="containsText" dxfId="249" priority="253" operator="containsText" text="FIRE">
      <formula>NOT(ISERROR(SEARCH("FIRE",AL80)))</formula>
    </cfRule>
    <cfRule type="containsText" dxfId="248" priority="254" operator="containsText" text="COSH">
      <formula>NOT(ISERROR(SEARCH("COSH",AL80)))</formula>
    </cfRule>
  </conditionalFormatting>
  <conditionalFormatting sqref="AL80">
    <cfRule type="containsText" dxfId="247" priority="249" operator="containsText" text="FAT">
      <formula>NOT(ISERROR(SEARCH("FAT",AL80)))</formula>
    </cfRule>
    <cfRule type="containsText" dxfId="246" priority="250" operator="containsText" text="FIRE">
      <formula>NOT(ISERROR(SEARCH("FIRE",AL80)))</formula>
    </cfRule>
    <cfRule type="containsText" dxfId="245" priority="251" operator="containsText" text="COSH">
      <formula>NOT(ISERROR(SEARCH("COSH",AL80)))</formula>
    </cfRule>
  </conditionalFormatting>
  <conditionalFormatting sqref="AL80">
    <cfRule type="containsText" dxfId="244" priority="246" operator="containsText" text="FAT">
      <formula>NOT(ISERROR(SEARCH("FAT",AL80)))</formula>
    </cfRule>
    <cfRule type="containsText" dxfId="243" priority="247" operator="containsText" text="FIRE">
      <formula>NOT(ISERROR(SEARCH("FIRE",AL80)))</formula>
    </cfRule>
    <cfRule type="containsText" dxfId="242" priority="248" operator="containsText" text="COSH">
      <formula>NOT(ISERROR(SEARCH("COSH",AL80)))</formula>
    </cfRule>
  </conditionalFormatting>
  <conditionalFormatting sqref="AL80">
    <cfRule type="containsText" dxfId="241" priority="243" operator="containsText" text="FAT">
      <formula>NOT(ISERROR(SEARCH("FAT",AL80)))</formula>
    </cfRule>
    <cfRule type="containsText" dxfId="240" priority="244" operator="containsText" text="FIRE">
      <formula>NOT(ISERROR(SEARCH("FIRE",AL80)))</formula>
    </cfRule>
    <cfRule type="containsText" dxfId="239" priority="245" operator="containsText" text="COSH">
      <formula>NOT(ISERROR(SEARCH("COSH",AL80)))</formula>
    </cfRule>
  </conditionalFormatting>
  <conditionalFormatting sqref="AL80">
    <cfRule type="containsText" dxfId="238" priority="240" operator="containsText" text="FAT">
      <formula>NOT(ISERROR(SEARCH("FAT",AL80)))</formula>
    </cfRule>
    <cfRule type="containsText" dxfId="237" priority="241" operator="containsText" text="FIRE">
      <formula>NOT(ISERROR(SEARCH("FIRE",AL80)))</formula>
    </cfRule>
    <cfRule type="containsText" dxfId="236" priority="242" operator="containsText" text="COSH">
      <formula>NOT(ISERROR(SEARCH("COSH",AL80)))</formula>
    </cfRule>
  </conditionalFormatting>
  <conditionalFormatting sqref="AL80">
    <cfRule type="containsText" dxfId="235" priority="237" operator="containsText" text="FAT">
      <formula>NOT(ISERROR(SEARCH("FAT",AL80)))</formula>
    </cfRule>
    <cfRule type="containsText" dxfId="234" priority="238" operator="containsText" text="FIRE">
      <formula>NOT(ISERROR(SEARCH("FIRE",AL80)))</formula>
    </cfRule>
    <cfRule type="containsText" dxfId="233" priority="239" operator="containsText" text="COSH">
      <formula>NOT(ISERROR(SEARCH("COSH",AL80)))</formula>
    </cfRule>
  </conditionalFormatting>
  <conditionalFormatting sqref="AL80">
    <cfRule type="containsText" dxfId="232" priority="234" operator="containsText" text="FAT">
      <formula>NOT(ISERROR(SEARCH("FAT",AL80)))</formula>
    </cfRule>
    <cfRule type="containsText" dxfId="231" priority="235" operator="containsText" text="FIRE">
      <formula>NOT(ISERROR(SEARCH("FIRE",AL80)))</formula>
    </cfRule>
    <cfRule type="containsText" dxfId="230" priority="236" operator="containsText" text="COSH">
      <formula>NOT(ISERROR(SEARCH("COSH",AL80)))</formula>
    </cfRule>
  </conditionalFormatting>
  <conditionalFormatting sqref="AL80">
    <cfRule type="containsText" dxfId="229" priority="231" operator="containsText" text="FAT">
      <formula>NOT(ISERROR(SEARCH("FAT",AL80)))</formula>
    </cfRule>
    <cfRule type="containsText" dxfId="228" priority="232" operator="containsText" text="FIRE">
      <formula>NOT(ISERROR(SEARCH("FIRE",AL80)))</formula>
    </cfRule>
    <cfRule type="containsText" dxfId="227" priority="233" operator="containsText" text="COSH">
      <formula>NOT(ISERROR(SEARCH("COSH",AL80)))</formula>
    </cfRule>
  </conditionalFormatting>
  <conditionalFormatting sqref="AL79">
    <cfRule type="containsText" dxfId="226" priority="228" operator="containsText" text="FAT">
      <formula>NOT(ISERROR(SEARCH("FAT",AL79)))</formula>
    </cfRule>
    <cfRule type="containsText" dxfId="225" priority="229" operator="containsText" text="FIRE">
      <formula>NOT(ISERROR(SEARCH("FIRE",AL79)))</formula>
    </cfRule>
    <cfRule type="containsText" dxfId="224" priority="230" operator="containsText" text="COSH">
      <formula>NOT(ISERROR(SEARCH("COSH",AL79)))</formula>
    </cfRule>
  </conditionalFormatting>
  <conditionalFormatting sqref="AL82">
    <cfRule type="containsText" dxfId="223" priority="225" operator="containsText" text="FAT">
      <formula>NOT(ISERROR(SEARCH("FAT",AL82)))</formula>
    </cfRule>
    <cfRule type="containsText" dxfId="222" priority="226" operator="containsText" text="FIRE">
      <formula>NOT(ISERROR(SEARCH("FIRE",AL82)))</formula>
    </cfRule>
    <cfRule type="containsText" dxfId="221" priority="227" operator="containsText" text="COSH">
      <formula>NOT(ISERROR(SEARCH("COSH",AL82)))</formula>
    </cfRule>
  </conditionalFormatting>
  <conditionalFormatting sqref="AL82">
    <cfRule type="containsText" dxfId="220" priority="222" operator="containsText" text="FAT">
      <formula>NOT(ISERROR(SEARCH("FAT",AL82)))</formula>
    </cfRule>
    <cfRule type="containsText" dxfId="219" priority="223" operator="containsText" text="FIRE">
      <formula>NOT(ISERROR(SEARCH("FIRE",AL82)))</formula>
    </cfRule>
    <cfRule type="containsText" dxfId="218" priority="224" operator="containsText" text="COSH">
      <formula>NOT(ISERROR(SEARCH("COSH",AL82)))</formula>
    </cfRule>
  </conditionalFormatting>
  <conditionalFormatting sqref="AL82">
    <cfRule type="containsText" dxfId="217" priority="219" operator="containsText" text="FAT">
      <formula>NOT(ISERROR(SEARCH("FAT",AL82)))</formula>
    </cfRule>
    <cfRule type="containsText" dxfId="216" priority="220" operator="containsText" text="FIRE">
      <formula>NOT(ISERROR(SEARCH("FIRE",AL82)))</formula>
    </cfRule>
    <cfRule type="containsText" dxfId="215" priority="221" operator="containsText" text="COSH">
      <formula>NOT(ISERROR(SEARCH("COSH",AL82)))</formula>
    </cfRule>
  </conditionalFormatting>
  <conditionalFormatting sqref="AL82">
    <cfRule type="containsText" dxfId="214" priority="216" operator="containsText" text="FAT">
      <formula>NOT(ISERROR(SEARCH("FAT",AL82)))</formula>
    </cfRule>
    <cfRule type="containsText" dxfId="213" priority="217" operator="containsText" text="FIRE">
      <formula>NOT(ISERROR(SEARCH("FIRE",AL82)))</formula>
    </cfRule>
    <cfRule type="containsText" dxfId="212" priority="218" operator="containsText" text="COSH">
      <formula>NOT(ISERROR(SEARCH("COSH",AL82)))</formula>
    </cfRule>
  </conditionalFormatting>
  <conditionalFormatting sqref="AL82">
    <cfRule type="containsText" dxfId="211" priority="213" operator="containsText" text="FAT">
      <formula>NOT(ISERROR(SEARCH("FAT",AL82)))</formula>
    </cfRule>
    <cfRule type="containsText" dxfId="210" priority="214" operator="containsText" text="FIRE">
      <formula>NOT(ISERROR(SEARCH("FIRE",AL82)))</formula>
    </cfRule>
    <cfRule type="containsText" dxfId="209" priority="215" operator="containsText" text="COSH">
      <formula>NOT(ISERROR(SEARCH("COSH",AL82)))</formula>
    </cfRule>
  </conditionalFormatting>
  <conditionalFormatting sqref="AL82">
    <cfRule type="containsText" dxfId="208" priority="210" operator="containsText" text="FAT">
      <formula>NOT(ISERROR(SEARCH("FAT",AL82)))</formula>
    </cfRule>
    <cfRule type="containsText" dxfId="207" priority="211" operator="containsText" text="FIRE">
      <formula>NOT(ISERROR(SEARCH("FIRE",AL82)))</formula>
    </cfRule>
    <cfRule type="containsText" dxfId="206" priority="212" operator="containsText" text="COSH">
      <formula>NOT(ISERROR(SEARCH("COSH",AL82)))</formula>
    </cfRule>
  </conditionalFormatting>
  <conditionalFormatting sqref="AL82">
    <cfRule type="containsText" dxfId="205" priority="207" operator="containsText" text="FAT">
      <formula>NOT(ISERROR(SEARCH("FAT",AL82)))</formula>
    </cfRule>
    <cfRule type="containsText" dxfId="204" priority="208" operator="containsText" text="FIRE">
      <formula>NOT(ISERROR(SEARCH("FIRE",AL82)))</formula>
    </cfRule>
    <cfRule type="containsText" dxfId="203" priority="209" operator="containsText" text="COSH">
      <formula>NOT(ISERROR(SEARCH("COSH",AL82)))</formula>
    </cfRule>
  </conditionalFormatting>
  <conditionalFormatting sqref="AL82">
    <cfRule type="containsText" dxfId="202" priority="204" operator="containsText" text="FAT">
      <formula>NOT(ISERROR(SEARCH("FAT",AL82)))</formula>
    </cfRule>
    <cfRule type="containsText" dxfId="201" priority="205" operator="containsText" text="FIRE">
      <formula>NOT(ISERROR(SEARCH("FIRE",AL82)))</formula>
    </cfRule>
    <cfRule type="containsText" dxfId="200" priority="206" operator="containsText" text="COSH">
      <formula>NOT(ISERROR(SEARCH("COSH",AL82)))</formula>
    </cfRule>
  </conditionalFormatting>
  <conditionalFormatting sqref="AL82">
    <cfRule type="containsText" dxfId="199" priority="201" operator="containsText" text="FAT">
      <formula>NOT(ISERROR(SEARCH("FAT",AL82)))</formula>
    </cfRule>
    <cfRule type="containsText" dxfId="198" priority="202" operator="containsText" text="FIRE">
      <formula>NOT(ISERROR(SEARCH("FIRE",AL82)))</formula>
    </cfRule>
    <cfRule type="containsText" dxfId="197" priority="203" operator="containsText" text="COSH">
      <formula>NOT(ISERROR(SEARCH("COSH",AL82)))</formula>
    </cfRule>
  </conditionalFormatting>
  <conditionalFormatting sqref="AL82">
    <cfRule type="containsText" dxfId="196" priority="198" operator="containsText" text="FAT">
      <formula>NOT(ISERROR(SEARCH("FAT",AL82)))</formula>
    </cfRule>
    <cfRule type="containsText" dxfId="195" priority="199" operator="containsText" text="FIRE">
      <formula>NOT(ISERROR(SEARCH("FIRE",AL82)))</formula>
    </cfRule>
    <cfRule type="containsText" dxfId="194" priority="200" operator="containsText" text="COSH">
      <formula>NOT(ISERROR(SEARCH("COSH",AL82)))</formula>
    </cfRule>
  </conditionalFormatting>
  <conditionalFormatting sqref="AL82">
    <cfRule type="containsText" dxfId="193" priority="195" operator="containsText" text="FAT">
      <formula>NOT(ISERROR(SEARCH("FAT",AL82)))</formula>
    </cfRule>
    <cfRule type="containsText" dxfId="192" priority="196" operator="containsText" text="FIRE">
      <formula>NOT(ISERROR(SEARCH("FIRE",AL82)))</formula>
    </cfRule>
    <cfRule type="containsText" dxfId="191" priority="197" operator="containsText" text="COSH">
      <formula>NOT(ISERROR(SEARCH("COSH",AL82)))</formula>
    </cfRule>
  </conditionalFormatting>
  <conditionalFormatting sqref="AL86">
    <cfRule type="containsText" dxfId="190" priority="192" operator="containsText" text="FAT">
      <formula>NOT(ISERROR(SEARCH("FAT",AL86)))</formula>
    </cfRule>
    <cfRule type="containsText" dxfId="189" priority="193" operator="containsText" text="FIRE">
      <formula>NOT(ISERROR(SEARCH("FIRE",AL86)))</formula>
    </cfRule>
    <cfRule type="containsText" dxfId="188" priority="194" operator="containsText" text="COSH">
      <formula>NOT(ISERROR(SEARCH("COSH",AL86)))</formula>
    </cfRule>
  </conditionalFormatting>
  <conditionalFormatting sqref="AL86">
    <cfRule type="containsText" dxfId="187" priority="189" operator="containsText" text="FAT">
      <formula>NOT(ISERROR(SEARCH("FAT",AL86)))</formula>
    </cfRule>
    <cfRule type="containsText" dxfId="186" priority="190" operator="containsText" text="FIRE">
      <formula>NOT(ISERROR(SEARCH("FIRE",AL86)))</formula>
    </cfRule>
    <cfRule type="containsText" dxfId="185" priority="191" operator="containsText" text="COSH">
      <formula>NOT(ISERROR(SEARCH("COSH",AL86)))</formula>
    </cfRule>
  </conditionalFormatting>
  <conditionalFormatting sqref="AL86">
    <cfRule type="containsText" dxfId="184" priority="186" operator="containsText" text="FAT">
      <formula>NOT(ISERROR(SEARCH("FAT",AL86)))</formula>
    </cfRule>
    <cfRule type="containsText" dxfId="183" priority="187" operator="containsText" text="FIRE">
      <formula>NOT(ISERROR(SEARCH("FIRE",AL86)))</formula>
    </cfRule>
    <cfRule type="containsText" dxfId="182" priority="188" operator="containsText" text="COSH">
      <formula>NOT(ISERROR(SEARCH("COSH",AL86)))</formula>
    </cfRule>
  </conditionalFormatting>
  <conditionalFormatting sqref="AL86">
    <cfRule type="containsText" dxfId="181" priority="183" operator="containsText" text="FAT">
      <formula>NOT(ISERROR(SEARCH("FAT",AL86)))</formula>
    </cfRule>
    <cfRule type="containsText" dxfId="180" priority="184" operator="containsText" text="FIRE">
      <formula>NOT(ISERROR(SEARCH("FIRE",AL86)))</formula>
    </cfRule>
    <cfRule type="containsText" dxfId="179" priority="185" operator="containsText" text="COSH">
      <formula>NOT(ISERROR(SEARCH("COSH",AL86)))</formula>
    </cfRule>
  </conditionalFormatting>
  <conditionalFormatting sqref="AL86">
    <cfRule type="containsText" dxfId="178" priority="180" operator="containsText" text="FAT">
      <formula>NOT(ISERROR(SEARCH("FAT",AL86)))</formula>
    </cfRule>
    <cfRule type="containsText" dxfId="177" priority="181" operator="containsText" text="FIRE">
      <formula>NOT(ISERROR(SEARCH("FIRE",AL86)))</formula>
    </cfRule>
    <cfRule type="containsText" dxfId="176" priority="182" operator="containsText" text="COSH">
      <formula>NOT(ISERROR(SEARCH("COSH",AL86)))</formula>
    </cfRule>
  </conditionalFormatting>
  <conditionalFormatting sqref="AL86">
    <cfRule type="containsText" dxfId="175" priority="177" operator="containsText" text="FAT">
      <formula>NOT(ISERROR(SEARCH("FAT",AL86)))</formula>
    </cfRule>
    <cfRule type="containsText" dxfId="174" priority="178" operator="containsText" text="FIRE">
      <formula>NOT(ISERROR(SEARCH("FIRE",AL86)))</formula>
    </cfRule>
    <cfRule type="containsText" dxfId="173" priority="179" operator="containsText" text="COSH">
      <formula>NOT(ISERROR(SEARCH("COSH",AL86)))</formula>
    </cfRule>
  </conditionalFormatting>
  <conditionalFormatting sqref="AL86">
    <cfRule type="containsText" dxfId="172" priority="174" operator="containsText" text="FAT">
      <formula>NOT(ISERROR(SEARCH("FAT",AL86)))</formula>
    </cfRule>
    <cfRule type="containsText" dxfId="171" priority="175" operator="containsText" text="FIRE">
      <formula>NOT(ISERROR(SEARCH("FIRE",AL86)))</formula>
    </cfRule>
    <cfRule type="containsText" dxfId="170" priority="176" operator="containsText" text="COSH">
      <formula>NOT(ISERROR(SEARCH("COSH",AL86)))</formula>
    </cfRule>
  </conditionalFormatting>
  <conditionalFormatting sqref="AL86">
    <cfRule type="containsText" dxfId="169" priority="171" operator="containsText" text="FAT">
      <formula>NOT(ISERROR(SEARCH("FAT",AL86)))</formula>
    </cfRule>
    <cfRule type="containsText" dxfId="168" priority="172" operator="containsText" text="FIRE">
      <formula>NOT(ISERROR(SEARCH("FIRE",AL86)))</formula>
    </cfRule>
    <cfRule type="containsText" dxfId="167" priority="173" operator="containsText" text="COSH">
      <formula>NOT(ISERROR(SEARCH("COSH",AL86)))</formula>
    </cfRule>
  </conditionalFormatting>
  <conditionalFormatting sqref="AL86">
    <cfRule type="containsText" dxfId="166" priority="168" operator="containsText" text="FAT">
      <formula>NOT(ISERROR(SEARCH("FAT",AL86)))</formula>
    </cfRule>
    <cfRule type="containsText" dxfId="165" priority="169" operator="containsText" text="FIRE">
      <formula>NOT(ISERROR(SEARCH("FIRE",AL86)))</formula>
    </cfRule>
    <cfRule type="containsText" dxfId="164" priority="170" operator="containsText" text="COSH">
      <formula>NOT(ISERROR(SEARCH("COSH",AL86)))</formula>
    </cfRule>
  </conditionalFormatting>
  <conditionalFormatting sqref="AL86">
    <cfRule type="containsText" dxfId="163" priority="165" operator="containsText" text="FAT">
      <formula>NOT(ISERROR(SEARCH("FAT",AL86)))</formula>
    </cfRule>
    <cfRule type="containsText" dxfId="162" priority="166" operator="containsText" text="FIRE">
      <formula>NOT(ISERROR(SEARCH("FIRE",AL86)))</formula>
    </cfRule>
    <cfRule type="containsText" dxfId="161" priority="167" operator="containsText" text="COSH">
      <formula>NOT(ISERROR(SEARCH("COSH",AL86)))</formula>
    </cfRule>
  </conditionalFormatting>
  <conditionalFormatting sqref="AL86">
    <cfRule type="containsText" dxfId="160" priority="162" operator="containsText" text="FAT">
      <formula>NOT(ISERROR(SEARCH("FAT",AL86)))</formula>
    </cfRule>
    <cfRule type="containsText" dxfId="159" priority="163" operator="containsText" text="FIRE">
      <formula>NOT(ISERROR(SEARCH("FIRE",AL86)))</formula>
    </cfRule>
    <cfRule type="containsText" dxfId="158" priority="164" operator="containsText" text="COSH">
      <formula>NOT(ISERROR(SEARCH("COSH",AL86)))</formula>
    </cfRule>
  </conditionalFormatting>
  <conditionalFormatting sqref="AL83">
    <cfRule type="containsText" dxfId="157" priority="159" operator="containsText" text="FAT">
      <formula>NOT(ISERROR(SEARCH("FAT",AL83)))</formula>
    </cfRule>
    <cfRule type="containsText" dxfId="156" priority="160" operator="containsText" text="FIRE">
      <formula>NOT(ISERROR(SEARCH("FIRE",AL83)))</formula>
    </cfRule>
    <cfRule type="containsText" dxfId="155" priority="161" operator="containsText" text="COSH">
      <formula>NOT(ISERROR(SEARCH("COSH",AL83)))</formula>
    </cfRule>
  </conditionalFormatting>
  <conditionalFormatting sqref="AL85">
    <cfRule type="containsText" dxfId="154" priority="156" operator="containsText" text="FAT">
      <formula>NOT(ISERROR(SEARCH("FAT",AL85)))</formula>
    </cfRule>
    <cfRule type="containsText" dxfId="153" priority="157" operator="containsText" text="FIRE">
      <formula>NOT(ISERROR(SEARCH("FIRE",AL85)))</formula>
    </cfRule>
    <cfRule type="containsText" dxfId="152" priority="158" operator="containsText" text="COSH">
      <formula>NOT(ISERROR(SEARCH("COSH",AL85)))</formula>
    </cfRule>
  </conditionalFormatting>
  <conditionalFormatting sqref="AL68">
    <cfRule type="containsText" dxfId="151" priority="153" operator="containsText" text="FAT">
      <formula>NOT(ISERROR(SEARCH("FAT",AL68)))</formula>
    </cfRule>
    <cfRule type="containsText" dxfId="150" priority="154" operator="containsText" text="FIRE">
      <formula>NOT(ISERROR(SEARCH("FIRE",AL68)))</formula>
    </cfRule>
    <cfRule type="containsText" dxfId="149" priority="155" operator="containsText" text="COSH">
      <formula>NOT(ISERROR(SEARCH("COSH",AL68)))</formula>
    </cfRule>
  </conditionalFormatting>
  <conditionalFormatting sqref="AL73:AL75">
    <cfRule type="containsText" dxfId="148" priority="150" operator="containsText" text="FAT">
      <formula>NOT(ISERROR(SEARCH("FAT",AL73)))</formula>
    </cfRule>
    <cfRule type="containsText" dxfId="147" priority="151" operator="containsText" text="FIRE">
      <formula>NOT(ISERROR(SEARCH("FIRE",AL73)))</formula>
    </cfRule>
    <cfRule type="containsText" dxfId="146" priority="152" operator="containsText" text="COSH">
      <formula>NOT(ISERROR(SEARCH("COSH",AL73)))</formula>
    </cfRule>
  </conditionalFormatting>
  <conditionalFormatting sqref="AL73:AL75">
    <cfRule type="containsText" dxfId="145" priority="147" operator="containsText" text="FAT">
      <formula>NOT(ISERROR(SEARCH("FAT",AL73)))</formula>
    </cfRule>
    <cfRule type="containsText" dxfId="144" priority="148" operator="containsText" text="FIRE">
      <formula>NOT(ISERROR(SEARCH("FIRE",AL73)))</formula>
    </cfRule>
    <cfRule type="containsText" dxfId="143" priority="149" operator="containsText" text="COSH">
      <formula>NOT(ISERROR(SEARCH("COSH",AL73)))</formula>
    </cfRule>
  </conditionalFormatting>
  <conditionalFormatting sqref="AL85">
    <cfRule type="containsText" dxfId="142" priority="144" operator="containsText" text="FAT">
      <formula>NOT(ISERROR(SEARCH("FAT",AL85)))</formula>
    </cfRule>
    <cfRule type="containsText" dxfId="141" priority="145" operator="containsText" text="FIRE">
      <formula>NOT(ISERROR(SEARCH("FIRE",AL85)))</formula>
    </cfRule>
    <cfRule type="containsText" dxfId="140" priority="146" operator="containsText" text="COSH">
      <formula>NOT(ISERROR(SEARCH("COSH",AL85)))</formula>
    </cfRule>
  </conditionalFormatting>
  <conditionalFormatting sqref="AL85">
    <cfRule type="containsText" dxfId="139" priority="141" operator="containsText" text="FAT">
      <formula>NOT(ISERROR(SEARCH("FAT",AL85)))</formula>
    </cfRule>
    <cfRule type="containsText" dxfId="138" priority="142" operator="containsText" text="FIRE">
      <formula>NOT(ISERROR(SEARCH("FIRE",AL85)))</formula>
    </cfRule>
    <cfRule type="containsText" dxfId="137" priority="143" operator="containsText" text="COSH">
      <formula>NOT(ISERROR(SEARCH("COSH",AL85)))</formula>
    </cfRule>
  </conditionalFormatting>
  <conditionalFormatting sqref="AL70">
    <cfRule type="containsText" dxfId="136" priority="138" operator="containsText" text="FAT">
      <formula>NOT(ISERROR(SEARCH("FAT",AL70)))</formula>
    </cfRule>
    <cfRule type="containsText" dxfId="135" priority="139" operator="containsText" text="FIRE">
      <formula>NOT(ISERROR(SEARCH("FIRE",AL70)))</formula>
    </cfRule>
    <cfRule type="containsText" dxfId="134" priority="140" operator="containsText" text="COSH">
      <formula>NOT(ISERROR(SEARCH("COSH",AL70)))</formula>
    </cfRule>
  </conditionalFormatting>
  <conditionalFormatting sqref="AL70">
    <cfRule type="cellIs" dxfId="133" priority="137" operator="between">
      <formula>1</formula>
      <formula>3</formula>
    </cfRule>
  </conditionalFormatting>
  <conditionalFormatting sqref="AL59">
    <cfRule type="containsText" dxfId="132" priority="134" operator="containsText" text="FAT">
      <formula>NOT(ISERROR(SEARCH("FAT",AL59)))</formula>
    </cfRule>
    <cfRule type="containsText" dxfId="131" priority="135" operator="containsText" text="FIRE">
      <formula>NOT(ISERROR(SEARCH("FIRE",AL59)))</formula>
    </cfRule>
    <cfRule type="containsText" dxfId="130" priority="136" operator="containsText" text="COSH">
      <formula>NOT(ISERROR(SEARCH("COSH",AL59)))</formula>
    </cfRule>
  </conditionalFormatting>
  <conditionalFormatting sqref="AL59">
    <cfRule type="cellIs" dxfId="129" priority="133" operator="between">
      <formula>1</formula>
      <formula>3</formula>
    </cfRule>
  </conditionalFormatting>
  <conditionalFormatting sqref="AL59">
    <cfRule type="cellIs" dxfId="128" priority="132" operator="equal">
      <formula>0</formula>
    </cfRule>
  </conditionalFormatting>
  <conditionalFormatting sqref="E98">
    <cfRule type="duplicateValues" dxfId="127" priority="130"/>
  </conditionalFormatting>
  <conditionalFormatting sqref="E98">
    <cfRule type="duplicateValues" dxfId="126" priority="131"/>
  </conditionalFormatting>
  <conditionalFormatting sqref="AF88:AJ88 D88 AA88:AB88">
    <cfRule type="containsText" dxfId="125" priority="127" operator="containsText" text="FAT">
      <formula>NOT(ISERROR(SEARCH("FAT",D88)))</formula>
    </cfRule>
    <cfRule type="containsText" dxfId="124" priority="128" operator="containsText" text="FIRE">
      <formula>NOT(ISERROR(SEARCH("FIRE",D88)))</formula>
    </cfRule>
    <cfRule type="containsText" dxfId="123" priority="129" operator="containsText" text="COSH">
      <formula>NOT(ISERROR(SEARCH("COSH",D88)))</formula>
    </cfRule>
  </conditionalFormatting>
  <conditionalFormatting sqref="AH88">
    <cfRule type="containsText" dxfId="122" priority="124" operator="containsText" text="FAT">
      <formula>NOT(ISERROR(SEARCH("FAT",AH88)))</formula>
    </cfRule>
    <cfRule type="containsText" dxfId="121" priority="125" operator="containsText" text="FIRE">
      <formula>NOT(ISERROR(SEARCH("FIRE",AH88)))</formula>
    </cfRule>
    <cfRule type="containsText" dxfId="120" priority="126" operator="containsText" text="COSH">
      <formula>NOT(ISERROR(SEARCH("COSH",AH88)))</formula>
    </cfRule>
  </conditionalFormatting>
  <conditionalFormatting sqref="AD88">
    <cfRule type="containsText" dxfId="119" priority="121" operator="containsText" text="FAT">
      <formula>NOT(ISERROR(SEARCH("FAT",AD88)))</formula>
    </cfRule>
    <cfRule type="containsText" dxfId="118" priority="122" operator="containsText" text="FIRE">
      <formula>NOT(ISERROR(SEARCH("FIRE",AD88)))</formula>
    </cfRule>
    <cfRule type="containsText" dxfId="117" priority="123" operator="containsText" text="COSH">
      <formula>NOT(ISERROR(SEARCH("COSH",AD88)))</formula>
    </cfRule>
  </conditionalFormatting>
  <conditionalFormatting sqref="AB88">
    <cfRule type="containsText" dxfId="116" priority="118" operator="containsText" text="FAT">
      <formula>NOT(ISERROR(SEARCH("FAT",AB88)))</formula>
    </cfRule>
    <cfRule type="containsText" dxfId="115" priority="119" operator="containsText" text="FIRE">
      <formula>NOT(ISERROR(SEARCH("FIRE",AB88)))</formula>
    </cfRule>
    <cfRule type="containsText" dxfId="114" priority="120" operator="containsText" text="COSH">
      <formula>NOT(ISERROR(SEARCH("COSH",AB88)))</formula>
    </cfRule>
  </conditionalFormatting>
  <conditionalFormatting sqref="AI88:AJ88">
    <cfRule type="containsText" dxfId="113" priority="115" operator="containsText" text="FAT">
      <formula>NOT(ISERROR(SEARCH("FAT",AI88)))</formula>
    </cfRule>
    <cfRule type="containsText" dxfId="112" priority="116" operator="containsText" text="FIRE">
      <formula>NOT(ISERROR(SEARCH("FIRE",AI88)))</formula>
    </cfRule>
    <cfRule type="containsText" dxfId="111" priority="117" operator="containsText" text="COSH">
      <formula>NOT(ISERROR(SEARCH("COSH",AI88)))</formula>
    </cfRule>
  </conditionalFormatting>
  <conditionalFormatting sqref="AE88">
    <cfRule type="containsText" dxfId="110" priority="112" operator="containsText" text="FAT">
      <formula>NOT(ISERROR(SEARCH("FAT",AE88)))</formula>
    </cfRule>
    <cfRule type="containsText" dxfId="109" priority="113" operator="containsText" text="FIRE">
      <formula>NOT(ISERROR(SEARCH("FIRE",AE88)))</formula>
    </cfRule>
    <cfRule type="containsText" dxfId="108" priority="114" operator="containsText" text="COSH">
      <formula>NOT(ISERROR(SEARCH("COSH",AE88)))</formula>
    </cfRule>
  </conditionalFormatting>
  <conditionalFormatting sqref="AK88">
    <cfRule type="containsText" dxfId="107" priority="109" operator="containsText" text="FAT">
      <formula>NOT(ISERROR(SEARCH("FAT",AK88)))</formula>
    </cfRule>
    <cfRule type="containsText" dxfId="106" priority="110" operator="containsText" text="FIRE">
      <formula>NOT(ISERROR(SEARCH("FIRE",AK88)))</formula>
    </cfRule>
    <cfRule type="containsText" dxfId="105" priority="111" operator="containsText" text="COSH">
      <formula>NOT(ISERROR(SEARCH("COSH",AK88)))</formula>
    </cfRule>
  </conditionalFormatting>
  <conditionalFormatting sqref="AA88:AB88 AD88:AK88">
    <cfRule type="cellIs" dxfId="104" priority="108" operator="between">
      <formula>1</formula>
      <formula>3</formula>
    </cfRule>
  </conditionalFormatting>
  <conditionalFormatting sqref="E88">
    <cfRule type="duplicateValues" dxfId="103" priority="106"/>
  </conditionalFormatting>
  <conditionalFormatting sqref="E88">
    <cfRule type="duplicateValues" dxfId="102" priority="107"/>
  </conditionalFormatting>
  <conditionalFormatting sqref="Y88:Z88 G88:H88 J88:U88">
    <cfRule type="containsText" dxfId="101" priority="103" operator="containsText" text="FAT">
      <formula>NOT(ISERROR(SEARCH("FAT",G88)))</formula>
    </cfRule>
    <cfRule type="containsText" dxfId="100" priority="104" operator="containsText" text="FIRE">
      <formula>NOT(ISERROR(SEARCH("FIRE",G88)))</formula>
    </cfRule>
    <cfRule type="containsText" dxfId="99" priority="105" operator="containsText" text="COSH">
      <formula>NOT(ISERROR(SEARCH("COSH",G88)))</formula>
    </cfRule>
  </conditionalFormatting>
  <conditionalFormatting sqref="P88">
    <cfRule type="containsText" dxfId="98" priority="100" operator="containsText" text="FAT">
      <formula>NOT(ISERROR(SEARCH("FAT",P88)))</formula>
    </cfRule>
    <cfRule type="containsText" dxfId="97" priority="101" operator="containsText" text="FIRE">
      <formula>NOT(ISERROR(SEARCH("FIRE",P88)))</formula>
    </cfRule>
    <cfRule type="containsText" dxfId="96" priority="102" operator="containsText" text="COSH">
      <formula>NOT(ISERROR(SEARCH("COSH",P88)))</formula>
    </cfRule>
  </conditionalFormatting>
  <conditionalFormatting sqref="W88">
    <cfRule type="containsText" dxfId="95" priority="97" operator="containsText" text="FAT">
      <formula>NOT(ISERROR(SEARCH("FAT",W88)))</formula>
    </cfRule>
    <cfRule type="containsText" dxfId="94" priority="98" operator="containsText" text="FIRE">
      <formula>NOT(ISERROR(SEARCH("FIRE",W88)))</formula>
    </cfRule>
    <cfRule type="containsText" dxfId="93" priority="99" operator="containsText" text="COSH">
      <formula>NOT(ISERROR(SEARCH("COSH",W88)))</formula>
    </cfRule>
  </conditionalFormatting>
  <conditionalFormatting sqref="N88">
    <cfRule type="containsText" dxfId="92" priority="94" operator="containsText" text="FAT">
      <formula>NOT(ISERROR(SEARCH("FAT",N88)))</formula>
    </cfRule>
    <cfRule type="containsText" dxfId="91" priority="95" operator="containsText" text="FIRE">
      <formula>NOT(ISERROR(SEARCH("FIRE",N88)))</formula>
    </cfRule>
    <cfRule type="containsText" dxfId="90" priority="96" operator="containsText" text="COSH">
      <formula>NOT(ISERROR(SEARCH("COSH",N88)))</formula>
    </cfRule>
  </conditionalFormatting>
  <conditionalFormatting sqref="U88">
    <cfRule type="containsText" dxfId="89" priority="91" operator="containsText" text="FAT">
      <formula>NOT(ISERROR(SEARCH("FAT",U88)))</formula>
    </cfRule>
    <cfRule type="containsText" dxfId="88" priority="92" operator="containsText" text="FIRE">
      <formula>NOT(ISERROR(SEARCH("FIRE",U88)))</formula>
    </cfRule>
    <cfRule type="containsText" dxfId="87" priority="93" operator="containsText" text="COSH">
      <formula>NOT(ISERROR(SEARCH("COSH",U88)))</formula>
    </cfRule>
  </conditionalFormatting>
  <conditionalFormatting sqref="T88">
    <cfRule type="containsText" dxfId="86" priority="88" operator="containsText" text="FAT">
      <formula>NOT(ISERROR(SEARCH("FAT",T88)))</formula>
    </cfRule>
    <cfRule type="containsText" dxfId="85" priority="89" operator="containsText" text="FIRE">
      <formula>NOT(ISERROR(SEARCH("FIRE",T88)))</formula>
    </cfRule>
    <cfRule type="containsText" dxfId="84" priority="90" operator="containsText" text="COSH">
      <formula>NOT(ISERROR(SEARCH("COSH",T88)))</formula>
    </cfRule>
  </conditionalFormatting>
  <conditionalFormatting sqref="J88">
    <cfRule type="containsText" dxfId="83" priority="85" operator="containsText" text="FAT">
      <formula>NOT(ISERROR(SEARCH("FAT",J88)))</formula>
    </cfRule>
    <cfRule type="containsText" dxfId="82" priority="86" operator="containsText" text="FIRE">
      <formula>NOT(ISERROR(SEARCH("FIRE",J88)))</formula>
    </cfRule>
    <cfRule type="containsText" dxfId="81" priority="87" operator="containsText" text="COSH">
      <formula>NOT(ISERROR(SEARCH("COSH",J88)))</formula>
    </cfRule>
  </conditionalFormatting>
  <conditionalFormatting sqref="Q88">
    <cfRule type="containsText" dxfId="80" priority="82" operator="containsText" text="FAT">
      <formula>NOT(ISERROR(SEARCH("FAT",Q88)))</formula>
    </cfRule>
    <cfRule type="containsText" dxfId="79" priority="83" operator="containsText" text="FIRE">
      <formula>NOT(ISERROR(SEARCH("FIRE",Q88)))</formula>
    </cfRule>
    <cfRule type="containsText" dxfId="78" priority="84" operator="containsText" text="COSH">
      <formula>NOT(ISERROR(SEARCH("COSH",Q88)))</formula>
    </cfRule>
  </conditionalFormatting>
  <conditionalFormatting sqref="X88">
    <cfRule type="containsText" dxfId="77" priority="79" operator="containsText" text="FAT">
      <formula>NOT(ISERROR(SEARCH("FAT",X88)))</formula>
    </cfRule>
    <cfRule type="containsText" dxfId="76" priority="80" operator="containsText" text="FIRE">
      <formula>NOT(ISERROR(SEARCH("FIRE",X88)))</formula>
    </cfRule>
    <cfRule type="containsText" dxfId="75" priority="81" operator="containsText" text="COSH">
      <formula>NOT(ISERROR(SEARCH("COSH",X88)))</formula>
    </cfRule>
  </conditionalFormatting>
  <conditionalFormatting sqref="H88">
    <cfRule type="containsText" dxfId="74" priority="76" operator="containsText" text="FAT">
      <formula>NOT(ISERROR(SEARCH("FAT",H88)))</formula>
    </cfRule>
    <cfRule type="containsText" dxfId="73" priority="77" operator="containsText" text="FIRE">
      <formula>NOT(ISERROR(SEARCH("FIRE",H88)))</formula>
    </cfRule>
    <cfRule type="containsText" dxfId="72" priority="78" operator="containsText" text="COSH">
      <formula>NOT(ISERROR(SEARCH("COSH",H88)))</formula>
    </cfRule>
  </conditionalFormatting>
  <conditionalFormatting sqref="O88">
    <cfRule type="containsText" dxfId="71" priority="73" operator="containsText" text="FAT">
      <formula>NOT(ISERROR(SEARCH("FAT",O88)))</formula>
    </cfRule>
    <cfRule type="containsText" dxfId="70" priority="74" operator="containsText" text="FIRE">
      <formula>NOT(ISERROR(SEARCH("FIRE",O88)))</formula>
    </cfRule>
    <cfRule type="containsText" dxfId="69" priority="75" operator="containsText" text="COSH">
      <formula>NOT(ISERROR(SEARCH("COSH",O88)))</formula>
    </cfRule>
  </conditionalFormatting>
  <conditionalFormatting sqref="V88">
    <cfRule type="containsText" dxfId="68" priority="70" operator="containsText" text="FAT">
      <formula>NOT(ISERROR(SEARCH("FAT",V88)))</formula>
    </cfRule>
    <cfRule type="containsText" dxfId="67" priority="71" operator="containsText" text="FIRE">
      <formula>NOT(ISERROR(SEARCH("FIRE",V88)))</formula>
    </cfRule>
    <cfRule type="containsText" dxfId="66" priority="72" operator="containsText" text="COSH">
      <formula>NOT(ISERROR(SEARCH("COSH",V88)))</formula>
    </cfRule>
  </conditionalFormatting>
  <conditionalFormatting sqref="G88:H88 J88:Z88">
    <cfRule type="cellIs" dxfId="65" priority="67" operator="between">
      <formula>1</formula>
      <formula>3</formula>
    </cfRule>
  </conditionalFormatting>
  <conditionalFormatting sqref="T88">
    <cfRule type="containsText" dxfId="64" priority="63" operator="containsText" text="FAT">
      <formula>NOT(ISERROR(SEARCH("FAT",T88)))</formula>
    </cfRule>
    <cfRule type="containsText" dxfId="63" priority="64" operator="containsText" text="FIRE">
      <formula>NOT(ISERROR(SEARCH("FIRE",T88)))</formula>
    </cfRule>
    <cfRule type="containsText" dxfId="62" priority="65" operator="containsText" text="COSH">
      <formula>NOT(ISERROR(SEARCH("COSH",T88)))</formula>
    </cfRule>
  </conditionalFormatting>
  <conditionalFormatting sqref="X88">
    <cfRule type="containsText" dxfId="61" priority="60" operator="containsText" text="FAT">
      <formula>NOT(ISERROR(SEARCH("FAT",X88)))</formula>
    </cfRule>
    <cfRule type="containsText" dxfId="60" priority="61" operator="containsText" text="FIRE">
      <formula>NOT(ISERROR(SEARCH("FIRE",X88)))</formula>
    </cfRule>
    <cfRule type="containsText" dxfId="59" priority="62" operator="containsText" text="COSH">
      <formula>NOT(ISERROR(SEARCH("COSH",X88)))</formula>
    </cfRule>
  </conditionalFormatting>
  <conditionalFormatting sqref="X88">
    <cfRule type="containsText" dxfId="58" priority="57" operator="containsText" text="FAT">
      <formula>NOT(ISERROR(SEARCH("FAT",X88)))</formula>
    </cfRule>
    <cfRule type="containsText" dxfId="57" priority="58" operator="containsText" text="FIRE">
      <formula>NOT(ISERROR(SEARCH("FIRE",X88)))</formula>
    </cfRule>
    <cfRule type="containsText" dxfId="56" priority="59" operator="containsText" text="COSH">
      <formula>NOT(ISERROR(SEARCH("COSH",X88)))</formula>
    </cfRule>
  </conditionalFormatting>
  <conditionalFormatting sqref="Z88">
    <cfRule type="containsText" dxfId="55" priority="54" operator="containsText" text="FAT">
      <formula>NOT(ISERROR(SEARCH("FAT",Z88)))</formula>
    </cfRule>
    <cfRule type="containsText" dxfId="54" priority="55" operator="containsText" text="FIRE">
      <formula>NOT(ISERROR(SEARCH("FIRE",Z88)))</formula>
    </cfRule>
    <cfRule type="containsText" dxfId="53" priority="56" operator="containsText" text="COSH">
      <formula>NOT(ISERROR(SEARCH("COSH",Z88)))</formula>
    </cfRule>
  </conditionalFormatting>
  <conditionalFormatting sqref="Y88">
    <cfRule type="containsText" dxfId="52" priority="51" operator="containsText" text="FAT">
      <formula>NOT(ISERROR(SEARCH("FAT",Y88)))</formula>
    </cfRule>
    <cfRule type="containsText" dxfId="51" priority="52" operator="containsText" text="FIRE">
      <formula>NOT(ISERROR(SEARCH("FIRE",Y88)))</formula>
    </cfRule>
    <cfRule type="containsText" dxfId="50" priority="53" operator="containsText" text="COSH">
      <formula>NOT(ISERROR(SEARCH("COSH",Y88)))</formula>
    </cfRule>
  </conditionalFormatting>
  <conditionalFormatting sqref="J88">
    <cfRule type="containsText" dxfId="49" priority="48" operator="containsText" text="FAT">
      <formula>NOT(ISERROR(SEARCH("FAT",J88)))</formula>
    </cfRule>
    <cfRule type="containsText" dxfId="48" priority="49" operator="containsText" text="FIRE">
      <formula>NOT(ISERROR(SEARCH("FIRE",J88)))</formula>
    </cfRule>
    <cfRule type="containsText" dxfId="47" priority="50" operator="containsText" text="COSH">
      <formula>NOT(ISERROR(SEARCH("COSH",J88)))</formula>
    </cfRule>
  </conditionalFormatting>
  <conditionalFormatting sqref="R88">
    <cfRule type="containsText" dxfId="46" priority="45" operator="containsText" text="FAT">
      <formula>NOT(ISERROR(SEARCH("FAT",R88)))</formula>
    </cfRule>
    <cfRule type="containsText" dxfId="45" priority="46" operator="containsText" text="FIRE">
      <formula>NOT(ISERROR(SEARCH("FIRE",R88)))</formula>
    </cfRule>
    <cfRule type="containsText" dxfId="44" priority="47" operator="containsText" text="COSH">
      <formula>NOT(ISERROR(SEARCH("COSH",R88)))</formula>
    </cfRule>
  </conditionalFormatting>
  <conditionalFormatting sqref="P88">
    <cfRule type="containsText" dxfId="43" priority="42" operator="containsText" text="FAT">
      <formula>NOT(ISERROR(SEARCH("FAT",P88)))</formula>
    </cfRule>
    <cfRule type="containsText" dxfId="42" priority="43" operator="containsText" text="FIRE">
      <formula>NOT(ISERROR(SEARCH("FIRE",P88)))</formula>
    </cfRule>
    <cfRule type="containsText" dxfId="41" priority="44" operator="containsText" text="COSH">
      <formula>NOT(ISERROR(SEARCH("COSH",P88)))</formula>
    </cfRule>
  </conditionalFormatting>
  <conditionalFormatting sqref="N88">
    <cfRule type="containsText" dxfId="40" priority="39" operator="containsText" text="FAT">
      <formula>NOT(ISERROR(SEARCH("FAT",N88)))</formula>
    </cfRule>
    <cfRule type="containsText" dxfId="39" priority="40" operator="containsText" text="FIRE">
      <formula>NOT(ISERROR(SEARCH("FIRE",N88)))</formula>
    </cfRule>
    <cfRule type="containsText" dxfId="38" priority="41" operator="containsText" text="COSH">
      <formula>NOT(ISERROR(SEARCH("COSH",N88)))</formula>
    </cfRule>
  </conditionalFormatting>
  <conditionalFormatting sqref="O88">
    <cfRule type="containsText" dxfId="37" priority="36" operator="containsText" text="FAT">
      <formula>NOT(ISERROR(SEARCH("FAT",O88)))</formula>
    </cfRule>
    <cfRule type="containsText" dxfId="36" priority="37" operator="containsText" text="FIRE">
      <formula>NOT(ISERROR(SEARCH("FIRE",O88)))</formula>
    </cfRule>
    <cfRule type="containsText" dxfId="35" priority="38" operator="containsText" text="COSH">
      <formula>NOT(ISERROR(SEARCH("COSH",O88)))</formula>
    </cfRule>
  </conditionalFormatting>
  <conditionalFormatting sqref="AC88">
    <cfRule type="containsText" dxfId="34" priority="33" operator="containsText" text="FAT">
      <formula>NOT(ISERROR(SEARCH("FAT",AC88)))</formula>
    </cfRule>
    <cfRule type="containsText" dxfId="33" priority="34" operator="containsText" text="FIRE">
      <formula>NOT(ISERROR(SEARCH("FIRE",AC88)))</formula>
    </cfRule>
    <cfRule type="containsText" dxfId="32" priority="35" operator="containsText" text="COSH">
      <formula>NOT(ISERROR(SEARCH("COSH",AC88)))</formula>
    </cfRule>
  </conditionalFormatting>
  <conditionalFormatting sqref="AC88">
    <cfRule type="cellIs" dxfId="31" priority="32" operator="between">
      <formula>1</formula>
      <formula>3</formula>
    </cfRule>
  </conditionalFormatting>
  <conditionalFormatting sqref="AL88">
    <cfRule type="containsText" dxfId="30" priority="29" operator="containsText" text="FAT">
      <formula>NOT(ISERROR(SEARCH("FAT",AL88)))</formula>
    </cfRule>
    <cfRule type="containsText" dxfId="29" priority="30" operator="containsText" text="FIRE">
      <formula>NOT(ISERROR(SEARCH("FIRE",AL88)))</formula>
    </cfRule>
    <cfRule type="containsText" dxfId="28" priority="31" operator="containsText" text="COSH">
      <formula>NOT(ISERROR(SEARCH("COSH",AL88)))</formula>
    </cfRule>
  </conditionalFormatting>
  <conditionalFormatting sqref="AL88">
    <cfRule type="containsText" dxfId="27" priority="26" operator="containsText" text="FAT">
      <formula>NOT(ISERROR(SEARCH("FAT",AL88)))</formula>
    </cfRule>
    <cfRule type="containsText" dxfId="26" priority="27" operator="containsText" text="FIRE">
      <formula>NOT(ISERROR(SEARCH("FIRE",AL88)))</formula>
    </cfRule>
    <cfRule type="containsText" dxfId="25" priority="28" operator="containsText" text="COSH">
      <formula>NOT(ISERROR(SEARCH("COSH",AL88)))</formula>
    </cfRule>
  </conditionalFormatting>
  <conditionalFormatting sqref="AL88">
    <cfRule type="cellIs" dxfId="24" priority="25" operator="between">
      <formula>1</formula>
      <formula>3</formula>
    </cfRule>
  </conditionalFormatting>
  <conditionalFormatting sqref="E88">
    <cfRule type="duplicateValues" dxfId="23" priority="24"/>
  </conditionalFormatting>
  <conditionalFormatting sqref="E78">
    <cfRule type="duplicateValues" dxfId="22" priority="15"/>
  </conditionalFormatting>
  <conditionalFormatting sqref="E78">
    <cfRule type="duplicateValues" dxfId="21" priority="14"/>
  </conditionalFormatting>
  <conditionalFormatting sqref="E78">
    <cfRule type="duplicateValues" dxfId="20" priority="13"/>
  </conditionalFormatting>
  <conditionalFormatting sqref="E78">
    <cfRule type="duplicateValues" dxfId="19" priority="16"/>
  </conditionalFormatting>
  <conditionalFormatting sqref="E78">
    <cfRule type="duplicateValues" dxfId="18" priority="17"/>
  </conditionalFormatting>
  <conditionalFormatting sqref="E78">
    <cfRule type="duplicateValues" dxfId="17" priority="18"/>
  </conditionalFormatting>
  <conditionalFormatting sqref="E78">
    <cfRule type="duplicateValues" dxfId="16" priority="19"/>
  </conditionalFormatting>
  <conditionalFormatting sqref="E78">
    <cfRule type="duplicateValues" dxfId="15" priority="20"/>
  </conditionalFormatting>
  <conditionalFormatting sqref="E78">
    <cfRule type="duplicateValues" dxfId="14" priority="21"/>
  </conditionalFormatting>
  <conditionalFormatting sqref="E78">
    <cfRule type="duplicateValues" dxfId="13" priority="22"/>
  </conditionalFormatting>
  <conditionalFormatting sqref="E78">
    <cfRule type="duplicateValues" dxfId="12" priority="23"/>
  </conditionalFormatting>
  <conditionalFormatting sqref="E87">
    <cfRule type="duplicateValues" dxfId="11" priority="4"/>
  </conditionalFormatting>
  <conditionalFormatting sqref="E87">
    <cfRule type="duplicateValues" dxfId="10" priority="5"/>
  </conditionalFormatting>
  <conditionalFormatting sqref="E87">
    <cfRule type="duplicateValues" dxfId="9" priority="6"/>
  </conditionalFormatting>
  <conditionalFormatting sqref="E87">
    <cfRule type="duplicateValues" dxfId="8" priority="7"/>
  </conditionalFormatting>
  <conditionalFormatting sqref="E87">
    <cfRule type="duplicateValues" dxfId="7" priority="8"/>
  </conditionalFormatting>
  <conditionalFormatting sqref="E87">
    <cfRule type="duplicateValues" dxfId="6" priority="9"/>
  </conditionalFormatting>
  <conditionalFormatting sqref="E87">
    <cfRule type="duplicateValues" dxfId="5" priority="10"/>
  </conditionalFormatting>
  <conditionalFormatting sqref="E87">
    <cfRule type="duplicateValues" dxfId="4" priority="11"/>
  </conditionalFormatting>
  <conditionalFormatting sqref="E87">
    <cfRule type="duplicateValues" dxfId="3" priority="12"/>
  </conditionalFormatting>
  <conditionalFormatting sqref="E83">
    <cfRule type="duplicateValues" dxfId="2" priority="2"/>
  </conditionalFormatting>
  <conditionalFormatting sqref="E83">
    <cfRule type="duplicateValues" dxfId="1" priority="3"/>
  </conditionalFormatting>
  <conditionalFormatting sqref="E83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7761" r:id="rId4" name="CommandButton2">
          <controlPr defaultSize="0" autoLine="0" r:id="rId5">
            <anchor moveWithCells="1">
              <from>
                <xdr:col>1</xdr:col>
                <xdr:colOff>0</xdr:colOff>
                <xdr:row>1</xdr:row>
                <xdr:rowOff>142875</xdr:rowOff>
              </from>
              <to>
                <xdr:col>3</xdr:col>
                <xdr:colOff>266700</xdr:colOff>
                <xdr:row>2</xdr:row>
                <xdr:rowOff>219075</xdr:rowOff>
              </to>
            </anchor>
          </controlPr>
        </control>
      </mc:Choice>
      <mc:Fallback>
        <control shapeId="117761" r:id="rId4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92D050"/>
  </sheetPr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92D050"/>
  </sheetPr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Guidelines</vt:lpstr>
      <vt:lpstr>Performance Trend 1</vt:lpstr>
      <vt:lpstr>KY Monitoring</vt:lpstr>
      <vt:lpstr>Jan</vt:lpstr>
      <vt:lpstr>Feb</vt:lpstr>
      <vt:lpstr>Performance trend- Summary</vt:lpstr>
      <vt:lpstr>Graph</vt:lpstr>
      <vt:lpstr>List of Wall of Fame</vt:lpstr>
      <vt:lpstr>Performance trend</vt:lpstr>
      <vt:lpstr>template</vt:lpstr>
      <vt:lpstr>Sheet2</vt:lpstr>
      <vt:lpstr>March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Kent S. GAYAPA</dc:creator>
  <cp:lastModifiedBy>Christian P. Baclayo</cp:lastModifiedBy>
  <cp:lastPrinted>2024-09-27T15:24:57Z</cp:lastPrinted>
  <dcterms:created xsi:type="dcterms:W3CDTF">2018-01-02T08:53:08Z</dcterms:created>
  <dcterms:modified xsi:type="dcterms:W3CDTF">2025-02-13T06:01:15Z</dcterms:modified>
</cp:coreProperties>
</file>